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3"/>
  </bookViews>
  <sheets>
    <sheet name="Batters" sheetId="1" r:id="rId1"/>
    <sheet name="Pitchers" sheetId="2" r:id="rId2"/>
    <sheet name="Strategy" sheetId="4" r:id="rId3"/>
    <sheet name="Cards" sheetId="3" r:id="rId4"/>
    <sheet name="Teams" sheetId="5" r:id="rId5"/>
  </sheets>
  <calcPr calcId="145621"/>
</workbook>
</file>

<file path=xl/calcChain.xml><?xml version="1.0" encoding="utf-8"?>
<calcChain xmlns="http://schemas.openxmlformats.org/spreadsheetml/2006/main">
  <c r="Q7" i="5" l="1"/>
  <c r="B7" i="5"/>
  <c r="M79" i="2"/>
  <c r="M76" i="2"/>
  <c r="M74" i="2"/>
  <c r="M73" i="2"/>
  <c r="M72" i="2"/>
  <c r="M71" i="2"/>
  <c r="M70" i="2"/>
  <c r="M69" i="2"/>
  <c r="Q6" i="5" l="1"/>
  <c r="B6" i="5"/>
  <c r="M62" i="2"/>
  <c r="M61" i="2"/>
  <c r="M59" i="2"/>
  <c r="M58" i="2"/>
  <c r="E8" i="5" l="1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5" i="5"/>
  <c r="B4" i="5"/>
  <c r="B2" i="5"/>
  <c r="B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" i="5"/>
  <c r="J44" i="1"/>
  <c r="R44" i="1"/>
  <c r="AA44" i="1" s="1"/>
  <c r="AB44" i="1"/>
  <c r="AC44" i="1"/>
  <c r="AL44" i="1"/>
  <c r="X39" i="3"/>
  <c r="Z39" i="3"/>
  <c r="X58" i="2"/>
  <c r="R58" i="2"/>
  <c r="Q58" i="2"/>
  <c r="P58" i="2"/>
  <c r="AF58" i="2" s="1"/>
  <c r="X16" i="3"/>
  <c r="X10" i="3"/>
  <c r="X5" i="3"/>
  <c r="X6" i="3"/>
  <c r="X2" i="3"/>
  <c r="X8" i="3"/>
  <c r="X4" i="3"/>
  <c r="X13" i="3"/>
  <c r="X23" i="3"/>
  <c r="X20" i="3"/>
  <c r="X9" i="3"/>
  <c r="X3" i="3"/>
  <c r="X24" i="3"/>
  <c r="X11" i="3"/>
  <c r="X153" i="3"/>
  <c r="X166" i="3"/>
  <c r="X160" i="3"/>
  <c r="X161" i="3"/>
  <c r="X152" i="3"/>
  <c r="X155" i="3"/>
  <c r="X174" i="3"/>
  <c r="X173" i="3"/>
  <c r="X167" i="3"/>
  <c r="X172" i="3"/>
  <c r="X176" i="3"/>
  <c r="X156" i="3"/>
  <c r="X171" i="3"/>
  <c r="X154" i="3"/>
  <c r="X27" i="3"/>
  <c r="X33" i="3"/>
  <c r="X50" i="3"/>
  <c r="X37" i="3"/>
  <c r="X29" i="3"/>
  <c r="X30" i="3"/>
  <c r="X40" i="3"/>
  <c r="X46" i="3"/>
  <c r="X49" i="3"/>
  <c r="X43" i="3"/>
  <c r="X41" i="3"/>
  <c r="X38" i="3"/>
  <c r="X31" i="3"/>
  <c r="X58" i="3"/>
  <c r="X69" i="3"/>
  <c r="X67" i="3"/>
  <c r="X55" i="3"/>
  <c r="X74" i="3"/>
  <c r="X54" i="3"/>
  <c r="X70" i="3"/>
  <c r="X64" i="3"/>
  <c r="X57" i="3"/>
  <c r="X61" i="3"/>
  <c r="X75" i="3"/>
  <c r="X73" i="3"/>
  <c r="X53" i="3"/>
  <c r="X60" i="3"/>
  <c r="X77" i="3"/>
  <c r="X82" i="3"/>
  <c r="X79" i="3"/>
  <c r="X90" i="3"/>
  <c r="X95" i="3"/>
  <c r="X99" i="3"/>
  <c r="X83" i="3"/>
  <c r="X97" i="3"/>
  <c r="X91" i="3"/>
  <c r="X101" i="3"/>
  <c r="X84" i="3"/>
  <c r="X96" i="3"/>
  <c r="X89" i="3"/>
  <c r="X85" i="3"/>
  <c r="X26" i="3"/>
  <c r="X7" i="3"/>
  <c r="X18" i="3"/>
  <c r="X17" i="3"/>
  <c r="X19" i="3"/>
  <c r="X25" i="3"/>
  <c r="X22" i="3"/>
  <c r="X12" i="3"/>
  <c r="X14" i="3"/>
  <c r="X15" i="3"/>
  <c r="X21" i="3"/>
  <c r="X159" i="3"/>
  <c r="X158" i="3"/>
  <c r="X164" i="3"/>
  <c r="X169" i="3"/>
  <c r="X162" i="3"/>
  <c r="X170" i="3"/>
  <c r="X163" i="3"/>
  <c r="X168" i="3"/>
  <c r="X157" i="3"/>
  <c r="X175" i="3"/>
  <c r="X165" i="3"/>
  <c r="X42" i="3"/>
  <c r="X32" i="3"/>
  <c r="X44" i="3"/>
  <c r="X35" i="3"/>
  <c r="X45" i="3"/>
  <c r="X47" i="3"/>
  <c r="X36" i="3"/>
  <c r="X51" i="3"/>
  <c r="X28" i="3"/>
  <c r="X34" i="3"/>
  <c r="X48" i="3"/>
  <c r="X66" i="3"/>
  <c r="X62" i="3"/>
  <c r="X56" i="3"/>
  <c r="X68" i="3"/>
  <c r="X76" i="3"/>
  <c r="X59" i="3"/>
  <c r="X63" i="3"/>
  <c r="X52" i="3"/>
  <c r="X71" i="3"/>
  <c r="X65" i="3"/>
  <c r="X72" i="3"/>
  <c r="X81" i="3"/>
  <c r="X78" i="3"/>
  <c r="X87" i="3"/>
  <c r="X86" i="3"/>
  <c r="X94" i="3"/>
  <c r="X100" i="3"/>
  <c r="X92" i="3"/>
  <c r="X80" i="3"/>
  <c r="X93" i="3"/>
  <c r="X88" i="3"/>
  <c r="X98" i="3"/>
  <c r="X120" i="3"/>
  <c r="X108" i="3"/>
  <c r="X117" i="3"/>
  <c r="X114" i="3"/>
  <c r="X126" i="3"/>
  <c r="X111" i="3"/>
  <c r="X125" i="3"/>
  <c r="X102" i="3"/>
  <c r="X124" i="3"/>
  <c r="X103" i="3"/>
  <c r="X107" i="3"/>
  <c r="X105" i="3"/>
  <c r="X110" i="3"/>
  <c r="X109" i="3"/>
  <c r="X122" i="3"/>
  <c r="X119" i="3"/>
  <c r="X123" i="3"/>
  <c r="X106" i="3"/>
  <c r="X104" i="3"/>
  <c r="X118" i="3"/>
  <c r="X112" i="3"/>
  <c r="X116" i="3"/>
  <c r="X121" i="3"/>
  <c r="X115" i="3"/>
  <c r="X113" i="3"/>
  <c r="X139" i="3"/>
  <c r="X147" i="3"/>
  <c r="X135" i="3"/>
  <c r="X129" i="3"/>
  <c r="X134" i="3"/>
  <c r="X144" i="3"/>
  <c r="X128" i="3"/>
  <c r="X150" i="3"/>
  <c r="X143" i="3"/>
  <c r="X141" i="3"/>
  <c r="X146" i="3"/>
  <c r="X136" i="3"/>
  <c r="X140" i="3"/>
  <c r="X127" i="3"/>
  <c r="X132" i="3"/>
  <c r="X133" i="3"/>
  <c r="X138" i="3"/>
  <c r="X142" i="3"/>
  <c r="X131" i="3"/>
  <c r="X145" i="3"/>
  <c r="X148" i="3"/>
  <c r="X130" i="3"/>
  <c r="X137" i="3"/>
  <c r="X151" i="3"/>
  <c r="X149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R49" i="2"/>
  <c r="Z16" i="3"/>
  <c r="Z10" i="3"/>
  <c r="Z5" i="3"/>
  <c r="Z6" i="3"/>
  <c r="Z2" i="3"/>
  <c r="Z8" i="3"/>
  <c r="Z4" i="3"/>
  <c r="Z13" i="3"/>
  <c r="Z23" i="3"/>
  <c r="Z20" i="3"/>
  <c r="Z9" i="3"/>
  <c r="Z3" i="3"/>
  <c r="Z24" i="3"/>
  <c r="Z11" i="3"/>
  <c r="Z153" i="3"/>
  <c r="Z166" i="3"/>
  <c r="Z160" i="3"/>
  <c r="Z161" i="3"/>
  <c r="Z152" i="3"/>
  <c r="Z155" i="3"/>
  <c r="Z174" i="3"/>
  <c r="Z173" i="3"/>
  <c r="Z167" i="3"/>
  <c r="Z172" i="3"/>
  <c r="Z176" i="3"/>
  <c r="Z156" i="3"/>
  <c r="Z171" i="3"/>
  <c r="Z154" i="3"/>
  <c r="Z27" i="3"/>
  <c r="Z33" i="3"/>
  <c r="Z50" i="3"/>
  <c r="Z37" i="3"/>
  <c r="Z29" i="3"/>
  <c r="Z30" i="3"/>
  <c r="Z40" i="3"/>
  <c r="Z46" i="3"/>
  <c r="Z49" i="3"/>
  <c r="Z43" i="3"/>
  <c r="Z41" i="3"/>
  <c r="Z38" i="3"/>
  <c r="Z31" i="3"/>
  <c r="Z58" i="3"/>
  <c r="Z69" i="3"/>
  <c r="Z67" i="3"/>
  <c r="Z55" i="3"/>
  <c r="Z74" i="3"/>
  <c r="Z54" i="3"/>
  <c r="Z70" i="3"/>
  <c r="Z64" i="3"/>
  <c r="Z57" i="3"/>
  <c r="Z61" i="3"/>
  <c r="Z75" i="3"/>
  <c r="Z73" i="3"/>
  <c r="Z53" i="3"/>
  <c r="Z60" i="3"/>
  <c r="Z77" i="3"/>
  <c r="Z82" i="3"/>
  <c r="Z79" i="3"/>
  <c r="Z90" i="3"/>
  <c r="Z95" i="3"/>
  <c r="Z99" i="3"/>
  <c r="Z83" i="3"/>
  <c r="Z97" i="3"/>
  <c r="Z91" i="3"/>
  <c r="Z101" i="3"/>
  <c r="Z84" i="3"/>
  <c r="Z96" i="3"/>
  <c r="Z89" i="3"/>
  <c r="Z85" i="3"/>
  <c r="Z26" i="3"/>
  <c r="Z7" i="3"/>
  <c r="Z18" i="3"/>
  <c r="Z17" i="3"/>
  <c r="Z19" i="3"/>
  <c r="Z25" i="3"/>
  <c r="Z22" i="3"/>
  <c r="Z12" i="3"/>
  <c r="Z14" i="3"/>
  <c r="Z15" i="3"/>
  <c r="Z21" i="3"/>
  <c r="Z159" i="3"/>
  <c r="Z158" i="3"/>
  <c r="Z164" i="3"/>
  <c r="Z169" i="3"/>
  <c r="Z162" i="3"/>
  <c r="Z170" i="3"/>
  <c r="Z163" i="3"/>
  <c r="Z168" i="3"/>
  <c r="Z157" i="3"/>
  <c r="Z175" i="3"/>
  <c r="Z165" i="3"/>
  <c r="Z42" i="3"/>
  <c r="Z32" i="3"/>
  <c r="Z44" i="3"/>
  <c r="Z35" i="3"/>
  <c r="Z45" i="3"/>
  <c r="Z47" i="3"/>
  <c r="Z36" i="3"/>
  <c r="Z51" i="3"/>
  <c r="Z28" i="3"/>
  <c r="Z34" i="3"/>
  <c r="Z48" i="3"/>
  <c r="Z66" i="3"/>
  <c r="Z62" i="3"/>
  <c r="Z56" i="3"/>
  <c r="Z68" i="3"/>
  <c r="Z76" i="3"/>
  <c r="Z59" i="3"/>
  <c r="Z63" i="3"/>
  <c r="Z52" i="3"/>
  <c r="Z71" i="3"/>
  <c r="Z65" i="3"/>
  <c r="Z72" i="3"/>
  <c r="Z81" i="3"/>
  <c r="Z78" i="3"/>
  <c r="Z87" i="3"/>
  <c r="Z86" i="3"/>
  <c r="Z94" i="3"/>
  <c r="Z100" i="3"/>
  <c r="Z92" i="3"/>
  <c r="Z80" i="3"/>
  <c r="Z93" i="3"/>
  <c r="Z88" i="3"/>
  <c r="Z98" i="3"/>
  <c r="Z120" i="3"/>
  <c r="Z108" i="3"/>
  <c r="Z117" i="3"/>
  <c r="Z114" i="3"/>
  <c r="Z126" i="3"/>
  <c r="Z111" i="3"/>
  <c r="Z125" i="3"/>
  <c r="Z102" i="3"/>
  <c r="Z124" i="3"/>
  <c r="Z103" i="3"/>
  <c r="Z107" i="3"/>
  <c r="Z105" i="3"/>
  <c r="Z110" i="3"/>
  <c r="Z109" i="3"/>
  <c r="Z122" i="3"/>
  <c r="Z119" i="3"/>
  <c r="Z123" i="3"/>
  <c r="Z106" i="3"/>
  <c r="Z104" i="3"/>
  <c r="Z118" i="3"/>
  <c r="Z112" i="3"/>
  <c r="Z116" i="3"/>
  <c r="Z121" i="3"/>
  <c r="Z115" i="3"/>
  <c r="Z113" i="3"/>
  <c r="Z139" i="3"/>
  <c r="Z147" i="3"/>
  <c r="Z135" i="3"/>
  <c r="Z129" i="3"/>
  <c r="Z134" i="3"/>
  <c r="Z144" i="3"/>
  <c r="Z128" i="3"/>
  <c r="Z150" i="3"/>
  <c r="Z143" i="3"/>
  <c r="Z141" i="3"/>
  <c r="Z146" i="3"/>
  <c r="Z136" i="3"/>
  <c r="Z140" i="3"/>
  <c r="Z127" i="3"/>
  <c r="Z132" i="3"/>
  <c r="Z133" i="3"/>
  <c r="Z138" i="3"/>
  <c r="Z142" i="3"/>
  <c r="Z131" i="3"/>
  <c r="Z145" i="3"/>
  <c r="Z148" i="3"/>
  <c r="Z130" i="3"/>
  <c r="Z137" i="3"/>
  <c r="Z151" i="3"/>
  <c r="Z149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J68" i="1" l="1"/>
  <c r="AL68" i="1" s="1"/>
  <c r="Q8" i="2"/>
  <c r="Q18" i="2"/>
  <c r="P48" i="2"/>
  <c r="AF48" i="2" s="1"/>
  <c r="P49" i="2"/>
  <c r="AF49" i="2" s="1"/>
  <c r="P50" i="2"/>
  <c r="AF50" i="2" s="1"/>
  <c r="P51" i="2"/>
  <c r="P56" i="2"/>
  <c r="P53" i="2"/>
  <c r="AF53" i="2" s="1"/>
  <c r="P54" i="2"/>
  <c r="P55" i="2"/>
  <c r="AF55" i="2" s="1"/>
  <c r="P52" i="2"/>
  <c r="AF52" i="2" s="1"/>
  <c r="P57" i="2"/>
  <c r="P59" i="2"/>
  <c r="P60" i="2"/>
  <c r="P61" i="2"/>
  <c r="AF61" i="2" s="1"/>
  <c r="P62" i="2"/>
  <c r="AF62" i="2" s="1"/>
  <c r="P63" i="2"/>
  <c r="P64" i="2"/>
  <c r="P65" i="2"/>
  <c r="P66" i="2"/>
  <c r="P67" i="2"/>
  <c r="AF67" i="2" s="1"/>
  <c r="P68" i="2"/>
  <c r="AF68" i="2" s="1"/>
  <c r="P69" i="2"/>
  <c r="P70" i="2"/>
  <c r="P71" i="2"/>
  <c r="P72" i="2"/>
  <c r="P73" i="2"/>
  <c r="AF73" i="2" s="1"/>
  <c r="P74" i="2"/>
  <c r="AF74" i="2" s="1"/>
  <c r="P75" i="2"/>
  <c r="P76" i="2"/>
  <c r="P77" i="2"/>
  <c r="P78" i="2"/>
  <c r="P79" i="2"/>
  <c r="AF79" i="2" s="1"/>
  <c r="P80" i="2"/>
  <c r="AF80" i="2" s="1"/>
  <c r="P81" i="2"/>
  <c r="P82" i="2"/>
  <c r="P83" i="2"/>
  <c r="P84" i="2"/>
  <c r="P85" i="2"/>
  <c r="AF85" i="2" s="1"/>
  <c r="P86" i="2"/>
  <c r="AF86" i="2" s="1"/>
  <c r="P87" i="2"/>
  <c r="P88" i="2"/>
  <c r="P89" i="2"/>
  <c r="P90" i="2"/>
  <c r="P91" i="2"/>
  <c r="AF91" i="2" s="1"/>
  <c r="P92" i="2"/>
  <c r="AF92" i="2" s="1"/>
  <c r="P93" i="2"/>
  <c r="P94" i="2"/>
  <c r="P95" i="2"/>
  <c r="P96" i="2"/>
  <c r="P97" i="2"/>
  <c r="AF97" i="2" s="1"/>
  <c r="P98" i="2"/>
  <c r="AF98" i="2" s="1"/>
  <c r="P99" i="2"/>
  <c r="P100" i="2"/>
  <c r="P101" i="2"/>
  <c r="P102" i="2"/>
  <c r="P103" i="2"/>
  <c r="AF103" i="2" s="1"/>
  <c r="P104" i="2"/>
  <c r="AF104" i="2" s="1"/>
  <c r="P105" i="2"/>
  <c r="P106" i="2"/>
  <c r="P107" i="2"/>
  <c r="P108" i="2"/>
  <c r="P109" i="2"/>
  <c r="AF109" i="2" s="1"/>
  <c r="P110" i="2"/>
  <c r="AF110" i="2" s="1"/>
  <c r="P111" i="2"/>
  <c r="P112" i="2"/>
  <c r="P113" i="2"/>
  <c r="P114" i="2"/>
  <c r="P115" i="2"/>
  <c r="AF115" i="2" s="1"/>
  <c r="P116" i="2"/>
  <c r="AF116" i="2" s="1"/>
  <c r="P117" i="2"/>
  <c r="P118" i="2"/>
  <c r="P119" i="2"/>
  <c r="P120" i="2"/>
  <c r="P121" i="2"/>
  <c r="AF121" i="2" s="1"/>
  <c r="P122" i="2"/>
  <c r="AF122" i="2" s="1"/>
  <c r="P123" i="2"/>
  <c r="P124" i="2"/>
  <c r="P125" i="2"/>
  <c r="P126" i="2"/>
  <c r="P127" i="2"/>
  <c r="AF127" i="2" s="1"/>
  <c r="P128" i="2"/>
  <c r="AF128" i="2" s="1"/>
  <c r="P129" i="2"/>
  <c r="P130" i="2"/>
  <c r="P131" i="2"/>
  <c r="P132" i="2"/>
  <c r="P133" i="2"/>
  <c r="AF133" i="2" s="1"/>
  <c r="P134" i="2"/>
  <c r="AF134" i="2" s="1"/>
  <c r="P135" i="2"/>
  <c r="P136" i="2"/>
  <c r="P137" i="2"/>
  <c r="P138" i="2"/>
  <c r="P139" i="2"/>
  <c r="AF139" i="2" s="1"/>
  <c r="P140" i="2"/>
  <c r="AF140" i="2" s="1"/>
  <c r="P141" i="2"/>
  <c r="P142" i="2"/>
  <c r="P143" i="2"/>
  <c r="P144" i="2"/>
  <c r="P145" i="2"/>
  <c r="AF145" i="2" s="1"/>
  <c r="P146" i="2"/>
  <c r="AF146" i="2" s="1"/>
  <c r="P147" i="2"/>
  <c r="P148" i="2"/>
  <c r="P149" i="2"/>
  <c r="P150" i="2"/>
  <c r="P151" i="2"/>
  <c r="AF151" i="2" s="1"/>
  <c r="P152" i="2"/>
  <c r="AF152" i="2" s="1"/>
  <c r="P153" i="2"/>
  <c r="P154" i="2"/>
  <c r="P155" i="2"/>
  <c r="P156" i="2"/>
  <c r="P157" i="2"/>
  <c r="AF157" i="2" s="1"/>
  <c r="P158" i="2"/>
  <c r="AF158" i="2" s="1"/>
  <c r="P159" i="2"/>
  <c r="P160" i="2"/>
  <c r="P161" i="2"/>
  <c r="P162" i="2"/>
  <c r="P163" i="2"/>
  <c r="AF163" i="2" s="1"/>
  <c r="P164" i="2"/>
  <c r="AF164" i="2" s="1"/>
  <c r="P165" i="2"/>
  <c r="P166" i="2"/>
  <c r="P167" i="2"/>
  <c r="P168" i="2"/>
  <c r="P169" i="2"/>
  <c r="AF169" i="2" s="1"/>
  <c r="P170" i="2"/>
  <c r="AF170" i="2" s="1"/>
  <c r="P171" i="2"/>
  <c r="P172" i="2"/>
  <c r="P173" i="2"/>
  <c r="P174" i="2"/>
  <c r="P175" i="2"/>
  <c r="AF175" i="2" s="1"/>
  <c r="P176" i="2"/>
  <c r="AF176" i="2" s="1"/>
  <c r="P177" i="2"/>
  <c r="P178" i="2"/>
  <c r="P179" i="2"/>
  <c r="P180" i="2"/>
  <c r="P181" i="2"/>
  <c r="AF181" i="2" s="1"/>
  <c r="P182" i="2"/>
  <c r="AF182" i="2" s="1"/>
  <c r="P183" i="2"/>
  <c r="P184" i="2"/>
  <c r="P185" i="2"/>
  <c r="P186" i="2"/>
  <c r="P187" i="2"/>
  <c r="AF187" i="2" s="1"/>
  <c r="P188" i="2"/>
  <c r="AF188" i="2" s="1"/>
  <c r="P189" i="2"/>
  <c r="P190" i="2"/>
  <c r="P191" i="2"/>
  <c r="P192" i="2"/>
  <c r="P193" i="2"/>
  <c r="AF193" i="2" s="1"/>
  <c r="P194" i="2"/>
  <c r="AF194" i="2" s="1"/>
  <c r="P195" i="2"/>
  <c r="P196" i="2"/>
  <c r="P197" i="2"/>
  <c r="P198" i="2"/>
  <c r="P199" i="2"/>
  <c r="AF199" i="2" s="1"/>
  <c r="P200" i="2"/>
  <c r="AF200" i="2" s="1"/>
  <c r="P201" i="2"/>
  <c r="P202" i="2"/>
  <c r="P203" i="2"/>
  <c r="P204" i="2"/>
  <c r="P205" i="2"/>
  <c r="AF205" i="2" s="1"/>
  <c r="P206" i="2"/>
  <c r="AF206" i="2" s="1"/>
  <c r="P207" i="2"/>
  <c r="P208" i="2"/>
  <c r="P209" i="2"/>
  <c r="P210" i="2"/>
  <c r="P211" i="2"/>
  <c r="AF211" i="2" s="1"/>
  <c r="P212" i="2"/>
  <c r="AF212" i="2" s="1"/>
  <c r="P213" i="2"/>
  <c r="P214" i="2"/>
  <c r="P215" i="2"/>
  <c r="P216" i="2"/>
  <c r="P217" i="2"/>
  <c r="AF217" i="2" s="1"/>
  <c r="P218" i="2"/>
  <c r="AF218" i="2" s="1"/>
  <c r="P219" i="2"/>
  <c r="P220" i="2"/>
  <c r="P221" i="2"/>
  <c r="P222" i="2"/>
  <c r="P223" i="2"/>
  <c r="AF223" i="2" s="1"/>
  <c r="P224" i="2"/>
  <c r="AF224" i="2" s="1"/>
  <c r="P225" i="2"/>
  <c r="P226" i="2"/>
  <c r="P227" i="2"/>
  <c r="P228" i="2"/>
  <c r="P229" i="2"/>
  <c r="AF229" i="2" s="1"/>
  <c r="P230" i="2"/>
  <c r="AF230" i="2" s="1"/>
  <c r="P231" i="2"/>
  <c r="P232" i="2"/>
  <c r="P233" i="2"/>
  <c r="P234" i="2"/>
  <c r="P235" i="2"/>
  <c r="AF235" i="2" s="1"/>
  <c r="P236" i="2"/>
  <c r="AF236" i="2" s="1"/>
  <c r="P237" i="2"/>
  <c r="P238" i="2"/>
  <c r="P239" i="2"/>
  <c r="P240" i="2"/>
  <c r="P241" i="2"/>
  <c r="AF241" i="2" s="1"/>
  <c r="P242" i="2"/>
  <c r="AF242" i="2" s="1"/>
  <c r="P243" i="2"/>
  <c r="P244" i="2"/>
  <c r="P245" i="2"/>
  <c r="P246" i="2"/>
  <c r="P247" i="2"/>
  <c r="AF247" i="2" s="1"/>
  <c r="P248" i="2"/>
  <c r="AF248" i="2" s="1"/>
  <c r="P249" i="2"/>
  <c r="P250" i="2"/>
  <c r="P251" i="2"/>
  <c r="P252" i="2"/>
  <c r="P253" i="2"/>
  <c r="AF253" i="2" s="1"/>
  <c r="P254" i="2"/>
  <c r="AF254" i="2" s="1"/>
  <c r="P255" i="2"/>
  <c r="P256" i="2"/>
  <c r="P257" i="2"/>
  <c r="P258" i="2"/>
  <c r="P259" i="2"/>
  <c r="AF259" i="2" s="1"/>
  <c r="P260" i="2"/>
  <c r="AF260" i="2" s="1"/>
  <c r="P261" i="2"/>
  <c r="P262" i="2"/>
  <c r="P263" i="2"/>
  <c r="P264" i="2"/>
  <c r="P265" i="2"/>
  <c r="AF265" i="2" s="1"/>
  <c r="P266" i="2"/>
  <c r="AF266" i="2" s="1"/>
  <c r="P267" i="2"/>
  <c r="P268" i="2"/>
  <c r="P269" i="2"/>
  <c r="P270" i="2"/>
  <c r="P271" i="2"/>
  <c r="AF271" i="2" s="1"/>
  <c r="P272" i="2"/>
  <c r="AF272" i="2" s="1"/>
  <c r="P273" i="2"/>
  <c r="P274" i="2"/>
  <c r="P275" i="2"/>
  <c r="P276" i="2"/>
  <c r="P277" i="2"/>
  <c r="AF277" i="2" s="1"/>
  <c r="P278" i="2"/>
  <c r="AF278" i="2" s="1"/>
  <c r="P279" i="2"/>
  <c r="P280" i="2"/>
  <c r="P281" i="2"/>
  <c r="P282" i="2"/>
  <c r="P283" i="2"/>
  <c r="AF283" i="2" s="1"/>
  <c r="P284" i="2"/>
  <c r="AF284" i="2" s="1"/>
  <c r="P285" i="2"/>
  <c r="P286" i="2"/>
  <c r="P287" i="2"/>
  <c r="P288" i="2"/>
  <c r="P289" i="2"/>
  <c r="AF289" i="2" s="1"/>
  <c r="P290" i="2"/>
  <c r="AF290" i="2" s="1"/>
  <c r="P291" i="2"/>
  <c r="P292" i="2"/>
  <c r="P293" i="2"/>
  <c r="P294" i="2"/>
  <c r="P295" i="2"/>
  <c r="AF295" i="2" s="1"/>
  <c r="P296" i="2"/>
  <c r="AF296" i="2" s="1"/>
  <c r="P297" i="2"/>
  <c r="P298" i="2"/>
  <c r="P299" i="2"/>
  <c r="P300" i="2"/>
  <c r="P301" i="2"/>
  <c r="AF301" i="2" s="1"/>
  <c r="P302" i="2"/>
  <c r="AF302" i="2" s="1"/>
  <c r="P303" i="2"/>
  <c r="P304" i="2"/>
  <c r="P305" i="2"/>
  <c r="P306" i="2"/>
  <c r="P307" i="2"/>
  <c r="AF307" i="2" s="1"/>
  <c r="P308" i="2"/>
  <c r="AF308" i="2" s="1"/>
  <c r="P309" i="2"/>
  <c r="P310" i="2"/>
  <c r="P311" i="2"/>
  <c r="P312" i="2"/>
  <c r="P313" i="2"/>
  <c r="AF313" i="2" s="1"/>
  <c r="P314" i="2"/>
  <c r="AF314" i="2" s="1"/>
  <c r="P315" i="2"/>
  <c r="P316" i="2"/>
  <c r="P317" i="2"/>
  <c r="P318" i="2"/>
  <c r="P319" i="2"/>
  <c r="AF319" i="2" s="1"/>
  <c r="P320" i="2"/>
  <c r="AF320" i="2" s="1"/>
  <c r="P321" i="2"/>
  <c r="P322" i="2"/>
  <c r="P323" i="2"/>
  <c r="P324" i="2"/>
  <c r="P325" i="2"/>
  <c r="AF325" i="2" s="1"/>
  <c r="P326" i="2"/>
  <c r="AF326" i="2" s="1"/>
  <c r="P327" i="2"/>
  <c r="P328" i="2"/>
  <c r="P329" i="2"/>
  <c r="P330" i="2"/>
  <c r="P331" i="2"/>
  <c r="AF331" i="2" s="1"/>
  <c r="P332" i="2"/>
  <c r="AF332" i="2" s="1"/>
  <c r="Q48" i="2"/>
  <c r="Q49" i="2"/>
  <c r="Q50" i="2"/>
  <c r="Q51" i="2"/>
  <c r="Q56" i="2"/>
  <c r="Q53" i="2"/>
  <c r="Q54" i="2"/>
  <c r="Q55" i="2"/>
  <c r="Q52" i="2"/>
  <c r="Q57" i="2"/>
  <c r="Q59" i="2"/>
  <c r="Q60" i="2"/>
  <c r="Q61" i="2"/>
  <c r="Q62" i="2"/>
  <c r="Q63" i="2"/>
  <c r="Q64" i="2"/>
  <c r="Q65" i="2"/>
  <c r="Q66" i="2"/>
  <c r="Q67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R48" i="2"/>
  <c r="R50" i="2"/>
  <c r="R51" i="2"/>
  <c r="R56" i="2"/>
  <c r="R53" i="2"/>
  <c r="R54" i="2"/>
  <c r="R55" i="2"/>
  <c r="R52" i="2"/>
  <c r="R59" i="2"/>
  <c r="R60" i="2"/>
  <c r="R61" i="2"/>
  <c r="R62" i="2"/>
  <c r="R63" i="2"/>
  <c r="R64" i="2"/>
  <c r="R65" i="2"/>
  <c r="R66" i="2"/>
  <c r="R67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X48" i="2"/>
  <c r="X49" i="2"/>
  <c r="X50" i="2"/>
  <c r="X51" i="2"/>
  <c r="X56" i="2"/>
  <c r="X53" i="2"/>
  <c r="X54" i="2"/>
  <c r="X55" i="2"/>
  <c r="X52" i="2"/>
  <c r="X57" i="2"/>
  <c r="X59" i="2"/>
  <c r="X60" i="2"/>
  <c r="X61" i="2"/>
  <c r="X62" i="2"/>
  <c r="X63" i="2"/>
  <c r="X64" i="2"/>
  <c r="X65" i="2"/>
  <c r="X66" i="2"/>
  <c r="X67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Y82" i="2" s="1"/>
  <c r="X83" i="2"/>
  <c r="Y83" i="2" s="1"/>
  <c r="X84" i="2"/>
  <c r="Y84" i="2" s="1"/>
  <c r="X85" i="2"/>
  <c r="X86" i="2"/>
  <c r="X87" i="2"/>
  <c r="X88" i="2"/>
  <c r="Y88" i="2" s="1"/>
  <c r="X89" i="2"/>
  <c r="Y89" i="2" s="1"/>
  <c r="X90" i="2"/>
  <c r="Y90" i="2" s="1"/>
  <c r="X91" i="2"/>
  <c r="X92" i="2"/>
  <c r="X93" i="2"/>
  <c r="X94" i="2"/>
  <c r="Y94" i="2" s="1"/>
  <c r="X95" i="2"/>
  <c r="Y95" i="2" s="1"/>
  <c r="X96" i="2"/>
  <c r="Y96" i="2" s="1"/>
  <c r="X97" i="2"/>
  <c r="X98" i="2"/>
  <c r="X99" i="2"/>
  <c r="X100" i="2"/>
  <c r="Y100" i="2" s="1"/>
  <c r="X101" i="2"/>
  <c r="Y101" i="2" s="1"/>
  <c r="X102" i="2"/>
  <c r="Y102" i="2" s="1"/>
  <c r="X103" i="2"/>
  <c r="X104" i="2"/>
  <c r="X105" i="2"/>
  <c r="X106" i="2"/>
  <c r="Y106" i="2" s="1"/>
  <c r="X107" i="2"/>
  <c r="Y107" i="2" s="1"/>
  <c r="X108" i="2"/>
  <c r="Y108" i="2" s="1"/>
  <c r="X109" i="2"/>
  <c r="X110" i="2"/>
  <c r="X111" i="2"/>
  <c r="X112" i="2"/>
  <c r="Y112" i="2" s="1"/>
  <c r="X113" i="2"/>
  <c r="Y113" i="2" s="1"/>
  <c r="X114" i="2"/>
  <c r="Y114" i="2" s="1"/>
  <c r="X115" i="2"/>
  <c r="X116" i="2"/>
  <c r="X117" i="2"/>
  <c r="X118" i="2"/>
  <c r="Y118" i="2" s="1"/>
  <c r="X119" i="2"/>
  <c r="Y119" i="2" s="1"/>
  <c r="X120" i="2"/>
  <c r="Y120" i="2" s="1"/>
  <c r="X121" i="2"/>
  <c r="X122" i="2"/>
  <c r="X123" i="2"/>
  <c r="X124" i="2"/>
  <c r="Y124" i="2" s="1"/>
  <c r="X125" i="2"/>
  <c r="Y125" i="2" s="1"/>
  <c r="X126" i="2"/>
  <c r="Y126" i="2" s="1"/>
  <c r="X127" i="2"/>
  <c r="X128" i="2"/>
  <c r="X129" i="2"/>
  <c r="X130" i="2"/>
  <c r="Y130" i="2" s="1"/>
  <c r="X131" i="2"/>
  <c r="Y131" i="2" s="1"/>
  <c r="X132" i="2"/>
  <c r="Y132" i="2" s="1"/>
  <c r="X133" i="2"/>
  <c r="X134" i="2"/>
  <c r="X135" i="2"/>
  <c r="X136" i="2"/>
  <c r="Y136" i="2" s="1"/>
  <c r="X137" i="2"/>
  <c r="Y137" i="2" s="1"/>
  <c r="X138" i="2"/>
  <c r="Y138" i="2" s="1"/>
  <c r="X139" i="2"/>
  <c r="X140" i="2"/>
  <c r="X141" i="2"/>
  <c r="X142" i="2"/>
  <c r="Y142" i="2" s="1"/>
  <c r="X143" i="2"/>
  <c r="Y143" i="2" s="1"/>
  <c r="X144" i="2"/>
  <c r="Y144" i="2" s="1"/>
  <c r="X145" i="2"/>
  <c r="X146" i="2"/>
  <c r="X147" i="2"/>
  <c r="X148" i="2"/>
  <c r="Y148" i="2" s="1"/>
  <c r="X149" i="2"/>
  <c r="Y149" i="2" s="1"/>
  <c r="X150" i="2"/>
  <c r="Y150" i="2" s="1"/>
  <c r="X151" i="2"/>
  <c r="X152" i="2"/>
  <c r="X153" i="2"/>
  <c r="X154" i="2"/>
  <c r="Y154" i="2" s="1"/>
  <c r="X155" i="2"/>
  <c r="Y155" i="2" s="1"/>
  <c r="X156" i="2"/>
  <c r="Y156" i="2" s="1"/>
  <c r="X157" i="2"/>
  <c r="X158" i="2"/>
  <c r="X159" i="2"/>
  <c r="X160" i="2"/>
  <c r="Y160" i="2" s="1"/>
  <c r="X161" i="2"/>
  <c r="Y161" i="2" s="1"/>
  <c r="X162" i="2"/>
  <c r="Y162" i="2" s="1"/>
  <c r="X163" i="2"/>
  <c r="X164" i="2"/>
  <c r="X165" i="2"/>
  <c r="X166" i="2"/>
  <c r="Y166" i="2" s="1"/>
  <c r="X167" i="2"/>
  <c r="Y167" i="2" s="1"/>
  <c r="X168" i="2"/>
  <c r="Y168" i="2" s="1"/>
  <c r="X169" i="2"/>
  <c r="X170" i="2"/>
  <c r="X171" i="2"/>
  <c r="X172" i="2"/>
  <c r="Y172" i="2" s="1"/>
  <c r="X173" i="2"/>
  <c r="Y173" i="2" s="1"/>
  <c r="X174" i="2"/>
  <c r="Y174" i="2" s="1"/>
  <c r="X175" i="2"/>
  <c r="X176" i="2"/>
  <c r="X177" i="2"/>
  <c r="X178" i="2"/>
  <c r="Y178" i="2" s="1"/>
  <c r="X179" i="2"/>
  <c r="Y179" i="2" s="1"/>
  <c r="X180" i="2"/>
  <c r="Y180" i="2" s="1"/>
  <c r="X181" i="2"/>
  <c r="X182" i="2"/>
  <c r="X183" i="2"/>
  <c r="X184" i="2"/>
  <c r="Y184" i="2" s="1"/>
  <c r="X185" i="2"/>
  <c r="Y185" i="2" s="1"/>
  <c r="X186" i="2"/>
  <c r="Y186" i="2" s="1"/>
  <c r="X187" i="2"/>
  <c r="X188" i="2"/>
  <c r="X189" i="2"/>
  <c r="X190" i="2"/>
  <c r="Y190" i="2" s="1"/>
  <c r="X191" i="2"/>
  <c r="Y191" i="2" s="1"/>
  <c r="X192" i="2"/>
  <c r="Y192" i="2" s="1"/>
  <c r="X193" i="2"/>
  <c r="X194" i="2"/>
  <c r="X195" i="2"/>
  <c r="X196" i="2"/>
  <c r="Y196" i="2" s="1"/>
  <c r="X197" i="2"/>
  <c r="Y197" i="2" s="1"/>
  <c r="X198" i="2"/>
  <c r="Y198" i="2" s="1"/>
  <c r="X199" i="2"/>
  <c r="X200" i="2"/>
  <c r="X201" i="2"/>
  <c r="X202" i="2"/>
  <c r="Y202" i="2" s="1"/>
  <c r="X203" i="2"/>
  <c r="Y203" i="2" s="1"/>
  <c r="X204" i="2"/>
  <c r="Y204" i="2" s="1"/>
  <c r="X205" i="2"/>
  <c r="X206" i="2"/>
  <c r="X207" i="2"/>
  <c r="X208" i="2"/>
  <c r="Y208" i="2" s="1"/>
  <c r="X209" i="2"/>
  <c r="Y209" i="2" s="1"/>
  <c r="X210" i="2"/>
  <c r="Y210" i="2" s="1"/>
  <c r="X211" i="2"/>
  <c r="X212" i="2"/>
  <c r="X213" i="2"/>
  <c r="X214" i="2"/>
  <c r="Y214" i="2" s="1"/>
  <c r="X215" i="2"/>
  <c r="Y215" i="2" s="1"/>
  <c r="X216" i="2"/>
  <c r="Y216" i="2" s="1"/>
  <c r="X217" i="2"/>
  <c r="X218" i="2"/>
  <c r="X219" i="2"/>
  <c r="X220" i="2"/>
  <c r="Y220" i="2" s="1"/>
  <c r="X221" i="2"/>
  <c r="Y221" i="2" s="1"/>
  <c r="X222" i="2"/>
  <c r="Y222" i="2" s="1"/>
  <c r="X223" i="2"/>
  <c r="X224" i="2"/>
  <c r="X225" i="2"/>
  <c r="X226" i="2"/>
  <c r="Y226" i="2" s="1"/>
  <c r="X227" i="2"/>
  <c r="Y227" i="2" s="1"/>
  <c r="X228" i="2"/>
  <c r="Y228" i="2" s="1"/>
  <c r="X229" i="2"/>
  <c r="X230" i="2"/>
  <c r="X231" i="2"/>
  <c r="X232" i="2"/>
  <c r="Y232" i="2" s="1"/>
  <c r="X233" i="2"/>
  <c r="Y233" i="2" s="1"/>
  <c r="X234" i="2"/>
  <c r="Y234" i="2" s="1"/>
  <c r="X235" i="2"/>
  <c r="X236" i="2"/>
  <c r="X237" i="2"/>
  <c r="X238" i="2"/>
  <c r="Y238" i="2" s="1"/>
  <c r="X239" i="2"/>
  <c r="Y239" i="2" s="1"/>
  <c r="X240" i="2"/>
  <c r="Y240" i="2" s="1"/>
  <c r="X241" i="2"/>
  <c r="X242" i="2"/>
  <c r="X243" i="2"/>
  <c r="X244" i="2"/>
  <c r="Y244" i="2" s="1"/>
  <c r="X245" i="2"/>
  <c r="Y245" i="2" s="1"/>
  <c r="X246" i="2"/>
  <c r="Y246" i="2" s="1"/>
  <c r="X247" i="2"/>
  <c r="X248" i="2"/>
  <c r="X249" i="2"/>
  <c r="X250" i="2"/>
  <c r="Y250" i="2" s="1"/>
  <c r="X251" i="2"/>
  <c r="Y251" i="2" s="1"/>
  <c r="X252" i="2"/>
  <c r="Y252" i="2" s="1"/>
  <c r="X253" i="2"/>
  <c r="X254" i="2"/>
  <c r="X255" i="2"/>
  <c r="X256" i="2"/>
  <c r="Y256" i="2" s="1"/>
  <c r="X257" i="2"/>
  <c r="Y257" i="2" s="1"/>
  <c r="X258" i="2"/>
  <c r="Y258" i="2" s="1"/>
  <c r="X259" i="2"/>
  <c r="X260" i="2"/>
  <c r="X261" i="2"/>
  <c r="X262" i="2"/>
  <c r="Y262" i="2" s="1"/>
  <c r="X263" i="2"/>
  <c r="Y263" i="2" s="1"/>
  <c r="X264" i="2"/>
  <c r="Y264" i="2" s="1"/>
  <c r="X265" i="2"/>
  <c r="X266" i="2"/>
  <c r="X267" i="2"/>
  <c r="X268" i="2"/>
  <c r="Y268" i="2" s="1"/>
  <c r="X269" i="2"/>
  <c r="Y269" i="2" s="1"/>
  <c r="X270" i="2"/>
  <c r="Y270" i="2" s="1"/>
  <c r="X271" i="2"/>
  <c r="X272" i="2"/>
  <c r="Y272" i="2" s="1"/>
  <c r="X273" i="2"/>
  <c r="X274" i="2"/>
  <c r="Y274" i="2" s="1"/>
  <c r="X275" i="2"/>
  <c r="Y275" i="2" s="1"/>
  <c r="X276" i="2"/>
  <c r="Y276" i="2" s="1"/>
  <c r="X277" i="2"/>
  <c r="X278" i="2"/>
  <c r="X279" i="2"/>
  <c r="X280" i="2"/>
  <c r="Y280" i="2" s="1"/>
  <c r="X281" i="2"/>
  <c r="Y281" i="2" s="1"/>
  <c r="X282" i="2"/>
  <c r="Y282" i="2" s="1"/>
  <c r="X283" i="2"/>
  <c r="X284" i="2"/>
  <c r="Y284" i="2" s="1"/>
  <c r="X285" i="2"/>
  <c r="X286" i="2"/>
  <c r="Y286" i="2" s="1"/>
  <c r="X287" i="2"/>
  <c r="Y287" i="2" s="1"/>
  <c r="X288" i="2"/>
  <c r="Y288" i="2" s="1"/>
  <c r="X289" i="2"/>
  <c r="X290" i="2"/>
  <c r="X291" i="2"/>
  <c r="X292" i="2"/>
  <c r="Y292" i="2" s="1"/>
  <c r="X293" i="2"/>
  <c r="Y293" i="2" s="1"/>
  <c r="X294" i="2"/>
  <c r="Y294" i="2" s="1"/>
  <c r="X295" i="2"/>
  <c r="X296" i="2"/>
  <c r="Y296" i="2" s="1"/>
  <c r="X297" i="2"/>
  <c r="X298" i="2"/>
  <c r="Y298" i="2" s="1"/>
  <c r="X299" i="2"/>
  <c r="Y299" i="2" s="1"/>
  <c r="X300" i="2"/>
  <c r="Y300" i="2" s="1"/>
  <c r="X301" i="2"/>
  <c r="X302" i="2"/>
  <c r="X303" i="2"/>
  <c r="X304" i="2"/>
  <c r="Y304" i="2" s="1"/>
  <c r="X305" i="2"/>
  <c r="Y305" i="2" s="1"/>
  <c r="X306" i="2"/>
  <c r="Y306" i="2" s="1"/>
  <c r="X307" i="2"/>
  <c r="X308" i="2"/>
  <c r="Y308" i="2" s="1"/>
  <c r="X309" i="2"/>
  <c r="X310" i="2"/>
  <c r="Y310" i="2" s="1"/>
  <c r="X311" i="2"/>
  <c r="Y311" i="2" s="1"/>
  <c r="X312" i="2"/>
  <c r="Y312" i="2" s="1"/>
  <c r="X313" i="2"/>
  <c r="X314" i="2"/>
  <c r="X315" i="2"/>
  <c r="X316" i="2"/>
  <c r="Y316" i="2" s="1"/>
  <c r="X317" i="2"/>
  <c r="Y317" i="2" s="1"/>
  <c r="X318" i="2"/>
  <c r="Y318" i="2" s="1"/>
  <c r="X319" i="2"/>
  <c r="X320" i="2"/>
  <c r="Y320" i="2" s="1"/>
  <c r="X321" i="2"/>
  <c r="X322" i="2"/>
  <c r="Y322" i="2" s="1"/>
  <c r="X323" i="2"/>
  <c r="Y323" i="2" s="1"/>
  <c r="X324" i="2"/>
  <c r="Y324" i="2" s="1"/>
  <c r="X325" i="2"/>
  <c r="X326" i="2"/>
  <c r="X327" i="2"/>
  <c r="X328" i="2"/>
  <c r="Y328" i="2" s="1"/>
  <c r="X329" i="2"/>
  <c r="Y329" i="2" s="1"/>
  <c r="X330" i="2"/>
  <c r="Y330" i="2" s="1"/>
  <c r="X331" i="2"/>
  <c r="X332" i="2"/>
  <c r="Y332" i="2" s="1"/>
  <c r="Y57" i="2"/>
  <c r="Y62" i="2"/>
  <c r="Y80" i="2"/>
  <c r="Y81" i="2"/>
  <c r="Y85" i="2"/>
  <c r="Y86" i="2"/>
  <c r="Y87" i="2"/>
  <c r="Y91" i="2"/>
  <c r="Y92" i="2"/>
  <c r="Y93" i="2"/>
  <c r="Y97" i="2"/>
  <c r="Y98" i="2"/>
  <c r="Y99" i="2"/>
  <c r="Y103" i="2"/>
  <c r="Y104" i="2"/>
  <c r="Y105" i="2"/>
  <c r="Y109" i="2"/>
  <c r="Y110" i="2"/>
  <c r="Y111" i="2"/>
  <c r="Y115" i="2"/>
  <c r="Y116" i="2"/>
  <c r="Y117" i="2"/>
  <c r="Y121" i="2"/>
  <c r="Y122" i="2"/>
  <c r="Y123" i="2"/>
  <c r="Y127" i="2"/>
  <c r="Y128" i="2"/>
  <c r="Y129" i="2"/>
  <c r="Y133" i="2"/>
  <c r="Y134" i="2"/>
  <c r="Y135" i="2"/>
  <c r="Y139" i="2"/>
  <c r="Y140" i="2"/>
  <c r="Y141" i="2"/>
  <c r="Y145" i="2"/>
  <c r="Y146" i="2"/>
  <c r="Y147" i="2"/>
  <c r="Y151" i="2"/>
  <c r="Y152" i="2"/>
  <c r="Y153" i="2"/>
  <c r="Y157" i="2"/>
  <c r="Y158" i="2"/>
  <c r="Y159" i="2"/>
  <c r="Y163" i="2"/>
  <c r="Y164" i="2"/>
  <c r="Y165" i="2"/>
  <c r="Y169" i="2"/>
  <c r="Y170" i="2"/>
  <c r="Y171" i="2"/>
  <c r="Y175" i="2"/>
  <c r="Y176" i="2"/>
  <c r="Y177" i="2"/>
  <c r="Y181" i="2"/>
  <c r="Y182" i="2"/>
  <c r="Y183" i="2"/>
  <c r="Y187" i="2"/>
  <c r="Y188" i="2"/>
  <c r="Y189" i="2"/>
  <c r="Y193" i="2"/>
  <c r="Y194" i="2"/>
  <c r="Y195" i="2"/>
  <c r="Y199" i="2"/>
  <c r="Y200" i="2"/>
  <c r="Y201" i="2"/>
  <c r="Y205" i="2"/>
  <c r="Y206" i="2"/>
  <c r="Y207" i="2"/>
  <c r="Y211" i="2"/>
  <c r="Y212" i="2"/>
  <c r="Y213" i="2"/>
  <c r="Y217" i="2"/>
  <c r="Y218" i="2"/>
  <c r="Y219" i="2"/>
  <c r="Y223" i="2"/>
  <c r="Y224" i="2"/>
  <c r="Y225" i="2"/>
  <c r="Y229" i="2"/>
  <c r="Y230" i="2"/>
  <c r="Y231" i="2"/>
  <c r="Y235" i="2"/>
  <c r="Y236" i="2"/>
  <c r="Y237" i="2"/>
  <c r="Y241" i="2"/>
  <c r="Y242" i="2"/>
  <c r="Y243" i="2"/>
  <c r="Y247" i="2"/>
  <c r="Y248" i="2"/>
  <c r="Y249" i="2"/>
  <c r="Y253" i="2"/>
  <c r="Y254" i="2"/>
  <c r="Y255" i="2"/>
  <c r="Y259" i="2"/>
  <c r="Y260" i="2"/>
  <c r="Y261" i="2"/>
  <c r="Y265" i="2"/>
  <c r="Y266" i="2"/>
  <c r="Y267" i="2"/>
  <c r="Y271" i="2"/>
  <c r="Y273" i="2"/>
  <c r="Y277" i="2"/>
  <c r="Y278" i="2"/>
  <c r="Y279" i="2"/>
  <c r="Y283" i="2"/>
  <c r="Y285" i="2"/>
  <c r="Y289" i="2"/>
  <c r="Y290" i="2"/>
  <c r="Y291" i="2"/>
  <c r="Y295" i="2"/>
  <c r="Y297" i="2"/>
  <c r="Y301" i="2"/>
  <c r="Y302" i="2"/>
  <c r="Y303" i="2"/>
  <c r="Y307" i="2"/>
  <c r="Y309" i="2"/>
  <c r="Y313" i="2"/>
  <c r="Y314" i="2"/>
  <c r="Y315" i="2"/>
  <c r="Y319" i="2"/>
  <c r="Y321" i="2"/>
  <c r="Y325" i="2"/>
  <c r="Y326" i="2"/>
  <c r="Y327" i="2"/>
  <c r="Y331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AA80" i="2"/>
  <c r="AA81" i="2"/>
  <c r="AA84" i="2"/>
  <c r="AA85" i="2"/>
  <c r="AA86" i="2"/>
  <c r="AA87" i="2"/>
  <c r="AA90" i="2"/>
  <c r="AA91" i="2"/>
  <c r="AA92" i="2"/>
  <c r="AA93" i="2"/>
  <c r="AA96" i="2"/>
  <c r="AA97" i="2"/>
  <c r="AA98" i="2"/>
  <c r="AA99" i="2"/>
  <c r="AA102" i="2"/>
  <c r="AA103" i="2"/>
  <c r="AA104" i="2"/>
  <c r="AA105" i="2"/>
  <c r="AA108" i="2"/>
  <c r="AA109" i="2"/>
  <c r="AA110" i="2"/>
  <c r="AA111" i="2"/>
  <c r="AA114" i="2"/>
  <c r="AA115" i="2"/>
  <c r="AA116" i="2"/>
  <c r="AA117" i="2"/>
  <c r="AA120" i="2"/>
  <c r="AA121" i="2"/>
  <c r="AA122" i="2"/>
  <c r="AA123" i="2"/>
  <c r="AA126" i="2"/>
  <c r="AA127" i="2"/>
  <c r="AA128" i="2"/>
  <c r="AA129" i="2"/>
  <c r="AA132" i="2"/>
  <c r="AA133" i="2"/>
  <c r="AA134" i="2"/>
  <c r="AA135" i="2"/>
  <c r="AA138" i="2"/>
  <c r="AA139" i="2"/>
  <c r="AA140" i="2"/>
  <c r="AA141" i="2"/>
  <c r="AA144" i="2"/>
  <c r="AA145" i="2"/>
  <c r="AA146" i="2"/>
  <c r="AA147" i="2"/>
  <c r="AA150" i="2"/>
  <c r="AA151" i="2"/>
  <c r="AA152" i="2"/>
  <c r="AA153" i="2"/>
  <c r="AA156" i="2"/>
  <c r="AA157" i="2"/>
  <c r="AA158" i="2"/>
  <c r="AA159" i="2"/>
  <c r="AA162" i="2"/>
  <c r="AA163" i="2"/>
  <c r="AA164" i="2"/>
  <c r="AA165" i="2"/>
  <c r="AA168" i="2"/>
  <c r="AA169" i="2"/>
  <c r="AA170" i="2"/>
  <c r="AA171" i="2"/>
  <c r="AA174" i="2"/>
  <c r="AA175" i="2"/>
  <c r="AA176" i="2"/>
  <c r="AA177" i="2"/>
  <c r="AA180" i="2"/>
  <c r="AA181" i="2"/>
  <c r="AA182" i="2"/>
  <c r="AA183" i="2"/>
  <c r="AA186" i="2"/>
  <c r="AA187" i="2"/>
  <c r="AA188" i="2"/>
  <c r="AA189" i="2"/>
  <c r="AA192" i="2"/>
  <c r="AA193" i="2"/>
  <c r="AA194" i="2"/>
  <c r="AA195" i="2"/>
  <c r="AA198" i="2"/>
  <c r="AA199" i="2"/>
  <c r="AA200" i="2"/>
  <c r="AA201" i="2"/>
  <c r="AA204" i="2"/>
  <c r="AA205" i="2"/>
  <c r="AA206" i="2"/>
  <c r="AA207" i="2"/>
  <c r="AA210" i="2"/>
  <c r="AA211" i="2"/>
  <c r="AA212" i="2"/>
  <c r="AA213" i="2"/>
  <c r="AA216" i="2"/>
  <c r="AA217" i="2"/>
  <c r="AA218" i="2"/>
  <c r="AA219" i="2"/>
  <c r="AA222" i="2"/>
  <c r="AA223" i="2"/>
  <c r="AA224" i="2"/>
  <c r="AA225" i="2"/>
  <c r="AA228" i="2"/>
  <c r="AA229" i="2"/>
  <c r="AA230" i="2"/>
  <c r="AA231" i="2"/>
  <c r="AA234" i="2"/>
  <c r="AA235" i="2"/>
  <c r="AA236" i="2"/>
  <c r="AA237" i="2"/>
  <c r="AA240" i="2"/>
  <c r="AA241" i="2"/>
  <c r="AA242" i="2"/>
  <c r="AA243" i="2"/>
  <c r="AA246" i="2"/>
  <c r="AA247" i="2"/>
  <c r="AA248" i="2"/>
  <c r="AA249" i="2"/>
  <c r="AA252" i="2"/>
  <c r="AA253" i="2"/>
  <c r="AA254" i="2"/>
  <c r="AA255" i="2"/>
  <c r="AA258" i="2"/>
  <c r="AA259" i="2"/>
  <c r="AA260" i="2"/>
  <c r="AA261" i="2"/>
  <c r="AA264" i="2"/>
  <c r="AA265" i="2"/>
  <c r="AA266" i="2"/>
  <c r="AA267" i="2"/>
  <c r="AA270" i="2"/>
  <c r="AA271" i="2"/>
  <c r="AA272" i="2"/>
  <c r="AA273" i="2"/>
  <c r="AA276" i="2"/>
  <c r="AA277" i="2"/>
  <c r="AA278" i="2"/>
  <c r="AA279" i="2"/>
  <c r="AA282" i="2"/>
  <c r="AA283" i="2"/>
  <c r="AA284" i="2"/>
  <c r="AA285" i="2"/>
  <c r="AA288" i="2"/>
  <c r="AA289" i="2"/>
  <c r="AA290" i="2"/>
  <c r="AA291" i="2"/>
  <c r="AA294" i="2"/>
  <c r="AA295" i="2"/>
  <c r="AA296" i="2"/>
  <c r="AA297" i="2"/>
  <c r="AA300" i="2"/>
  <c r="AA301" i="2"/>
  <c r="AA302" i="2"/>
  <c r="AA303" i="2"/>
  <c r="AA306" i="2"/>
  <c r="AA307" i="2"/>
  <c r="AA308" i="2"/>
  <c r="AA309" i="2"/>
  <c r="AA312" i="2"/>
  <c r="AA313" i="2"/>
  <c r="AA314" i="2"/>
  <c r="AA315" i="2"/>
  <c r="AA318" i="2"/>
  <c r="AA319" i="2"/>
  <c r="AA320" i="2"/>
  <c r="AA321" i="2"/>
  <c r="AA324" i="2"/>
  <c r="AA325" i="2"/>
  <c r="AA326" i="2"/>
  <c r="AA327" i="2"/>
  <c r="AA330" i="2"/>
  <c r="AA331" i="2"/>
  <c r="AA332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C80" i="2"/>
  <c r="AC81" i="2"/>
  <c r="AC84" i="2"/>
  <c r="AC85" i="2"/>
  <c r="AC86" i="2"/>
  <c r="AC87" i="2"/>
  <c r="AC90" i="2"/>
  <c r="AC91" i="2"/>
  <c r="AC92" i="2"/>
  <c r="AC93" i="2"/>
  <c r="AC96" i="2"/>
  <c r="AC97" i="2"/>
  <c r="AC98" i="2"/>
  <c r="AC99" i="2"/>
  <c r="AC102" i="2"/>
  <c r="AC103" i="2"/>
  <c r="AC104" i="2"/>
  <c r="AC105" i="2"/>
  <c r="AC108" i="2"/>
  <c r="AC109" i="2"/>
  <c r="AC110" i="2"/>
  <c r="AC111" i="2"/>
  <c r="AC114" i="2"/>
  <c r="AC115" i="2"/>
  <c r="AC116" i="2"/>
  <c r="AC117" i="2"/>
  <c r="AC120" i="2"/>
  <c r="AC121" i="2"/>
  <c r="AC122" i="2"/>
  <c r="AC123" i="2"/>
  <c r="AC126" i="2"/>
  <c r="AC127" i="2"/>
  <c r="AC128" i="2"/>
  <c r="AC129" i="2"/>
  <c r="AC132" i="2"/>
  <c r="AC133" i="2"/>
  <c r="AC134" i="2"/>
  <c r="AC135" i="2"/>
  <c r="AC138" i="2"/>
  <c r="AC139" i="2"/>
  <c r="AC140" i="2"/>
  <c r="AC141" i="2"/>
  <c r="AC144" i="2"/>
  <c r="AC145" i="2"/>
  <c r="AC146" i="2"/>
  <c r="AC147" i="2"/>
  <c r="AC150" i="2"/>
  <c r="AC151" i="2"/>
  <c r="AC152" i="2"/>
  <c r="AC153" i="2"/>
  <c r="AC156" i="2"/>
  <c r="AC157" i="2"/>
  <c r="AC158" i="2"/>
  <c r="AC159" i="2"/>
  <c r="AC162" i="2"/>
  <c r="AC163" i="2"/>
  <c r="AC164" i="2"/>
  <c r="AC165" i="2"/>
  <c r="AC168" i="2"/>
  <c r="AC169" i="2"/>
  <c r="AC170" i="2"/>
  <c r="AC171" i="2"/>
  <c r="AC174" i="2"/>
  <c r="AC175" i="2"/>
  <c r="AC176" i="2"/>
  <c r="AC177" i="2"/>
  <c r="AC180" i="2"/>
  <c r="AC181" i="2"/>
  <c r="AC182" i="2"/>
  <c r="AC183" i="2"/>
  <c r="AC186" i="2"/>
  <c r="AC187" i="2"/>
  <c r="AC188" i="2"/>
  <c r="AC189" i="2"/>
  <c r="AC192" i="2"/>
  <c r="AC193" i="2"/>
  <c r="AC194" i="2"/>
  <c r="AC195" i="2"/>
  <c r="AC198" i="2"/>
  <c r="AC199" i="2"/>
  <c r="AC200" i="2"/>
  <c r="AC201" i="2"/>
  <c r="AC204" i="2"/>
  <c r="AC205" i="2"/>
  <c r="AC206" i="2"/>
  <c r="AC207" i="2"/>
  <c r="AC210" i="2"/>
  <c r="AC211" i="2"/>
  <c r="AC212" i="2"/>
  <c r="AC213" i="2"/>
  <c r="AC216" i="2"/>
  <c r="AC217" i="2"/>
  <c r="AC218" i="2"/>
  <c r="AC219" i="2"/>
  <c r="AC222" i="2"/>
  <c r="AC223" i="2"/>
  <c r="AC224" i="2"/>
  <c r="AC225" i="2"/>
  <c r="AC228" i="2"/>
  <c r="AC229" i="2"/>
  <c r="AC230" i="2"/>
  <c r="AC231" i="2"/>
  <c r="AC234" i="2"/>
  <c r="AC235" i="2"/>
  <c r="AC236" i="2"/>
  <c r="AC237" i="2"/>
  <c r="AC240" i="2"/>
  <c r="AC241" i="2"/>
  <c r="AC242" i="2"/>
  <c r="AC243" i="2"/>
  <c r="AC246" i="2"/>
  <c r="AC247" i="2"/>
  <c r="AC248" i="2"/>
  <c r="AC249" i="2"/>
  <c r="AC252" i="2"/>
  <c r="AC253" i="2"/>
  <c r="AC254" i="2"/>
  <c r="AC255" i="2"/>
  <c r="AC258" i="2"/>
  <c r="AC259" i="2"/>
  <c r="AC260" i="2"/>
  <c r="AC261" i="2"/>
  <c r="AC264" i="2"/>
  <c r="AC265" i="2"/>
  <c r="AC266" i="2"/>
  <c r="AC267" i="2"/>
  <c r="AC270" i="2"/>
  <c r="AC271" i="2"/>
  <c r="AC272" i="2"/>
  <c r="AC273" i="2"/>
  <c r="AC276" i="2"/>
  <c r="AC277" i="2"/>
  <c r="AC278" i="2"/>
  <c r="AC279" i="2"/>
  <c r="AC282" i="2"/>
  <c r="AC283" i="2"/>
  <c r="AC284" i="2"/>
  <c r="AC285" i="2"/>
  <c r="AC288" i="2"/>
  <c r="AC289" i="2"/>
  <c r="AC290" i="2"/>
  <c r="AC291" i="2"/>
  <c r="AC294" i="2"/>
  <c r="AC295" i="2"/>
  <c r="AC296" i="2"/>
  <c r="AC297" i="2"/>
  <c r="AC300" i="2"/>
  <c r="AC301" i="2"/>
  <c r="AC302" i="2"/>
  <c r="AC303" i="2"/>
  <c r="AC306" i="2"/>
  <c r="AC307" i="2"/>
  <c r="AC308" i="2"/>
  <c r="AC309" i="2"/>
  <c r="AC312" i="2"/>
  <c r="AC313" i="2"/>
  <c r="AC314" i="2"/>
  <c r="AC315" i="2"/>
  <c r="AC318" i="2"/>
  <c r="AC319" i="2"/>
  <c r="AC320" i="2"/>
  <c r="AC321" i="2"/>
  <c r="AC324" i="2"/>
  <c r="AC325" i="2"/>
  <c r="AC326" i="2"/>
  <c r="AC327" i="2"/>
  <c r="AC330" i="2"/>
  <c r="AC331" i="2"/>
  <c r="AC332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E80" i="2"/>
  <c r="AE81" i="2"/>
  <c r="AE84" i="2"/>
  <c r="AE85" i="2"/>
  <c r="AE86" i="2"/>
  <c r="AE87" i="2"/>
  <c r="AE90" i="2"/>
  <c r="AE91" i="2"/>
  <c r="AE92" i="2"/>
  <c r="AE93" i="2"/>
  <c r="AE96" i="2"/>
  <c r="AE97" i="2"/>
  <c r="AE98" i="2"/>
  <c r="AE99" i="2"/>
  <c r="AE102" i="2"/>
  <c r="AE103" i="2"/>
  <c r="AE104" i="2"/>
  <c r="AE105" i="2"/>
  <c r="AE108" i="2"/>
  <c r="AE109" i="2"/>
  <c r="AE110" i="2"/>
  <c r="AE111" i="2"/>
  <c r="AE114" i="2"/>
  <c r="AE115" i="2"/>
  <c r="AE116" i="2"/>
  <c r="AE117" i="2"/>
  <c r="AE120" i="2"/>
  <c r="AE121" i="2"/>
  <c r="AE122" i="2"/>
  <c r="AE123" i="2"/>
  <c r="AE126" i="2"/>
  <c r="AE127" i="2"/>
  <c r="AE128" i="2"/>
  <c r="AE129" i="2"/>
  <c r="AE132" i="2"/>
  <c r="AE133" i="2"/>
  <c r="AE134" i="2"/>
  <c r="AE135" i="2"/>
  <c r="AE138" i="2"/>
  <c r="AE139" i="2"/>
  <c r="AE140" i="2"/>
  <c r="AE141" i="2"/>
  <c r="AE144" i="2"/>
  <c r="AE145" i="2"/>
  <c r="AE146" i="2"/>
  <c r="AE147" i="2"/>
  <c r="AE150" i="2"/>
  <c r="AE151" i="2"/>
  <c r="AE152" i="2"/>
  <c r="AE153" i="2"/>
  <c r="AE156" i="2"/>
  <c r="AE157" i="2"/>
  <c r="AE158" i="2"/>
  <c r="AE159" i="2"/>
  <c r="AE162" i="2"/>
  <c r="AE163" i="2"/>
  <c r="AE164" i="2"/>
  <c r="AE165" i="2"/>
  <c r="AE168" i="2"/>
  <c r="AE169" i="2"/>
  <c r="AE170" i="2"/>
  <c r="AE171" i="2"/>
  <c r="AE174" i="2"/>
  <c r="AE175" i="2"/>
  <c r="AE176" i="2"/>
  <c r="AE177" i="2"/>
  <c r="AE180" i="2"/>
  <c r="AE181" i="2"/>
  <c r="AE182" i="2"/>
  <c r="AE183" i="2"/>
  <c r="AE186" i="2"/>
  <c r="AE187" i="2"/>
  <c r="AE188" i="2"/>
  <c r="AE189" i="2"/>
  <c r="AE192" i="2"/>
  <c r="AE193" i="2"/>
  <c r="AE194" i="2"/>
  <c r="AE195" i="2"/>
  <c r="AE198" i="2"/>
  <c r="AE199" i="2"/>
  <c r="AE200" i="2"/>
  <c r="AE201" i="2"/>
  <c r="AE204" i="2"/>
  <c r="AE205" i="2"/>
  <c r="AE206" i="2"/>
  <c r="AE207" i="2"/>
  <c r="AE210" i="2"/>
  <c r="AE211" i="2"/>
  <c r="AE212" i="2"/>
  <c r="AE213" i="2"/>
  <c r="AE216" i="2"/>
  <c r="AE217" i="2"/>
  <c r="AE218" i="2"/>
  <c r="AE219" i="2"/>
  <c r="AE222" i="2"/>
  <c r="AE223" i="2"/>
  <c r="AE224" i="2"/>
  <c r="AE225" i="2"/>
  <c r="AE228" i="2"/>
  <c r="AE229" i="2"/>
  <c r="AE230" i="2"/>
  <c r="AE231" i="2"/>
  <c r="AE234" i="2"/>
  <c r="AE235" i="2"/>
  <c r="AE236" i="2"/>
  <c r="AE237" i="2"/>
  <c r="AE240" i="2"/>
  <c r="AE241" i="2"/>
  <c r="AE242" i="2"/>
  <c r="AE243" i="2"/>
  <c r="AE246" i="2"/>
  <c r="AE247" i="2"/>
  <c r="AE248" i="2"/>
  <c r="AE249" i="2"/>
  <c r="AE252" i="2"/>
  <c r="AE253" i="2"/>
  <c r="AE254" i="2"/>
  <c r="AE255" i="2"/>
  <c r="AE258" i="2"/>
  <c r="AE259" i="2"/>
  <c r="AE260" i="2"/>
  <c r="AE261" i="2"/>
  <c r="AE264" i="2"/>
  <c r="AE265" i="2"/>
  <c r="AE266" i="2"/>
  <c r="AE267" i="2"/>
  <c r="AE270" i="2"/>
  <c r="AE271" i="2"/>
  <c r="AE272" i="2"/>
  <c r="AE273" i="2"/>
  <c r="AE276" i="2"/>
  <c r="AE277" i="2"/>
  <c r="AE278" i="2"/>
  <c r="AE279" i="2"/>
  <c r="AE282" i="2"/>
  <c r="AE283" i="2"/>
  <c r="AE284" i="2"/>
  <c r="AE285" i="2"/>
  <c r="AE288" i="2"/>
  <c r="AE289" i="2"/>
  <c r="AE290" i="2"/>
  <c r="AE291" i="2"/>
  <c r="AE294" i="2"/>
  <c r="AE295" i="2"/>
  <c r="AE296" i="2"/>
  <c r="AE297" i="2"/>
  <c r="AE300" i="2"/>
  <c r="AE301" i="2"/>
  <c r="AE302" i="2"/>
  <c r="AE303" i="2"/>
  <c r="AE306" i="2"/>
  <c r="AE307" i="2"/>
  <c r="AE308" i="2"/>
  <c r="AE309" i="2"/>
  <c r="AE312" i="2"/>
  <c r="AE313" i="2"/>
  <c r="AE314" i="2"/>
  <c r="AE315" i="2"/>
  <c r="AE318" i="2"/>
  <c r="AE319" i="2"/>
  <c r="AE320" i="2"/>
  <c r="AE321" i="2"/>
  <c r="AE324" i="2"/>
  <c r="AE325" i="2"/>
  <c r="AE326" i="2"/>
  <c r="AE327" i="2"/>
  <c r="AE330" i="2"/>
  <c r="AE331" i="2"/>
  <c r="AE332" i="2"/>
  <c r="AF51" i="2"/>
  <c r="AF56" i="2"/>
  <c r="AF54" i="2"/>
  <c r="AF57" i="2"/>
  <c r="AF59" i="2"/>
  <c r="AF60" i="2"/>
  <c r="AF63" i="2"/>
  <c r="AF64" i="2"/>
  <c r="AF65" i="2"/>
  <c r="AF66" i="2"/>
  <c r="AF69" i="2"/>
  <c r="AF70" i="2"/>
  <c r="AF71" i="2"/>
  <c r="AF72" i="2"/>
  <c r="AF75" i="2"/>
  <c r="AF76" i="2"/>
  <c r="AF77" i="2"/>
  <c r="AF78" i="2"/>
  <c r="AF81" i="2"/>
  <c r="AF82" i="2"/>
  <c r="AF83" i="2"/>
  <c r="AF84" i="2"/>
  <c r="AF87" i="2"/>
  <c r="AF88" i="2"/>
  <c r="AF89" i="2"/>
  <c r="AF90" i="2"/>
  <c r="AF93" i="2"/>
  <c r="AF94" i="2"/>
  <c r="AF95" i="2"/>
  <c r="AF96" i="2"/>
  <c r="AF99" i="2"/>
  <c r="AF100" i="2"/>
  <c r="AF101" i="2"/>
  <c r="AF102" i="2"/>
  <c r="AF105" i="2"/>
  <c r="AF106" i="2"/>
  <c r="AF107" i="2"/>
  <c r="AF108" i="2"/>
  <c r="AF111" i="2"/>
  <c r="AF112" i="2"/>
  <c r="AF113" i="2"/>
  <c r="AF114" i="2"/>
  <c r="AF117" i="2"/>
  <c r="AF118" i="2"/>
  <c r="AF119" i="2"/>
  <c r="AF120" i="2"/>
  <c r="AF123" i="2"/>
  <c r="AF124" i="2"/>
  <c r="AF125" i="2"/>
  <c r="AF126" i="2"/>
  <c r="AF129" i="2"/>
  <c r="AF130" i="2"/>
  <c r="AF131" i="2"/>
  <c r="AF132" i="2"/>
  <c r="AF135" i="2"/>
  <c r="AF136" i="2"/>
  <c r="AF137" i="2"/>
  <c r="AF138" i="2"/>
  <c r="AF141" i="2"/>
  <c r="AF142" i="2"/>
  <c r="AF143" i="2"/>
  <c r="AF144" i="2"/>
  <c r="AF147" i="2"/>
  <c r="AF148" i="2"/>
  <c r="AF149" i="2"/>
  <c r="AF150" i="2"/>
  <c r="AF153" i="2"/>
  <c r="AF154" i="2"/>
  <c r="AF155" i="2"/>
  <c r="AF156" i="2"/>
  <c r="AF159" i="2"/>
  <c r="AF160" i="2"/>
  <c r="AF161" i="2"/>
  <c r="AF162" i="2"/>
  <c r="AF165" i="2"/>
  <c r="AF166" i="2"/>
  <c r="AF167" i="2"/>
  <c r="AF168" i="2"/>
  <c r="AF171" i="2"/>
  <c r="AF172" i="2"/>
  <c r="AF173" i="2"/>
  <c r="AF174" i="2"/>
  <c r="AF177" i="2"/>
  <c r="AF178" i="2"/>
  <c r="AF179" i="2"/>
  <c r="AF180" i="2"/>
  <c r="AF183" i="2"/>
  <c r="AF184" i="2"/>
  <c r="AF185" i="2"/>
  <c r="AF186" i="2"/>
  <c r="AF189" i="2"/>
  <c r="AF190" i="2"/>
  <c r="AF191" i="2"/>
  <c r="AF192" i="2"/>
  <c r="AF195" i="2"/>
  <c r="AF196" i="2"/>
  <c r="AF197" i="2"/>
  <c r="AF198" i="2"/>
  <c r="AF201" i="2"/>
  <c r="AF202" i="2"/>
  <c r="AF203" i="2"/>
  <c r="AF204" i="2"/>
  <c r="AF207" i="2"/>
  <c r="AF208" i="2"/>
  <c r="AF209" i="2"/>
  <c r="AF210" i="2"/>
  <c r="AF213" i="2"/>
  <c r="AF214" i="2"/>
  <c r="AF215" i="2"/>
  <c r="AF216" i="2"/>
  <c r="AF219" i="2"/>
  <c r="AF220" i="2"/>
  <c r="AF221" i="2"/>
  <c r="AF222" i="2"/>
  <c r="AF225" i="2"/>
  <c r="AF226" i="2"/>
  <c r="AF227" i="2"/>
  <c r="AF228" i="2"/>
  <c r="AF231" i="2"/>
  <c r="AF232" i="2"/>
  <c r="AF233" i="2"/>
  <c r="AF234" i="2"/>
  <c r="AF237" i="2"/>
  <c r="AF238" i="2"/>
  <c r="AF239" i="2"/>
  <c r="AF240" i="2"/>
  <c r="AF243" i="2"/>
  <c r="AF244" i="2"/>
  <c r="AF245" i="2"/>
  <c r="AF246" i="2"/>
  <c r="AF249" i="2"/>
  <c r="AF250" i="2"/>
  <c r="AF251" i="2"/>
  <c r="AF252" i="2"/>
  <c r="AF255" i="2"/>
  <c r="AF256" i="2"/>
  <c r="AF257" i="2"/>
  <c r="AF258" i="2"/>
  <c r="AF261" i="2"/>
  <c r="AF262" i="2"/>
  <c r="AF263" i="2"/>
  <c r="AF264" i="2"/>
  <c r="AF267" i="2"/>
  <c r="AF268" i="2"/>
  <c r="AF269" i="2"/>
  <c r="AF270" i="2"/>
  <c r="AF273" i="2"/>
  <c r="AF274" i="2"/>
  <c r="AF275" i="2"/>
  <c r="AF276" i="2"/>
  <c r="AF279" i="2"/>
  <c r="AF280" i="2"/>
  <c r="AF281" i="2"/>
  <c r="AF282" i="2"/>
  <c r="AF285" i="2"/>
  <c r="AF286" i="2"/>
  <c r="AF287" i="2"/>
  <c r="AF288" i="2"/>
  <c r="AF291" i="2"/>
  <c r="AF292" i="2"/>
  <c r="AF293" i="2"/>
  <c r="AF294" i="2"/>
  <c r="AF297" i="2"/>
  <c r="AF298" i="2"/>
  <c r="AF299" i="2"/>
  <c r="AF300" i="2"/>
  <c r="AF303" i="2"/>
  <c r="AF304" i="2"/>
  <c r="AF305" i="2"/>
  <c r="AF306" i="2"/>
  <c r="AF309" i="2"/>
  <c r="AF310" i="2"/>
  <c r="AF311" i="2"/>
  <c r="AF312" i="2"/>
  <c r="AF315" i="2"/>
  <c r="AF316" i="2"/>
  <c r="AF317" i="2"/>
  <c r="AF318" i="2"/>
  <c r="AF321" i="2"/>
  <c r="AF322" i="2"/>
  <c r="AF323" i="2"/>
  <c r="AF324" i="2"/>
  <c r="AF327" i="2"/>
  <c r="AF328" i="2"/>
  <c r="AF329" i="2"/>
  <c r="AF330" i="2"/>
  <c r="J420" i="1"/>
  <c r="AL420" i="1" s="1"/>
  <c r="J421" i="1"/>
  <c r="AL421" i="1" s="1"/>
  <c r="J422" i="1"/>
  <c r="AL422" i="1" s="1"/>
  <c r="J423" i="1"/>
  <c r="J424" i="1"/>
  <c r="J425" i="1"/>
  <c r="AL425" i="1" s="1"/>
  <c r="J426" i="1"/>
  <c r="AL426" i="1" s="1"/>
  <c r="J427" i="1"/>
  <c r="AL427" i="1" s="1"/>
  <c r="J428" i="1"/>
  <c r="AL428" i="1" s="1"/>
  <c r="J429" i="1"/>
  <c r="J430" i="1"/>
  <c r="J431" i="1"/>
  <c r="AL431" i="1" s="1"/>
  <c r="J432" i="1"/>
  <c r="AL432" i="1" s="1"/>
  <c r="J433" i="1"/>
  <c r="AL433" i="1" s="1"/>
  <c r="J434" i="1"/>
  <c r="AL434" i="1" s="1"/>
  <c r="J435" i="1"/>
  <c r="J436" i="1"/>
  <c r="AL436" i="1" s="1"/>
  <c r="J437" i="1"/>
  <c r="AL437" i="1" s="1"/>
  <c r="J438" i="1"/>
  <c r="AL438" i="1" s="1"/>
  <c r="J439" i="1"/>
  <c r="AL439" i="1" s="1"/>
  <c r="J440" i="1"/>
  <c r="AL440" i="1" s="1"/>
  <c r="J441" i="1"/>
  <c r="J442" i="1"/>
  <c r="J443" i="1"/>
  <c r="AL443" i="1" s="1"/>
  <c r="J444" i="1"/>
  <c r="AL444" i="1" s="1"/>
  <c r="J445" i="1"/>
  <c r="AL445" i="1" s="1"/>
  <c r="J446" i="1"/>
  <c r="AL446" i="1" s="1"/>
  <c r="J447" i="1"/>
  <c r="J448" i="1"/>
  <c r="J449" i="1"/>
  <c r="AL449" i="1" s="1"/>
  <c r="J450" i="1"/>
  <c r="AL450" i="1" s="1"/>
  <c r="J451" i="1"/>
  <c r="AL451" i="1" s="1"/>
  <c r="J452" i="1"/>
  <c r="AL452" i="1" s="1"/>
  <c r="J453" i="1"/>
  <c r="J454" i="1"/>
  <c r="AL454" i="1" s="1"/>
  <c r="J455" i="1"/>
  <c r="AL455" i="1" s="1"/>
  <c r="J456" i="1"/>
  <c r="AL456" i="1" s="1"/>
  <c r="R420" i="1"/>
  <c r="AA420" i="1" s="1"/>
  <c r="R421" i="1"/>
  <c r="AA421" i="1" s="1"/>
  <c r="R422" i="1"/>
  <c r="R423" i="1"/>
  <c r="AA423" i="1" s="1"/>
  <c r="R424" i="1"/>
  <c r="AA424" i="1" s="1"/>
  <c r="R425" i="1"/>
  <c r="AA425" i="1" s="1"/>
  <c r="R426" i="1"/>
  <c r="AA426" i="1" s="1"/>
  <c r="R427" i="1"/>
  <c r="AA427" i="1" s="1"/>
  <c r="R428" i="1"/>
  <c r="AA428" i="1" s="1"/>
  <c r="R429" i="1"/>
  <c r="AA429" i="1" s="1"/>
  <c r="R430" i="1"/>
  <c r="AA430" i="1" s="1"/>
  <c r="R431" i="1"/>
  <c r="AA431" i="1" s="1"/>
  <c r="R432" i="1"/>
  <c r="AA432" i="1" s="1"/>
  <c r="R433" i="1"/>
  <c r="AA433" i="1" s="1"/>
  <c r="R434" i="1"/>
  <c r="R435" i="1"/>
  <c r="AA435" i="1" s="1"/>
  <c r="R436" i="1"/>
  <c r="AA436" i="1" s="1"/>
  <c r="R437" i="1"/>
  <c r="AA437" i="1" s="1"/>
  <c r="R438" i="1"/>
  <c r="R439" i="1"/>
  <c r="AA439" i="1" s="1"/>
  <c r="R440" i="1"/>
  <c r="R441" i="1"/>
  <c r="AA441" i="1" s="1"/>
  <c r="R442" i="1"/>
  <c r="AA442" i="1" s="1"/>
  <c r="R443" i="1"/>
  <c r="AA443" i="1" s="1"/>
  <c r="R444" i="1"/>
  <c r="AA444" i="1" s="1"/>
  <c r="R445" i="1"/>
  <c r="AA445" i="1" s="1"/>
  <c r="R446" i="1"/>
  <c r="R447" i="1"/>
  <c r="AA447" i="1" s="1"/>
  <c r="R448" i="1"/>
  <c r="AA448" i="1" s="1"/>
  <c r="R449" i="1"/>
  <c r="AA449" i="1" s="1"/>
  <c r="R450" i="1"/>
  <c r="AA450" i="1" s="1"/>
  <c r="R451" i="1"/>
  <c r="AA451" i="1" s="1"/>
  <c r="R452" i="1"/>
  <c r="AA452" i="1" s="1"/>
  <c r="R453" i="1"/>
  <c r="AA453" i="1" s="1"/>
  <c r="R454" i="1"/>
  <c r="AA454" i="1" s="1"/>
  <c r="R455" i="1"/>
  <c r="AA455" i="1" s="1"/>
  <c r="R456" i="1"/>
  <c r="AA456" i="1" s="1"/>
  <c r="AA422" i="1"/>
  <c r="AA434" i="1"/>
  <c r="AA438" i="1"/>
  <c r="AA440" i="1"/>
  <c r="AA446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C420" i="1"/>
  <c r="AD420" i="1" s="1"/>
  <c r="AC421" i="1"/>
  <c r="AE421" i="1" s="1"/>
  <c r="AC422" i="1"/>
  <c r="AD422" i="1" s="1"/>
  <c r="AC423" i="1"/>
  <c r="AC424" i="1"/>
  <c r="AF424" i="1" s="1"/>
  <c r="AC425" i="1"/>
  <c r="AE425" i="1" s="1"/>
  <c r="AC426" i="1"/>
  <c r="AD426" i="1" s="1"/>
  <c r="AC427" i="1"/>
  <c r="AE427" i="1" s="1"/>
  <c r="AC428" i="1"/>
  <c r="AD428" i="1" s="1"/>
  <c r="AC429" i="1"/>
  <c r="AD429" i="1" s="1"/>
  <c r="AC430" i="1"/>
  <c r="AF430" i="1" s="1"/>
  <c r="AC431" i="1"/>
  <c r="AE431" i="1" s="1"/>
  <c r="AC432" i="1"/>
  <c r="AD432" i="1" s="1"/>
  <c r="AC433" i="1"/>
  <c r="AE433" i="1" s="1"/>
  <c r="AC434" i="1"/>
  <c r="AE434" i="1" s="1"/>
  <c r="AC435" i="1"/>
  <c r="AC436" i="1"/>
  <c r="AD436" i="1" s="1"/>
  <c r="AC437" i="1"/>
  <c r="AE437" i="1" s="1"/>
  <c r="AC438" i="1"/>
  <c r="AD438" i="1" s="1"/>
  <c r="AC439" i="1"/>
  <c r="AE439" i="1" s="1"/>
  <c r="AC440" i="1"/>
  <c r="AD440" i="1" s="1"/>
  <c r="AC441" i="1"/>
  <c r="AF441" i="1" s="1"/>
  <c r="AC442" i="1"/>
  <c r="AF442" i="1" s="1"/>
  <c r="AC443" i="1"/>
  <c r="AE443" i="1" s="1"/>
  <c r="AC444" i="1"/>
  <c r="AD444" i="1" s="1"/>
  <c r="AC445" i="1"/>
  <c r="AE445" i="1" s="1"/>
  <c r="AC446" i="1"/>
  <c r="AE446" i="1" s="1"/>
  <c r="AC447" i="1"/>
  <c r="AD447" i="1" s="1"/>
  <c r="AC448" i="1"/>
  <c r="AF448" i="1" s="1"/>
  <c r="AC449" i="1"/>
  <c r="AE449" i="1" s="1"/>
  <c r="AC450" i="1"/>
  <c r="AD450" i="1" s="1"/>
  <c r="AC451" i="1"/>
  <c r="AE451" i="1" s="1"/>
  <c r="AC452" i="1"/>
  <c r="AF452" i="1" s="1"/>
  <c r="AC453" i="1"/>
  <c r="AF453" i="1" s="1"/>
  <c r="AC454" i="1"/>
  <c r="AF454" i="1" s="1"/>
  <c r="AC455" i="1"/>
  <c r="AE455" i="1" s="1"/>
  <c r="AC456" i="1"/>
  <c r="AD456" i="1" s="1"/>
  <c r="AD423" i="1"/>
  <c r="AD435" i="1"/>
  <c r="AD437" i="1"/>
  <c r="AD441" i="1"/>
  <c r="AD453" i="1"/>
  <c r="AE423" i="1"/>
  <c r="AE435" i="1"/>
  <c r="AE447" i="1"/>
  <c r="AF421" i="1"/>
  <c r="AF423" i="1"/>
  <c r="AF427" i="1"/>
  <c r="AF434" i="1"/>
  <c r="AF435" i="1"/>
  <c r="AF445" i="1"/>
  <c r="AF447" i="1"/>
  <c r="AL423" i="1"/>
  <c r="AG423" i="1" s="1"/>
  <c r="AL424" i="1"/>
  <c r="AK424" i="1" s="1"/>
  <c r="AL429" i="1"/>
  <c r="AG429" i="1" s="1"/>
  <c r="AL430" i="1"/>
  <c r="AL435" i="1"/>
  <c r="AG435" i="1" s="1"/>
  <c r="AL441" i="1"/>
  <c r="AG441" i="1" s="1"/>
  <c r="AL442" i="1"/>
  <c r="AL447" i="1"/>
  <c r="AG447" i="1" s="1"/>
  <c r="AL448" i="1"/>
  <c r="AL453" i="1"/>
  <c r="AG453" i="1" s="1"/>
  <c r="J59" i="1"/>
  <c r="J60" i="1"/>
  <c r="AL60" i="1" s="1"/>
  <c r="J61" i="1"/>
  <c r="J62" i="1"/>
  <c r="J63" i="1"/>
  <c r="J64" i="1"/>
  <c r="J65" i="1"/>
  <c r="AL65" i="1" s="1"/>
  <c r="J66" i="1"/>
  <c r="AL66" i="1" s="1"/>
  <c r="J67" i="1"/>
  <c r="J69" i="1"/>
  <c r="J70" i="1"/>
  <c r="AL70" i="1" s="1"/>
  <c r="J71" i="1"/>
  <c r="J72" i="1"/>
  <c r="AL72" i="1" s="1"/>
  <c r="J73" i="1"/>
  <c r="J74" i="1"/>
  <c r="J75" i="1"/>
  <c r="J76" i="1"/>
  <c r="J77" i="1"/>
  <c r="J78" i="1"/>
  <c r="AL78" i="1" s="1"/>
  <c r="J79" i="1"/>
  <c r="J80" i="1"/>
  <c r="J81" i="1"/>
  <c r="J82" i="1"/>
  <c r="AL82" i="1" s="1"/>
  <c r="J83" i="1"/>
  <c r="AL83" i="1" s="1"/>
  <c r="J84" i="1"/>
  <c r="AL84" i="1" s="1"/>
  <c r="J85" i="1"/>
  <c r="AL85" i="1" s="1"/>
  <c r="J86" i="1"/>
  <c r="J87" i="1"/>
  <c r="J88" i="1"/>
  <c r="J89" i="1"/>
  <c r="AL89" i="1" s="1"/>
  <c r="J90" i="1"/>
  <c r="AL90" i="1" s="1"/>
  <c r="J91" i="1"/>
  <c r="J92" i="1"/>
  <c r="J93" i="1"/>
  <c r="AL93" i="1" s="1"/>
  <c r="J94" i="1"/>
  <c r="J95" i="1"/>
  <c r="J96" i="1"/>
  <c r="AL96" i="1" s="1"/>
  <c r="J97" i="1"/>
  <c r="J98" i="1"/>
  <c r="AL98" i="1" s="1"/>
  <c r="J99" i="1"/>
  <c r="J100" i="1"/>
  <c r="J101" i="1"/>
  <c r="J102" i="1"/>
  <c r="AL102" i="1" s="1"/>
  <c r="J103" i="1"/>
  <c r="J104" i="1"/>
  <c r="J105" i="1"/>
  <c r="J106" i="1"/>
  <c r="J107" i="1"/>
  <c r="J108" i="1"/>
  <c r="AL108" i="1" s="1"/>
  <c r="J109" i="1"/>
  <c r="J110" i="1"/>
  <c r="J111" i="1"/>
  <c r="J112" i="1"/>
  <c r="J113" i="1"/>
  <c r="J114" i="1"/>
  <c r="AL114" i="1" s="1"/>
  <c r="J115" i="1"/>
  <c r="J116" i="1"/>
  <c r="J117" i="1"/>
  <c r="J118" i="1"/>
  <c r="J119" i="1"/>
  <c r="AL119" i="1" s="1"/>
  <c r="J120" i="1"/>
  <c r="J121" i="1"/>
  <c r="J122" i="1"/>
  <c r="J123" i="1"/>
  <c r="J124" i="1"/>
  <c r="J125" i="1"/>
  <c r="AL125" i="1" s="1"/>
  <c r="J126" i="1"/>
  <c r="J127" i="1"/>
  <c r="J128" i="1"/>
  <c r="J129" i="1"/>
  <c r="J130" i="1"/>
  <c r="J131" i="1"/>
  <c r="AL131" i="1" s="1"/>
  <c r="J132" i="1"/>
  <c r="J133" i="1"/>
  <c r="J134" i="1"/>
  <c r="J135" i="1"/>
  <c r="J136" i="1"/>
  <c r="J137" i="1"/>
  <c r="AL137" i="1" s="1"/>
  <c r="J138" i="1"/>
  <c r="J139" i="1"/>
  <c r="J140" i="1"/>
  <c r="J141" i="1"/>
  <c r="J142" i="1"/>
  <c r="J143" i="1"/>
  <c r="AL143" i="1" s="1"/>
  <c r="J144" i="1"/>
  <c r="J145" i="1"/>
  <c r="J146" i="1"/>
  <c r="J147" i="1"/>
  <c r="J148" i="1"/>
  <c r="J149" i="1"/>
  <c r="AL149" i="1" s="1"/>
  <c r="J150" i="1"/>
  <c r="J151" i="1"/>
  <c r="J152" i="1"/>
  <c r="J153" i="1"/>
  <c r="J154" i="1"/>
  <c r="J155" i="1"/>
  <c r="AL155" i="1" s="1"/>
  <c r="J156" i="1"/>
  <c r="J157" i="1"/>
  <c r="J158" i="1"/>
  <c r="J159" i="1"/>
  <c r="J160" i="1"/>
  <c r="J161" i="1"/>
  <c r="AL161" i="1" s="1"/>
  <c r="J162" i="1"/>
  <c r="J163" i="1"/>
  <c r="J164" i="1"/>
  <c r="J165" i="1"/>
  <c r="J166" i="1"/>
  <c r="J167" i="1"/>
  <c r="AL167" i="1" s="1"/>
  <c r="J168" i="1"/>
  <c r="J169" i="1"/>
  <c r="J170" i="1"/>
  <c r="J171" i="1"/>
  <c r="J172" i="1"/>
  <c r="J173" i="1"/>
  <c r="AL173" i="1" s="1"/>
  <c r="J174" i="1"/>
  <c r="J175" i="1"/>
  <c r="J176" i="1"/>
  <c r="J177" i="1"/>
  <c r="J178" i="1"/>
  <c r="J179" i="1"/>
  <c r="AL179" i="1" s="1"/>
  <c r="J180" i="1"/>
  <c r="J181" i="1"/>
  <c r="J182" i="1"/>
  <c r="J183" i="1"/>
  <c r="J184" i="1"/>
  <c r="J185" i="1"/>
  <c r="AL185" i="1" s="1"/>
  <c r="J186" i="1"/>
  <c r="J187" i="1"/>
  <c r="J188" i="1"/>
  <c r="J189" i="1"/>
  <c r="J190" i="1"/>
  <c r="J191" i="1"/>
  <c r="AL191" i="1" s="1"/>
  <c r="J192" i="1"/>
  <c r="J193" i="1"/>
  <c r="J194" i="1"/>
  <c r="J195" i="1"/>
  <c r="J196" i="1"/>
  <c r="J197" i="1"/>
  <c r="AL197" i="1" s="1"/>
  <c r="J198" i="1"/>
  <c r="J199" i="1"/>
  <c r="J200" i="1"/>
  <c r="J201" i="1"/>
  <c r="J202" i="1"/>
  <c r="J203" i="1"/>
  <c r="AL203" i="1" s="1"/>
  <c r="J204" i="1"/>
  <c r="J205" i="1"/>
  <c r="J206" i="1"/>
  <c r="J207" i="1"/>
  <c r="J208" i="1"/>
  <c r="J209" i="1"/>
  <c r="AL209" i="1" s="1"/>
  <c r="J210" i="1"/>
  <c r="J211" i="1"/>
  <c r="J212" i="1"/>
  <c r="J213" i="1"/>
  <c r="J214" i="1"/>
  <c r="J215" i="1"/>
  <c r="AL215" i="1" s="1"/>
  <c r="J216" i="1"/>
  <c r="J217" i="1"/>
  <c r="J218" i="1"/>
  <c r="J219" i="1"/>
  <c r="J220" i="1"/>
  <c r="J221" i="1"/>
  <c r="AL221" i="1" s="1"/>
  <c r="J222" i="1"/>
  <c r="J223" i="1"/>
  <c r="J224" i="1"/>
  <c r="J225" i="1"/>
  <c r="J226" i="1"/>
  <c r="J227" i="1"/>
  <c r="AL227" i="1" s="1"/>
  <c r="J228" i="1"/>
  <c r="J229" i="1"/>
  <c r="J230" i="1"/>
  <c r="J231" i="1"/>
  <c r="J232" i="1"/>
  <c r="J233" i="1"/>
  <c r="AL233" i="1" s="1"/>
  <c r="J234" i="1"/>
  <c r="J235" i="1"/>
  <c r="J236" i="1"/>
  <c r="J237" i="1"/>
  <c r="J238" i="1"/>
  <c r="J239" i="1"/>
  <c r="AL239" i="1" s="1"/>
  <c r="J240" i="1"/>
  <c r="J241" i="1"/>
  <c r="J242" i="1"/>
  <c r="J243" i="1"/>
  <c r="J244" i="1"/>
  <c r="J245" i="1"/>
  <c r="AL245" i="1" s="1"/>
  <c r="J246" i="1"/>
  <c r="J247" i="1"/>
  <c r="J248" i="1"/>
  <c r="J249" i="1"/>
  <c r="J250" i="1"/>
  <c r="J251" i="1"/>
  <c r="AL251" i="1" s="1"/>
  <c r="J252" i="1"/>
  <c r="J253" i="1"/>
  <c r="J254" i="1"/>
  <c r="J255" i="1"/>
  <c r="J256" i="1"/>
  <c r="J257" i="1"/>
  <c r="AL257" i="1" s="1"/>
  <c r="J258" i="1"/>
  <c r="J259" i="1"/>
  <c r="J260" i="1"/>
  <c r="J261" i="1"/>
  <c r="J262" i="1"/>
  <c r="J263" i="1"/>
  <c r="AL263" i="1" s="1"/>
  <c r="J264" i="1"/>
  <c r="J265" i="1"/>
  <c r="J266" i="1"/>
  <c r="J267" i="1"/>
  <c r="J268" i="1"/>
  <c r="J269" i="1"/>
  <c r="AL269" i="1" s="1"/>
  <c r="J270" i="1"/>
  <c r="J271" i="1"/>
  <c r="J272" i="1"/>
  <c r="J273" i="1"/>
  <c r="J274" i="1"/>
  <c r="J275" i="1"/>
  <c r="AL275" i="1" s="1"/>
  <c r="J276" i="1"/>
  <c r="J277" i="1"/>
  <c r="J278" i="1"/>
  <c r="J279" i="1"/>
  <c r="J280" i="1"/>
  <c r="J281" i="1"/>
  <c r="AL281" i="1" s="1"/>
  <c r="J282" i="1"/>
  <c r="J283" i="1"/>
  <c r="J284" i="1"/>
  <c r="J285" i="1"/>
  <c r="J286" i="1"/>
  <c r="J287" i="1"/>
  <c r="AL287" i="1" s="1"/>
  <c r="J288" i="1"/>
  <c r="J289" i="1"/>
  <c r="J290" i="1"/>
  <c r="J291" i="1"/>
  <c r="J292" i="1"/>
  <c r="J293" i="1"/>
  <c r="AL293" i="1" s="1"/>
  <c r="J294" i="1"/>
  <c r="J295" i="1"/>
  <c r="J296" i="1"/>
  <c r="J297" i="1"/>
  <c r="J298" i="1"/>
  <c r="J299" i="1"/>
  <c r="AL299" i="1" s="1"/>
  <c r="J300" i="1"/>
  <c r="J301" i="1"/>
  <c r="J302" i="1"/>
  <c r="J303" i="1"/>
  <c r="J304" i="1"/>
  <c r="J305" i="1"/>
  <c r="AL305" i="1" s="1"/>
  <c r="J306" i="1"/>
  <c r="J307" i="1"/>
  <c r="J308" i="1"/>
  <c r="J309" i="1"/>
  <c r="J310" i="1"/>
  <c r="J311" i="1"/>
  <c r="AL311" i="1" s="1"/>
  <c r="J312" i="1"/>
  <c r="J313" i="1"/>
  <c r="J314" i="1"/>
  <c r="J315" i="1"/>
  <c r="J316" i="1"/>
  <c r="J317" i="1"/>
  <c r="AL317" i="1" s="1"/>
  <c r="J318" i="1"/>
  <c r="J319" i="1"/>
  <c r="J320" i="1"/>
  <c r="J321" i="1"/>
  <c r="J322" i="1"/>
  <c r="J323" i="1"/>
  <c r="AL323" i="1" s="1"/>
  <c r="J324" i="1"/>
  <c r="J325" i="1"/>
  <c r="J326" i="1"/>
  <c r="J327" i="1"/>
  <c r="J328" i="1"/>
  <c r="J329" i="1"/>
  <c r="AL329" i="1" s="1"/>
  <c r="J330" i="1"/>
  <c r="J331" i="1"/>
  <c r="J332" i="1"/>
  <c r="J333" i="1"/>
  <c r="J334" i="1"/>
  <c r="J335" i="1"/>
  <c r="AL335" i="1" s="1"/>
  <c r="J336" i="1"/>
  <c r="J337" i="1"/>
  <c r="J338" i="1"/>
  <c r="J339" i="1"/>
  <c r="J340" i="1"/>
  <c r="J341" i="1"/>
  <c r="AL341" i="1" s="1"/>
  <c r="J342" i="1"/>
  <c r="J343" i="1"/>
  <c r="J344" i="1"/>
  <c r="J345" i="1"/>
  <c r="J346" i="1"/>
  <c r="J347" i="1"/>
  <c r="AL347" i="1" s="1"/>
  <c r="J348" i="1"/>
  <c r="J349" i="1"/>
  <c r="J350" i="1"/>
  <c r="J351" i="1"/>
  <c r="J352" i="1"/>
  <c r="J353" i="1"/>
  <c r="AL353" i="1" s="1"/>
  <c r="J354" i="1"/>
  <c r="J355" i="1"/>
  <c r="J356" i="1"/>
  <c r="J357" i="1"/>
  <c r="J358" i="1"/>
  <c r="J359" i="1"/>
  <c r="AL359" i="1" s="1"/>
  <c r="J360" i="1"/>
  <c r="J361" i="1"/>
  <c r="J362" i="1"/>
  <c r="J363" i="1"/>
  <c r="J364" i="1"/>
  <c r="J365" i="1"/>
  <c r="AL365" i="1" s="1"/>
  <c r="J366" i="1"/>
  <c r="J367" i="1"/>
  <c r="J368" i="1"/>
  <c r="J369" i="1"/>
  <c r="J370" i="1"/>
  <c r="J371" i="1"/>
  <c r="AL371" i="1" s="1"/>
  <c r="J372" i="1"/>
  <c r="J373" i="1"/>
  <c r="J374" i="1"/>
  <c r="J375" i="1"/>
  <c r="J376" i="1"/>
  <c r="J377" i="1"/>
  <c r="AL377" i="1" s="1"/>
  <c r="J378" i="1"/>
  <c r="J379" i="1"/>
  <c r="J380" i="1"/>
  <c r="J381" i="1"/>
  <c r="J382" i="1"/>
  <c r="J383" i="1"/>
  <c r="AL383" i="1" s="1"/>
  <c r="J384" i="1"/>
  <c r="J385" i="1"/>
  <c r="J386" i="1"/>
  <c r="J387" i="1"/>
  <c r="J388" i="1"/>
  <c r="J389" i="1"/>
  <c r="AL389" i="1" s="1"/>
  <c r="J390" i="1"/>
  <c r="J391" i="1"/>
  <c r="J392" i="1"/>
  <c r="J393" i="1"/>
  <c r="J394" i="1"/>
  <c r="J395" i="1"/>
  <c r="AL395" i="1" s="1"/>
  <c r="J396" i="1"/>
  <c r="J397" i="1"/>
  <c r="J398" i="1"/>
  <c r="J399" i="1"/>
  <c r="J400" i="1"/>
  <c r="J401" i="1"/>
  <c r="AL401" i="1" s="1"/>
  <c r="J402" i="1"/>
  <c r="J403" i="1"/>
  <c r="J404" i="1"/>
  <c r="J405" i="1"/>
  <c r="J406" i="1"/>
  <c r="J407" i="1"/>
  <c r="AL407" i="1" s="1"/>
  <c r="J408" i="1"/>
  <c r="J409" i="1"/>
  <c r="J410" i="1"/>
  <c r="J411" i="1"/>
  <c r="J412" i="1"/>
  <c r="J413" i="1"/>
  <c r="AL413" i="1" s="1"/>
  <c r="J414" i="1"/>
  <c r="J415" i="1"/>
  <c r="J416" i="1"/>
  <c r="J417" i="1"/>
  <c r="J418" i="1"/>
  <c r="J419" i="1"/>
  <c r="AL419" i="1" s="1"/>
  <c r="R59" i="1"/>
  <c r="AA59" i="1" s="1"/>
  <c r="R60" i="1"/>
  <c r="AA60" i="1" s="1"/>
  <c r="R61" i="1"/>
  <c r="AA61" i="1" s="1"/>
  <c r="R62" i="1"/>
  <c r="AA62" i="1" s="1"/>
  <c r="R63" i="1"/>
  <c r="AA63" i="1" s="1"/>
  <c r="R64" i="1"/>
  <c r="AA64" i="1" s="1"/>
  <c r="R65" i="1"/>
  <c r="AA65" i="1" s="1"/>
  <c r="R66" i="1"/>
  <c r="AA66" i="1" s="1"/>
  <c r="R67" i="1"/>
  <c r="AA67" i="1" s="1"/>
  <c r="R68" i="1"/>
  <c r="AA68" i="1" s="1"/>
  <c r="R69" i="1"/>
  <c r="AA69" i="1" s="1"/>
  <c r="R70" i="1"/>
  <c r="AA70" i="1" s="1"/>
  <c r="R71" i="1"/>
  <c r="AA71" i="1" s="1"/>
  <c r="R72" i="1"/>
  <c r="AA72" i="1" s="1"/>
  <c r="R73" i="1"/>
  <c r="R74" i="1"/>
  <c r="R75" i="1"/>
  <c r="AA75" i="1" s="1"/>
  <c r="R76" i="1"/>
  <c r="AA76" i="1" s="1"/>
  <c r="R77" i="1"/>
  <c r="AA77" i="1" s="1"/>
  <c r="R78" i="1"/>
  <c r="AA78" i="1" s="1"/>
  <c r="R79" i="1"/>
  <c r="AA79" i="1" s="1"/>
  <c r="R80" i="1"/>
  <c r="AA80" i="1" s="1"/>
  <c r="R81" i="1"/>
  <c r="AA81" i="1" s="1"/>
  <c r="R82" i="1"/>
  <c r="AA82" i="1" s="1"/>
  <c r="R83" i="1"/>
  <c r="AA83" i="1" s="1"/>
  <c r="R84" i="1"/>
  <c r="AA84" i="1" s="1"/>
  <c r="R85" i="1"/>
  <c r="R86" i="1"/>
  <c r="R87" i="1"/>
  <c r="AA87" i="1" s="1"/>
  <c r="R88" i="1"/>
  <c r="AA88" i="1" s="1"/>
  <c r="R89" i="1"/>
  <c r="AA89" i="1" s="1"/>
  <c r="R90" i="1"/>
  <c r="AA90" i="1" s="1"/>
  <c r="R91" i="1"/>
  <c r="R92" i="1"/>
  <c r="AA92" i="1" s="1"/>
  <c r="R93" i="1"/>
  <c r="AA93" i="1" s="1"/>
  <c r="R94" i="1"/>
  <c r="AA94" i="1" s="1"/>
  <c r="R95" i="1"/>
  <c r="AA95" i="1" s="1"/>
  <c r="R96" i="1"/>
  <c r="AA96" i="1" s="1"/>
  <c r="R97" i="1"/>
  <c r="R98" i="1"/>
  <c r="AA98" i="1" s="1"/>
  <c r="R99" i="1"/>
  <c r="R100" i="1"/>
  <c r="AA100" i="1" s="1"/>
  <c r="R101" i="1"/>
  <c r="AA101" i="1" s="1"/>
  <c r="R102" i="1"/>
  <c r="AA102" i="1" s="1"/>
  <c r="R103" i="1"/>
  <c r="AA103" i="1" s="1"/>
  <c r="R104" i="1"/>
  <c r="AA104" i="1" s="1"/>
  <c r="R105" i="1"/>
  <c r="AA105" i="1" s="1"/>
  <c r="R106" i="1"/>
  <c r="AA106" i="1" s="1"/>
  <c r="R107" i="1"/>
  <c r="AA107" i="1" s="1"/>
  <c r="R108" i="1"/>
  <c r="AA108" i="1" s="1"/>
  <c r="R109" i="1"/>
  <c r="R110" i="1"/>
  <c r="R111" i="1"/>
  <c r="AA111" i="1" s="1"/>
  <c r="R112" i="1"/>
  <c r="AA112" i="1" s="1"/>
  <c r="R113" i="1"/>
  <c r="AA113" i="1" s="1"/>
  <c r="R114" i="1"/>
  <c r="AA114" i="1" s="1"/>
  <c r="R115" i="1"/>
  <c r="AA115" i="1" s="1"/>
  <c r="R116" i="1"/>
  <c r="AA116" i="1" s="1"/>
  <c r="R117" i="1"/>
  <c r="AA117" i="1" s="1"/>
  <c r="R118" i="1"/>
  <c r="AA118" i="1" s="1"/>
  <c r="R119" i="1"/>
  <c r="AA119" i="1" s="1"/>
  <c r="R120" i="1"/>
  <c r="R121" i="1"/>
  <c r="R122" i="1"/>
  <c r="AA122" i="1" s="1"/>
  <c r="R123" i="1"/>
  <c r="AA123" i="1" s="1"/>
  <c r="R124" i="1"/>
  <c r="AA124" i="1" s="1"/>
  <c r="R125" i="1"/>
  <c r="AA125" i="1" s="1"/>
  <c r="R126" i="1"/>
  <c r="R127" i="1"/>
  <c r="AA127" i="1" s="1"/>
  <c r="R128" i="1"/>
  <c r="AA128" i="1" s="1"/>
  <c r="R129" i="1"/>
  <c r="AA129" i="1" s="1"/>
  <c r="R130" i="1"/>
  <c r="AA130" i="1" s="1"/>
  <c r="R131" i="1"/>
  <c r="AA131" i="1" s="1"/>
  <c r="R132" i="1"/>
  <c r="R133" i="1"/>
  <c r="R134" i="1"/>
  <c r="R135" i="1"/>
  <c r="AA135" i="1" s="1"/>
  <c r="R136" i="1"/>
  <c r="AA136" i="1" s="1"/>
  <c r="R137" i="1"/>
  <c r="AA137" i="1" s="1"/>
  <c r="R138" i="1"/>
  <c r="R139" i="1"/>
  <c r="AA139" i="1" s="1"/>
  <c r="R140" i="1"/>
  <c r="AA140" i="1" s="1"/>
  <c r="R141" i="1"/>
  <c r="AA141" i="1" s="1"/>
  <c r="R142" i="1"/>
  <c r="AA142" i="1" s="1"/>
  <c r="R143" i="1"/>
  <c r="AA143" i="1" s="1"/>
  <c r="R144" i="1"/>
  <c r="R145" i="1"/>
  <c r="R146" i="1"/>
  <c r="AA146" i="1" s="1"/>
  <c r="R147" i="1"/>
  <c r="AA147" i="1" s="1"/>
  <c r="R148" i="1"/>
  <c r="AA148" i="1" s="1"/>
  <c r="R149" i="1"/>
  <c r="AA149" i="1" s="1"/>
  <c r="R150" i="1"/>
  <c r="AA150" i="1" s="1"/>
  <c r="R151" i="1"/>
  <c r="AA151" i="1" s="1"/>
  <c r="R152" i="1"/>
  <c r="AA152" i="1" s="1"/>
  <c r="R153" i="1"/>
  <c r="AA153" i="1" s="1"/>
  <c r="R154" i="1"/>
  <c r="AA154" i="1" s="1"/>
  <c r="R155" i="1"/>
  <c r="AA155" i="1" s="1"/>
  <c r="R156" i="1"/>
  <c r="R157" i="1"/>
  <c r="R158" i="1"/>
  <c r="AA158" i="1" s="1"/>
  <c r="R159" i="1"/>
  <c r="AA159" i="1" s="1"/>
  <c r="R160" i="1"/>
  <c r="AA160" i="1" s="1"/>
  <c r="R161" i="1"/>
  <c r="AA161" i="1" s="1"/>
  <c r="R162" i="1"/>
  <c r="R163" i="1"/>
  <c r="AA163" i="1" s="1"/>
  <c r="R164" i="1"/>
  <c r="AA164" i="1" s="1"/>
  <c r="R165" i="1"/>
  <c r="AA165" i="1" s="1"/>
  <c r="R166" i="1"/>
  <c r="AA166" i="1" s="1"/>
  <c r="R167" i="1"/>
  <c r="AA167" i="1" s="1"/>
  <c r="R168" i="1"/>
  <c r="R169" i="1"/>
  <c r="R170" i="1"/>
  <c r="R171" i="1"/>
  <c r="AA171" i="1" s="1"/>
  <c r="R172" i="1"/>
  <c r="AA172" i="1" s="1"/>
  <c r="R173" i="1"/>
  <c r="AA173" i="1" s="1"/>
  <c r="R174" i="1"/>
  <c r="R175" i="1"/>
  <c r="AA175" i="1" s="1"/>
  <c r="R176" i="1"/>
  <c r="AA176" i="1" s="1"/>
  <c r="R177" i="1"/>
  <c r="AA177" i="1" s="1"/>
  <c r="R178" i="1"/>
  <c r="AA178" i="1" s="1"/>
  <c r="R179" i="1"/>
  <c r="AA179" i="1" s="1"/>
  <c r="R180" i="1"/>
  <c r="R181" i="1"/>
  <c r="R182" i="1"/>
  <c r="AA182" i="1" s="1"/>
  <c r="R183" i="1"/>
  <c r="AA183" i="1" s="1"/>
  <c r="R184" i="1"/>
  <c r="AA184" i="1" s="1"/>
  <c r="R185" i="1"/>
  <c r="AA185" i="1" s="1"/>
  <c r="R186" i="1"/>
  <c r="AA186" i="1" s="1"/>
  <c r="R187" i="1"/>
  <c r="AA187" i="1" s="1"/>
  <c r="R188" i="1"/>
  <c r="AA188" i="1" s="1"/>
  <c r="R189" i="1"/>
  <c r="AA189" i="1" s="1"/>
  <c r="R190" i="1"/>
  <c r="AA190" i="1" s="1"/>
  <c r="R191" i="1"/>
  <c r="AA191" i="1" s="1"/>
  <c r="R192" i="1"/>
  <c r="R193" i="1"/>
  <c r="R194" i="1"/>
  <c r="AA194" i="1" s="1"/>
  <c r="R195" i="1"/>
  <c r="AA195" i="1" s="1"/>
  <c r="R196" i="1"/>
  <c r="AA196" i="1" s="1"/>
  <c r="R197" i="1"/>
  <c r="AA197" i="1" s="1"/>
  <c r="R198" i="1"/>
  <c r="R199" i="1"/>
  <c r="AA199" i="1" s="1"/>
  <c r="R200" i="1"/>
  <c r="AA200" i="1" s="1"/>
  <c r="R201" i="1"/>
  <c r="AA201" i="1" s="1"/>
  <c r="R202" i="1"/>
  <c r="AA202" i="1" s="1"/>
  <c r="R203" i="1"/>
  <c r="AA203" i="1" s="1"/>
  <c r="R204" i="1"/>
  <c r="R205" i="1"/>
  <c r="R206" i="1"/>
  <c r="R207" i="1"/>
  <c r="AA207" i="1" s="1"/>
  <c r="R208" i="1"/>
  <c r="AA208" i="1" s="1"/>
  <c r="R209" i="1"/>
  <c r="AA209" i="1" s="1"/>
  <c r="R210" i="1"/>
  <c r="R211" i="1"/>
  <c r="AA211" i="1" s="1"/>
  <c r="R212" i="1"/>
  <c r="AA212" i="1" s="1"/>
  <c r="R213" i="1"/>
  <c r="AA213" i="1" s="1"/>
  <c r="R214" i="1"/>
  <c r="AA214" i="1" s="1"/>
  <c r="R215" i="1"/>
  <c r="AA215" i="1" s="1"/>
  <c r="R216" i="1"/>
  <c r="R217" i="1"/>
  <c r="R218" i="1"/>
  <c r="AA218" i="1" s="1"/>
  <c r="R219" i="1"/>
  <c r="AA219" i="1" s="1"/>
  <c r="R220" i="1"/>
  <c r="AA220" i="1" s="1"/>
  <c r="R221" i="1"/>
  <c r="AA221" i="1" s="1"/>
  <c r="R222" i="1"/>
  <c r="AA222" i="1" s="1"/>
  <c r="R223" i="1"/>
  <c r="AA223" i="1" s="1"/>
  <c r="R224" i="1"/>
  <c r="AA224" i="1" s="1"/>
  <c r="R225" i="1"/>
  <c r="AA225" i="1" s="1"/>
  <c r="R226" i="1"/>
  <c r="AA226" i="1" s="1"/>
  <c r="R227" i="1"/>
  <c r="AA227" i="1" s="1"/>
  <c r="R228" i="1"/>
  <c r="R229" i="1"/>
  <c r="R230" i="1"/>
  <c r="AA230" i="1" s="1"/>
  <c r="R231" i="1"/>
  <c r="AA231" i="1" s="1"/>
  <c r="R232" i="1"/>
  <c r="AA232" i="1" s="1"/>
  <c r="R233" i="1"/>
  <c r="AA233" i="1" s="1"/>
  <c r="R234" i="1"/>
  <c r="R235" i="1"/>
  <c r="AA235" i="1" s="1"/>
  <c r="R236" i="1"/>
  <c r="AA236" i="1" s="1"/>
  <c r="R237" i="1"/>
  <c r="AA237" i="1" s="1"/>
  <c r="R238" i="1"/>
  <c r="AA238" i="1" s="1"/>
  <c r="R239" i="1"/>
  <c r="AA239" i="1" s="1"/>
  <c r="R240" i="1"/>
  <c r="R241" i="1"/>
  <c r="R242" i="1"/>
  <c r="R243" i="1"/>
  <c r="AA243" i="1" s="1"/>
  <c r="R244" i="1"/>
  <c r="AA244" i="1" s="1"/>
  <c r="R245" i="1"/>
  <c r="AA245" i="1" s="1"/>
  <c r="R246" i="1"/>
  <c r="R247" i="1"/>
  <c r="AA247" i="1" s="1"/>
  <c r="R248" i="1"/>
  <c r="AA248" i="1" s="1"/>
  <c r="R249" i="1"/>
  <c r="AA249" i="1" s="1"/>
  <c r="R250" i="1"/>
  <c r="AA250" i="1" s="1"/>
  <c r="R251" i="1"/>
  <c r="AA251" i="1" s="1"/>
  <c r="R252" i="1"/>
  <c r="R253" i="1"/>
  <c r="R254" i="1"/>
  <c r="AA254" i="1" s="1"/>
  <c r="R255" i="1"/>
  <c r="AA255" i="1" s="1"/>
  <c r="R256" i="1"/>
  <c r="AA256" i="1" s="1"/>
  <c r="R257" i="1"/>
  <c r="AA257" i="1" s="1"/>
  <c r="R258" i="1"/>
  <c r="AA258" i="1" s="1"/>
  <c r="R259" i="1"/>
  <c r="AA259" i="1" s="1"/>
  <c r="R260" i="1"/>
  <c r="AA260" i="1" s="1"/>
  <c r="R261" i="1"/>
  <c r="AA261" i="1" s="1"/>
  <c r="R262" i="1"/>
  <c r="AA262" i="1" s="1"/>
  <c r="R263" i="1"/>
  <c r="AA263" i="1" s="1"/>
  <c r="R264" i="1"/>
  <c r="R265" i="1"/>
  <c r="R266" i="1"/>
  <c r="AA266" i="1" s="1"/>
  <c r="R267" i="1"/>
  <c r="AA267" i="1" s="1"/>
  <c r="R268" i="1"/>
  <c r="AA268" i="1" s="1"/>
  <c r="R269" i="1"/>
  <c r="AA269" i="1" s="1"/>
  <c r="R270" i="1"/>
  <c r="R271" i="1"/>
  <c r="AA271" i="1" s="1"/>
  <c r="R272" i="1"/>
  <c r="AA272" i="1" s="1"/>
  <c r="R273" i="1"/>
  <c r="AA273" i="1" s="1"/>
  <c r="R274" i="1"/>
  <c r="AA274" i="1" s="1"/>
  <c r="R275" i="1"/>
  <c r="AA275" i="1" s="1"/>
  <c r="R276" i="1"/>
  <c r="R277" i="1"/>
  <c r="R278" i="1"/>
  <c r="R279" i="1"/>
  <c r="AA279" i="1" s="1"/>
  <c r="R280" i="1"/>
  <c r="AA280" i="1" s="1"/>
  <c r="R281" i="1"/>
  <c r="AA281" i="1" s="1"/>
  <c r="R282" i="1"/>
  <c r="R283" i="1"/>
  <c r="AA283" i="1" s="1"/>
  <c r="R284" i="1"/>
  <c r="AA284" i="1" s="1"/>
  <c r="R285" i="1"/>
  <c r="AA285" i="1" s="1"/>
  <c r="R286" i="1"/>
  <c r="AA286" i="1" s="1"/>
  <c r="R287" i="1"/>
  <c r="AA287" i="1" s="1"/>
  <c r="R288" i="1"/>
  <c r="R289" i="1"/>
  <c r="R290" i="1"/>
  <c r="AA290" i="1" s="1"/>
  <c r="R291" i="1"/>
  <c r="AA291" i="1" s="1"/>
  <c r="R292" i="1"/>
  <c r="AA292" i="1" s="1"/>
  <c r="R293" i="1"/>
  <c r="AA293" i="1" s="1"/>
  <c r="R294" i="1"/>
  <c r="AA294" i="1" s="1"/>
  <c r="R295" i="1"/>
  <c r="AA295" i="1" s="1"/>
  <c r="R296" i="1"/>
  <c r="AA296" i="1" s="1"/>
  <c r="R297" i="1"/>
  <c r="AA297" i="1" s="1"/>
  <c r="R298" i="1"/>
  <c r="AA298" i="1" s="1"/>
  <c r="R299" i="1"/>
  <c r="AA299" i="1" s="1"/>
  <c r="R300" i="1"/>
  <c r="R301" i="1"/>
  <c r="R302" i="1"/>
  <c r="AA302" i="1" s="1"/>
  <c r="R303" i="1"/>
  <c r="AA303" i="1" s="1"/>
  <c r="R304" i="1"/>
  <c r="AA304" i="1" s="1"/>
  <c r="R305" i="1"/>
  <c r="AA305" i="1" s="1"/>
  <c r="R306" i="1"/>
  <c r="R307" i="1"/>
  <c r="AA307" i="1" s="1"/>
  <c r="R308" i="1"/>
  <c r="AA308" i="1" s="1"/>
  <c r="R309" i="1"/>
  <c r="AA309" i="1" s="1"/>
  <c r="R310" i="1"/>
  <c r="AA310" i="1" s="1"/>
  <c r="R311" i="1"/>
  <c r="AA311" i="1" s="1"/>
  <c r="R312" i="1"/>
  <c r="R313" i="1"/>
  <c r="R314" i="1"/>
  <c r="R315" i="1"/>
  <c r="AA315" i="1" s="1"/>
  <c r="R316" i="1"/>
  <c r="AA316" i="1" s="1"/>
  <c r="R317" i="1"/>
  <c r="AA317" i="1" s="1"/>
  <c r="R318" i="1"/>
  <c r="R319" i="1"/>
  <c r="AA319" i="1" s="1"/>
  <c r="R320" i="1"/>
  <c r="AA320" i="1" s="1"/>
  <c r="R321" i="1"/>
  <c r="AA321" i="1" s="1"/>
  <c r="R322" i="1"/>
  <c r="AA322" i="1" s="1"/>
  <c r="R323" i="1"/>
  <c r="AA323" i="1" s="1"/>
  <c r="R324" i="1"/>
  <c r="R325" i="1"/>
  <c r="R326" i="1"/>
  <c r="AA326" i="1" s="1"/>
  <c r="R327" i="1"/>
  <c r="AA327" i="1" s="1"/>
  <c r="R328" i="1"/>
  <c r="AA328" i="1" s="1"/>
  <c r="R329" i="1"/>
  <c r="AA329" i="1" s="1"/>
  <c r="R330" i="1"/>
  <c r="AA330" i="1" s="1"/>
  <c r="R331" i="1"/>
  <c r="AA331" i="1" s="1"/>
  <c r="R332" i="1"/>
  <c r="AA332" i="1" s="1"/>
  <c r="R333" i="1"/>
  <c r="AA333" i="1" s="1"/>
  <c r="R334" i="1"/>
  <c r="AA334" i="1" s="1"/>
  <c r="R335" i="1"/>
  <c r="AA335" i="1" s="1"/>
  <c r="R336" i="1"/>
  <c r="R337" i="1"/>
  <c r="R338" i="1"/>
  <c r="AA338" i="1" s="1"/>
  <c r="R339" i="1"/>
  <c r="AA339" i="1" s="1"/>
  <c r="R340" i="1"/>
  <c r="AA340" i="1" s="1"/>
  <c r="R341" i="1"/>
  <c r="AA341" i="1" s="1"/>
  <c r="R342" i="1"/>
  <c r="R343" i="1"/>
  <c r="AA343" i="1" s="1"/>
  <c r="R344" i="1"/>
  <c r="AA344" i="1" s="1"/>
  <c r="R345" i="1"/>
  <c r="AA345" i="1" s="1"/>
  <c r="R346" i="1"/>
  <c r="AA346" i="1" s="1"/>
  <c r="R347" i="1"/>
  <c r="AA347" i="1" s="1"/>
  <c r="R348" i="1"/>
  <c r="R349" i="1"/>
  <c r="R350" i="1"/>
  <c r="R351" i="1"/>
  <c r="AA351" i="1" s="1"/>
  <c r="R352" i="1"/>
  <c r="AA352" i="1" s="1"/>
  <c r="R353" i="1"/>
  <c r="AA353" i="1" s="1"/>
  <c r="R354" i="1"/>
  <c r="R355" i="1"/>
  <c r="AA355" i="1" s="1"/>
  <c r="R356" i="1"/>
  <c r="AA356" i="1" s="1"/>
  <c r="R357" i="1"/>
  <c r="AA357" i="1" s="1"/>
  <c r="R358" i="1"/>
  <c r="AA358" i="1" s="1"/>
  <c r="R359" i="1"/>
  <c r="AA359" i="1" s="1"/>
  <c r="R360" i="1"/>
  <c r="R361" i="1"/>
  <c r="R362" i="1"/>
  <c r="AA362" i="1" s="1"/>
  <c r="R363" i="1"/>
  <c r="AA363" i="1" s="1"/>
  <c r="R364" i="1"/>
  <c r="AA364" i="1" s="1"/>
  <c r="R365" i="1"/>
  <c r="AA365" i="1" s="1"/>
  <c r="R366" i="1"/>
  <c r="AA366" i="1" s="1"/>
  <c r="R367" i="1"/>
  <c r="AA367" i="1" s="1"/>
  <c r="R368" i="1"/>
  <c r="AA368" i="1" s="1"/>
  <c r="R369" i="1"/>
  <c r="AA369" i="1" s="1"/>
  <c r="R370" i="1"/>
  <c r="AA370" i="1" s="1"/>
  <c r="R371" i="1"/>
  <c r="AA371" i="1" s="1"/>
  <c r="R372" i="1"/>
  <c r="R373" i="1"/>
  <c r="R374" i="1"/>
  <c r="AA374" i="1" s="1"/>
  <c r="R375" i="1"/>
  <c r="AA375" i="1" s="1"/>
  <c r="R376" i="1"/>
  <c r="AA376" i="1" s="1"/>
  <c r="R377" i="1"/>
  <c r="AA377" i="1" s="1"/>
  <c r="R378" i="1"/>
  <c r="R379" i="1"/>
  <c r="AA379" i="1" s="1"/>
  <c r="R380" i="1"/>
  <c r="AA380" i="1" s="1"/>
  <c r="R381" i="1"/>
  <c r="AA381" i="1" s="1"/>
  <c r="R382" i="1"/>
  <c r="AA382" i="1" s="1"/>
  <c r="R383" i="1"/>
  <c r="AA383" i="1" s="1"/>
  <c r="R384" i="1"/>
  <c r="AA384" i="1" s="1"/>
  <c r="R385" i="1"/>
  <c r="R386" i="1"/>
  <c r="AA386" i="1" s="1"/>
  <c r="R387" i="1"/>
  <c r="AA387" i="1" s="1"/>
  <c r="R388" i="1"/>
  <c r="AA388" i="1" s="1"/>
  <c r="R389" i="1"/>
  <c r="AA389" i="1" s="1"/>
  <c r="R390" i="1"/>
  <c r="R391" i="1"/>
  <c r="AA391" i="1" s="1"/>
  <c r="R392" i="1"/>
  <c r="AA392" i="1" s="1"/>
  <c r="R393" i="1"/>
  <c r="AA393" i="1" s="1"/>
  <c r="R394" i="1"/>
  <c r="AA394" i="1" s="1"/>
  <c r="R395" i="1"/>
  <c r="AA395" i="1" s="1"/>
  <c r="R396" i="1"/>
  <c r="AA396" i="1" s="1"/>
  <c r="R397" i="1"/>
  <c r="R398" i="1"/>
  <c r="AA398" i="1" s="1"/>
  <c r="R399" i="1"/>
  <c r="AA399" i="1" s="1"/>
  <c r="R400" i="1"/>
  <c r="AA400" i="1" s="1"/>
  <c r="R401" i="1"/>
  <c r="AA401" i="1" s="1"/>
  <c r="R402" i="1"/>
  <c r="AA402" i="1" s="1"/>
  <c r="R403" i="1"/>
  <c r="AA403" i="1" s="1"/>
  <c r="R404" i="1"/>
  <c r="AA404" i="1" s="1"/>
  <c r="R405" i="1"/>
  <c r="AA405" i="1" s="1"/>
  <c r="R406" i="1"/>
  <c r="AA406" i="1" s="1"/>
  <c r="R407" i="1"/>
  <c r="AA407" i="1" s="1"/>
  <c r="R408" i="1"/>
  <c r="AA408" i="1" s="1"/>
  <c r="R409" i="1"/>
  <c r="R410" i="1"/>
  <c r="AA410" i="1" s="1"/>
  <c r="R411" i="1"/>
  <c r="AA411" i="1" s="1"/>
  <c r="R412" i="1"/>
  <c r="AA412" i="1" s="1"/>
  <c r="R413" i="1"/>
  <c r="AA413" i="1" s="1"/>
  <c r="R414" i="1"/>
  <c r="AA414" i="1" s="1"/>
  <c r="R415" i="1"/>
  <c r="AA415" i="1" s="1"/>
  <c r="R416" i="1"/>
  <c r="AA416" i="1" s="1"/>
  <c r="R417" i="1"/>
  <c r="AA417" i="1" s="1"/>
  <c r="R418" i="1"/>
  <c r="AA418" i="1" s="1"/>
  <c r="R419" i="1"/>
  <c r="AA419" i="1" s="1"/>
  <c r="AA73" i="1"/>
  <c r="AA74" i="1"/>
  <c r="AA85" i="1"/>
  <c r="AA86" i="1"/>
  <c r="AA91" i="1"/>
  <c r="AA97" i="1"/>
  <c r="AA99" i="1"/>
  <c r="AA109" i="1"/>
  <c r="AA110" i="1"/>
  <c r="AA120" i="1"/>
  <c r="AA121" i="1"/>
  <c r="AA126" i="1"/>
  <c r="AA132" i="1"/>
  <c r="AA133" i="1"/>
  <c r="AA134" i="1"/>
  <c r="AA138" i="1"/>
  <c r="AA144" i="1"/>
  <c r="AA145" i="1"/>
  <c r="AA156" i="1"/>
  <c r="AA157" i="1"/>
  <c r="AA162" i="1"/>
  <c r="AA168" i="1"/>
  <c r="AA169" i="1"/>
  <c r="AA170" i="1"/>
  <c r="AA174" i="1"/>
  <c r="AA180" i="1"/>
  <c r="AA181" i="1"/>
  <c r="AA192" i="1"/>
  <c r="AA193" i="1"/>
  <c r="AA198" i="1"/>
  <c r="AA204" i="1"/>
  <c r="AA205" i="1"/>
  <c r="AA206" i="1"/>
  <c r="AA210" i="1"/>
  <c r="AA216" i="1"/>
  <c r="AA217" i="1"/>
  <c r="AA228" i="1"/>
  <c r="AA229" i="1"/>
  <c r="AA234" i="1"/>
  <c r="AA240" i="1"/>
  <c r="AA241" i="1"/>
  <c r="AA242" i="1"/>
  <c r="AA246" i="1"/>
  <c r="AA252" i="1"/>
  <c r="AA253" i="1"/>
  <c r="AA264" i="1"/>
  <c r="AA265" i="1"/>
  <c r="AA270" i="1"/>
  <c r="AA276" i="1"/>
  <c r="AA277" i="1"/>
  <c r="AA278" i="1"/>
  <c r="AA282" i="1"/>
  <c r="AA288" i="1"/>
  <c r="AA289" i="1"/>
  <c r="AA300" i="1"/>
  <c r="AA301" i="1"/>
  <c r="AA306" i="1"/>
  <c r="AA312" i="1"/>
  <c r="AA313" i="1"/>
  <c r="AA314" i="1"/>
  <c r="AA318" i="1"/>
  <c r="AA324" i="1"/>
  <c r="AA325" i="1"/>
  <c r="AA336" i="1"/>
  <c r="AA337" i="1"/>
  <c r="AA342" i="1"/>
  <c r="AA348" i="1"/>
  <c r="AA349" i="1"/>
  <c r="AA350" i="1"/>
  <c r="AA354" i="1"/>
  <c r="AA360" i="1"/>
  <c r="AA361" i="1"/>
  <c r="AA372" i="1"/>
  <c r="AA373" i="1"/>
  <c r="AA378" i="1"/>
  <c r="AA385" i="1"/>
  <c r="AA390" i="1"/>
  <c r="AA397" i="1"/>
  <c r="AA409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D115" i="1" s="1"/>
  <c r="AC116" i="1"/>
  <c r="AD116" i="1" s="1"/>
  <c r="AC117" i="1"/>
  <c r="AD117" i="1" s="1"/>
  <c r="AC118" i="1"/>
  <c r="AE118" i="1" s="1"/>
  <c r="AC119" i="1"/>
  <c r="AE119" i="1" s="1"/>
  <c r="AC120" i="1"/>
  <c r="AD120" i="1" s="1"/>
  <c r="AC121" i="1"/>
  <c r="AD121" i="1" s="1"/>
  <c r="AC122" i="1"/>
  <c r="AD122" i="1" s="1"/>
  <c r="AC123" i="1"/>
  <c r="AC124" i="1"/>
  <c r="AD124" i="1" s="1"/>
  <c r="AC125" i="1"/>
  <c r="AF125" i="1" s="1"/>
  <c r="AC126" i="1"/>
  <c r="AD126" i="1" s="1"/>
  <c r="AC127" i="1"/>
  <c r="AD127" i="1" s="1"/>
  <c r="AC128" i="1"/>
  <c r="AD128" i="1" s="1"/>
  <c r="AC129" i="1"/>
  <c r="AD129" i="1" s="1"/>
  <c r="AC130" i="1"/>
  <c r="AE130" i="1" s="1"/>
  <c r="AC131" i="1"/>
  <c r="AE131" i="1" s="1"/>
  <c r="AC132" i="1"/>
  <c r="AD132" i="1" s="1"/>
  <c r="AC133" i="1"/>
  <c r="AD133" i="1" s="1"/>
  <c r="AC134" i="1"/>
  <c r="AD134" i="1" s="1"/>
  <c r="AC135" i="1"/>
  <c r="AF135" i="1" s="1"/>
  <c r="AC136" i="1"/>
  <c r="AD136" i="1" s="1"/>
  <c r="AC137" i="1"/>
  <c r="AD137" i="1" s="1"/>
  <c r="AC138" i="1"/>
  <c r="AD138" i="1" s="1"/>
  <c r="AC139" i="1"/>
  <c r="AD139" i="1" s="1"/>
  <c r="AC140" i="1"/>
  <c r="AD140" i="1" s="1"/>
  <c r="AC141" i="1"/>
  <c r="AD141" i="1" s="1"/>
  <c r="AC142" i="1"/>
  <c r="AE142" i="1" s="1"/>
  <c r="AC143" i="1"/>
  <c r="AF143" i="1" s="1"/>
  <c r="AC144" i="1"/>
  <c r="AD144" i="1" s="1"/>
  <c r="AC145" i="1"/>
  <c r="AD145" i="1" s="1"/>
  <c r="AC146" i="1"/>
  <c r="AD146" i="1" s="1"/>
  <c r="AC147" i="1"/>
  <c r="AF147" i="1" s="1"/>
  <c r="AC148" i="1"/>
  <c r="AD148" i="1" s="1"/>
  <c r="AC149" i="1"/>
  <c r="AF149" i="1" s="1"/>
  <c r="AC150" i="1"/>
  <c r="AD150" i="1" s="1"/>
  <c r="AC151" i="1"/>
  <c r="AD151" i="1" s="1"/>
  <c r="AC152" i="1"/>
  <c r="AD152" i="1" s="1"/>
  <c r="AC153" i="1"/>
  <c r="AD153" i="1" s="1"/>
  <c r="AC154" i="1"/>
  <c r="AD154" i="1" s="1"/>
  <c r="AC155" i="1"/>
  <c r="AE155" i="1" s="1"/>
  <c r="AC156" i="1"/>
  <c r="AD156" i="1" s="1"/>
  <c r="AC157" i="1"/>
  <c r="AD157" i="1" s="1"/>
  <c r="AC158" i="1"/>
  <c r="AD158" i="1" s="1"/>
  <c r="AC159" i="1"/>
  <c r="AC160" i="1"/>
  <c r="AF160" i="1" s="1"/>
  <c r="AC161" i="1"/>
  <c r="AF161" i="1" s="1"/>
  <c r="AC162" i="1"/>
  <c r="AD162" i="1" s="1"/>
  <c r="AC163" i="1"/>
  <c r="AD163" i="1" s="1"/>
  <c r="AC164" i="1"/>
  <c r="AD164" i="1" s="1"/>
  <c r="AC165" i="1"/>
  <c r="AD165" i="1" s="1"/>
  <c r="AC166" i="1"/>
  <c r="AF166" i="1" s="1"/>
  <c r="AC167" i="1"/>
  <c r="AD167" i="1" s="1"/>
  <c r="AC168" i="1"/>
  <c r="AD168" i="1" s="1"/>
  <c r="AC169" i="1"/>
  <c r="AD169" i="1" s="1"/>
  <c r="AC170" i="1"/>
  <c r="AD170" i="1" s="1"/>
  <c r="AC171" i="1"/>
  <c r="AF171" i="1" s="1"/>
  <c r="AC172" i="1"/>
  <c r="AE172" i="1" s="1"/>
  <c r="AC173" i="1"/>
  <c r="AE173" i="1" s="1"/>
  <c r="AC174" i="1"/>
  <c r="AD174" i="1" s="1"/>
  <c r="AC175" i="1"/>
  <c r="AD175" i="1" s="1"/>
  <c r="AC176" i="1"/>
  <c r="AD176" i="1" s="1"/>
  <c r="AC177" i="1"/>
  <c r="AD177" i="1" s="1"/>
  <c r="AC178" i="1"/>
  <c r="AD178" i="1" s="1"/>
  <c r="AC179" i="1"/>
  <c r="AF179" i="1" s="1"/>
  <c r="AC180" i="1"/>
  <c r="AD180" i="1" s="1"/>
  <c r="AC181" i="1"/>
  <c r="AD181" i="1" s="1"/>
  <c r="AC182" i="1"/>
  <c r="AD182" i="1" s="1"/>
  <c r="AC183" i="1"/>
  <c r="AF183" i="1" s="1"/>
  <c r="AC184" i="1"/>
  <c r="AE184" i="1" s="1"/>
  <c r="AC185" i="1"/>
  <c r="AE185" i="1" s="1"/>
  <c r="AC186" i="1"/>
  <c r="AD186" i="1" s="1"/>
  <c r="AC187" i="1"/>
  <c r="AD187" i="1" s="1"/>
  <c r="AC188" i="1"/>
  <c r="AD188" i="1" s="1"/>
  <c r="AC189" i="1"/>
  <c r="AD189" i="1" s="1"/>
  <c r="AC190" i="1"/>
  <c r="AF190" i="1" s="1"/>
  <c r="AC191" i="1"/>
  <c r="AF191" i="1" s="1"/>
  <c r="AC192" i="1"/>
  <c r="AD192" i="1" s="1"/>
  <c r="AC193" i="1"/>
  <c r="AD193" i="1" s="1"/>
  <c r="AC194" i="1"/>
  <c r="AD194" i="1" s="1"/>
  <c r="AC195" i="1"/>
  <c r="AC196" i="1"/>
  <c r="AD196" i="1" s="1"/>
  <c r="AC197" i="1"/>
  <c r="AF197" i="1" s="1"/>
  <c r="AC198" i="1"/>
  <c r="AD198" i="1" s="1"/>
  <c r="AC199" i="1"/>
  <c r="AD199" i="1" s="1"/>
  <c r="AC200" i="1"/>
  <c r="AD200" i="1" s="1"/>
  <c r="AC201" i="1"/>
  <c r="AD201" i="1" s="1"/>
  <c r="AC202" i="1"/>
  <c r="AE202" i="1" s="1"/>
  <c r="AC203" i="1"/>
  <c r="AE203" i="1" s="1"/>
  <c r="AC204" i="1"/>
  <c r="AD204" i="1" s="1"/>
  <c r="AC205" i="1"/>
  <c r="AD205" i="1" s="1"/>
  <c r="AC206" i="1"/>
  <c r="AD206" i="1" s="1"/>
  <c r="AC207" i="1"/>
  <c r="AF207" i="1" s="1"/>
  <c r="AC208" i="1"/>
  <c r="AD208" i="1" s="1"/>
  <c r="AC209" i="1"/>
  <c r="AD209" i="1" s="1"/>
  <c r="AC210" i="1"/>
  <c r="AD210" i="1" s="1"/>
  <c r="AC211" i="1"/>
  <c r="AD211" i="1" s="1"/>
  <c r="AC212" i="1"/>
  <c r="AD212" i="1" s="1"/>
  <c r="AC213" i="1"/>
  <c r="AD213" i="1" s="1"/>
  <c r="AC214" i="1"/>
  <c r="AF214" i="1" s="1"/>
  <c r="AC215" i="1"/>
  <c r="AF215" i="1" s="1"/>
  <c r="AC216" i="1"/>
  <c r="AD216" i="1" s="1"/>
  <c r="AC217" i="1"/>
  <c r="AD217" i="1" s="1"/>
  <c r="AC218" i="1"/>
  <c r="AD218" i="1" s="1"/>
  <c r="AC219" i="1"/>
  <c r="AF219" i="1" s="1"/>
  <c r="AC220" i="1"/>
  <c r="AF220" i="1" s="1"/>
  <c r="AC221" i="1"/>
  <c r="AD221" i="1" s="1"/>
  <c r="AC222" i="1"/>
  <c r="AD222" i="1" s="1"/>
  <c r="AC223" i="1"/>
  <c r="AD223" i="1" s="1"/>
  <c r="AC224" i="1"/>
  <c r="AD224" i="1" s="1"/>
  <c r="AC225" i="1"/>
  <c r="AD225" i="1" s="1"/>
  <c r="AC226" i="1"/>
  <c r="AD226" i="1" s="1"/>
  <c r="AC227" i="1"/>
  <c r="AE227" i="1" s="1"/>
  <c r="AC228" i="1"/>
  <c r="AD228" i="1" s="1"/>
  <c r="AC229" i="1"/>
  <c r="AD229" i="1" s="1"/>
  <c r="AC230" i="1"/>
  <c r="AD230" i="1" s="1"/>
  <c r="AC231" i="1"/>
  <c r="AC232" i="1"/>
  <c r="AE232" i="1" s="1"/>
  <c r="AC233" i="1"/>
  <c r="AF233" i="1" s="1"/>
  <c r="AC234" i="1"/>
  <c r="AD234" i="1" s="1"/>
  <c r="AC235" i="1"/>
  <c r="AD235" i="1" s="1"/>
  <c r="AC236" i="1"/>
  <c r="AD236" i="1" s="1"/>
  <c r="AC237" i="1"/>
  <c r="AD237" i="1" s="1"/>
  <c r="AC238" i="1"/>
  <c r="AD238" i="1" s="1"/>
  <c r="AC239" i="1"/>
  <c r="AD239" i="1" s="1"/>
  <c r="AC240" i="1"/>
  <c r="AD240" i="1" s="1"/>
  <c r="AC241" i="1"/>
  <c r="AD241" i="1" s="1"/>
  <c r="AC242" i="1"/>
  <c r="AD242" i="1" s="1"/>
  <c r="AC243" i="1"/>
  <c r="AF243" i="1" s="1"/>
  <c r="AC244" i="1"/>
  <c r="AF244" i="1" s="1"/>
  <c r="AC245" i="1"/>
  <c r="AF245" i="1" s="1"/>
  <c r="AC246" i="1"/>
  <c r="AD246" i="1" s="1"/>
  <c r="AC247" i="1"/>
  <c r="AD247" i="1" s="1"/>
  <c r="AC248" i="1"/>
  <c r="AD248" i="1" s="1"/>
  <c r="AC249" i="1"/>
  <c r="AD249" i="1" s="1"/>
  <c r="AC250" i="1"/>
  <c r="AD250" i="1" s="1"/>
  <c r="AC251" i="1"/>
  <c r="AF251" i="1" s="1"/>
  <c r="AC252" i="1"/>
  <c r="AD252" i="1" s="1"/>
  <c r="AC253" i="1"/>
  <c r="AD253" i="1" s="1"/>
  <c r="AC254" i="1"/>
  <c r="AD254" i="1" s="1"/>
  <c r="AC255" i="1"/>
  <c r="AF255" i="1" s="1"/>
  <c r="AC256" i="1"/>
  <c r="AE256" i="1" s="1"/>
  <c r="AC257" i="1"/>
  <c r="AF257" i="1" s="1"/>
  <c r="AC258" i="1"/>
  <c r="AD258" i="1" s="1"/>
  <c r="AC259" i="1"/>
  <c r="AD259" i="1" s="1"/>
  <c r="AC260" i="1"/>
  <c r="AD260" i="1" s="1"/>
  <c r="AC261" i="1"/>
  <c r="AD261" i="1" s="1"/>
  <c r="AC262" i="1"/>
  <c r="AE262" i="1" s="1"/>
  <c r="AC263" i="1"/>
  <c r="AE263" i="1" s="1"/>
  <c r="AC264" i="1"/>
  <c r="AD264" i="1" s="1"/>
  <c r="AC265" i="1"/>
  <c r="AD265" i="1" s="1"/>
  <c r="AC266" i="1"/>
  <c r="AD266" i="1" s="1"/>
  <c r="AC267" i="1"/>
  <c r="AC268" i="1"/>
  <c r="AD268" i="1" s="1"/>
  <c r="AC269" i="1"/>
  <c r="AF269" i="1" s="1"/>
  <c r="AC270" i="1"/>
  <c r="AD270" i="1" s="1"/>
  <c r="AC271" i="1"/>
  <c r="AD271" i="1" s="1"/>
  <c r="AC272" i="1"/>
  <c r="AD272" i="1" s="1"/>
  <c r="AC273" i="1"/>
  <c r="AD273" i="1" s="1"/>
  <c r="AC274" i="1"/>
  <c r="AF274" i="1" s="1"/>
  <c r="AC275" i="1"/>
  <c r="AE275" i="1" s="1"/>
  <c r="AC276" i="1"/>
  <c r="AD276" i="1" s="1"/>
  <c r="AC277" i="1"/>
  <c r="AD277" i="1" s="1"/>
  <c r="AC278" i="1"/>
  <c r="AD278" i="1" s="1"/>
  <c r="AC279" i="1"/>
  <c r="AF279" i="1" s="1"/>
  <c r="AC280" i="1"/>
  <c r="AD280" i="1" s="1"/>
  <c r="AC281" i="1"/>
  <c r="AD281" i="1" s="1"/>
  <c r="AC282" i="1"/>
  <c r="AD282" i="1" s="1"/>
  <c r="AC283" i="1"/>
  <c r="AD283" i="1" s="1"/>
  <c r="AC284" i="1"/>
  <c r="AD284" i="1" s="1"/>
  <c r="AC285" i="1"/>
  <c r="AD285" i="1" s="1"/>
  <c r="AC286" i="1"/>
  <c r="AE286" i="1" s="1"/>
  <c r="AC287" i="1"/>
  <c r="AF287" i="1" s="1"/>
  <c r="AC288" i="1"/>
  <c r="AD288" i="1" s="1"/>
  <c r="AC289" i="1"/>
  <c r="AD289" i="1" s="1"/>
  <c r="AC290" i="1"/>
  <c r="AD290" i="1" s="1"/>
  <c r="AC291" i="1"/>
  <c r="AF291" i="1" s="1"/>
  <c r="AC292" i="1"/>
  <c r="AD292" i="1" s="1"/>
  <c r="AC293" i="1"/>
  <c r="AE293" i="1" s="1"/>
  <c r="AC294" i="1"/>
  <c r="AD294" i="1" s="1"/>
  <c r="AC295" i="1"/>
  <c r="AD295" i="1" s="1"/>
  <c r="AC296" i="1"/>
  <c r="AD296" i="1" s="1"/>
  <c r="AC297" i="1"/>
  <c r="AD297" i="1" s="1"/>
  <c r="AC298" i="1"/>
  <c r="AD298" i="1" s="1"/>
  <c r="AC299" i="1"/>
  <c r="AF299" i="1" s="1"/>
  <c r="AC300" i="1"/>
  <c r="AD300" i="1" s="1"/>
  <c r="AC301" i="1"/>
  <c r="AD301" i="1" s="1"/>
  <c r="AC302" i="1"/>
  <c r="AD302" i="1" s="1"/>
  <c r="AC303" i="1"/>
  <c r="AC304" i="1"/>
  <c r="AE304" i="1" s="1"/>
  <c r="AC305" i="1"/>
  <c r="AF305" i="1" s="1"/>
  <c r="AC306" i="1"/>
  <c r="AD306" i="1" s="1"/>
  <c r="AC307" i="1"/>
  <c r="AD307" i="1" s="1"/>
  <c r="AC308" i="1"/>
  <c r="AD308" i="1" s="1"/>
  <c r="AC309" i="1"/>
  <c r="AD309" i="1" s="1"/>
  <c r="AC310" i="1"/>
  <c r="AD310" i="1" s="1"/>
  <c r="AC311" i="1"/>
  <c r="AD311" i="1" s="1"/>
  <c r="AC312" i="1"/>
  <c r="AD312" i="1" s="1"/>
  <c r="AC313" i="1"/>
  <c r="AD313" i="1" s="1"/>
  <c r="AC314" i="1"/>
  <c r="AD314" i="1" s="1"/>
  <c r="AC315" i="1"/>
  <c r="AF315" i="1" s="1"/>
  <c r="AC316" i="1"/>
  <c r="AE316" i="1" s="1"/>
  <c r="AC317" i="1"/>
  <c r="AE317" i="1" s="1"/>
  <c r="AC318" i="1"/>
  <c r="AD318" i="1" s="1"/>
  <c r="AC319" i="1"/>
  <c r="AD319" i="1" s="1"/>
  <c r="AC320" i="1"/>
  <c r="AD320" i="1" s="1"/>
  <c r="AC321" i="1"/>
  <c r="AD321" i="1" s="1"/>
  <c r="AC322" i="1"/>
  <c r="AF322" i="1" s="1"/>
  <c r="AC323" i="1"/>
  <c r="AF323" i="1" s="1"/>
  <c r="AC324" i="1"/>
  <c r="AD324" i="1" s="1"/>
  <c r="AC325" i="1"/>
  <c r="AD325" i="1" s="1"/>
  <c r="AC326" i="1"/>
  <c r="AD326" i="1" s="1"/>
  <c r="AC327" i="1"/>
  <c r="AF327" i="1" s="1"/>
  <c r="AC328" i="1"/>
  <c r="AF328" i="1" s="1"/>
  <c r="AC329" i="1"/>
  <c r="AE329" i="1" s="1"/>
  <c r="AC330" i="1"/>
  <c r="AD330" i="1" s="1"/>
  <c r="AC331" i="1"/>
  <c r="AC332" i="1"/>
  <c r="AD332" i="1" s="1"/>
  <c r="AC333" i="1"/>
  <c r="AD333" i="1" s="1"/>
  <c r="AC334" i="1"/>
  <c r="AE334" i="1" s="1"/>
  <c r="AC335" i="1"/>
  <c r="AE335" i="1" s="1"/>
  <c r="AC336" i="1"/>
  <c r="AD336" i="1" s="1"/>
  <c r="AC337" i="1"/>
  <c r="AC338" i="1"/>
  <c r="AD338" i="1" s="1"/>
  <c r="AC339" i="1"/>
  <c r="AC340" i="1"/>
  <c r="AD340" i="1" s="1"/>
  <c r="AC341" i="1"/>
  <c r="AF341" i="1" s="1"/>
  <c r="AC342" i="1"/>
  <c r="AD342" i="1" s="1"/>
  <c r="AC343" i="1"/>
  <c r="AC344" i="1"/>
  <c r="AD344" i="1" s="1"/>
  <c r="AC345" i="1"/>
  <c r="AD345" i="1" s="1"/>
  <c r="AC346" i="1"/>
  <c r="AE346" i="1" s="1"/>
  <c r="AC347" i="1"/>
  <c r="AE347" i="1" s="1"/>
  <c r="AC348" i="1"/>
  <c r="AD348" i="1" s="1"/>
  <c r="AC349" i="1"/>
  <c r="AC350" i="1"/>
  <c r="AD350" i="1" s="1"/>
  <c r="AC351" i="1"/>
  <c r="AF351" i="1" s="1"/>
  <c r="AC352" i="1"/>
  <c r="AF352" i="1" s="1"/>
  <c r="AC353" i="1"/>
  <c r="AD353" i="1" s="1"/>
  <c r="AC354" i="1"/>
  <c r="AD354" i="1" s="1"/>
  <c r="AC355" i="1"/>
  <c r="AC356" i="1"/>
  <c r="AD356" i="1" s="1"/>
  <c r="AC357" i="1"/>
  <c r="AD357" i="1" s="1"/>
  <c r="AC358" i="1"/>
  <c r="AE358" i="1" s="1"/>
  <c r="AC359" i="1"/>
  <c r="AF359" i="1" s="1"/>
  <c r="AC360" i="1"/>
  <c r="AD360" i="1" s="1"/>
  <c r="AC361" i="1"/>
  <c r="AC362" i="1"/>
  <c r="AD362" i="1" s="1"/>
  <c r="AC363" i="1"/>
  <c r="AF363" i="1" s="1"/>
  <c r="AC364" i="1"/>
  <c r="AD364" i="1" s="1"/>
  <c r="AC365" i="1"/>
  <c r="AE365" i="1" s="1"/>
  <c r="AC366" i="1"/>
  <c r="AD366" i="1" s="1"/>
  <c r="AC367" i="1"/>
  <c r="AC368" i="1"/>
  <c r="AD368" i="1" s="1"/>
  <c r="AC369" i="1"/>
  <c r="AD369" i="1" s="1"/>
  <c r="AC370" i="1"/>
  <c r="AD370" i="1" s="1"/>
  <c r="AC371" i="1"/>
  <c r="AE371" i="1" s="1"/>
  <c r="AC372" i="1"/>
  <c r="AD372" i="1" s="1"/>
  <c r="AC373" i="1"/>
  <c r="AC374" i="1"/>
  <c r="AD374" i="1" s="1"/>
  <c r="AC375" i="1"/>
  <c r="AC376" i="1"/>
  <c r="AF376" i="1" s="1"/>
  <c r="AC377" i="1"/>
  <c r="AF377" i="1" s="1"/>
  <c r="AC378" i="1"/>
  <c r="AD378" i="1" s="1"/>
  <c r="AC379" i="1"/>
  <c r="AC380" i="1"/>
  <c r="AD380" i="1" s="1"/>
  <c r="AC381" i="1"/>
  <c r="AD381" i="1" s="1"/>
  <c r="AC382" i="1"/>
  <c r="AF382" i="1" s="1"/>
  <c r="AC383" i="1"/>
  <c r="AD383" i="1" s="1"/>
  <c r="AC384" i="1"/>
  <c r="AD384" i="1" s="1"/>
  <c r="AC385" i="1"/>
  <c r="AC386" i="1"/>
  <c r="AD386" i="1" s="1"/>
  <c r="AC387" i="1"/>
  <c r="AF387" i="1" s="1"/>
  <c r="AC388" i="1"/>
  <c r="AE388" i="1" s="1"/>
  <c r="AC389" i="1"/>
  <c r="AE389" i="1" s="1"/>
  <c r="AC390" i="1"/>
  <c r="AD390" i="1" s="1"/>
  <c r="AC391" i="1"/>
  <c r="AC392" i="1"/>
  <c r="AD392" i="1" s="1"/>
  <c r="AC393" i="1"/>
  <c r="AD393" i="1" s="1"/>
  <c r="AC394" i="1"/>
  <c r="AD394" i="1" s="1"/>
  <c r="AC395" i="1"/>
  <c r="AF395" i="1" s="1"/>
  <c r="AC396" i="1"/>
  <c r="AD396" i="1" s="1"/>
  <c r="AC397" i="1"/>
  <c r="AD397" i="1" s="1"/>
  <c r="AC398" i="1"/>
  <c r="AD398" i="1" s="1"/>
  <c r="AC399" i="1"/>
  <c r="AF399" i="1" s="1"/>
  <c r="AC400" i="1"/>
  <c r="AE400" i="1" s="1"/>
  <c r="AC401" i="1"/>
  <c r="AE401" i="1" s="1"/>
  <c r="AC402" i="1"/>
  <c r="AD402" i="1" s="1"/>
  <c r="AC403" i="1"/>
  <c r="AD403" i="1" s="1"/>
  <c r="AC404" i="1"/>
  <c r="AD404" i="1" s="1"/>
  <c r="AC405" i="1"/>
  <c r="AD405" i="1" s="1"/>
  <c r="AC406" i="1"/>
  <c r="AF406" i="1" s="1"/>
  <c r="AC407" i="1"/>
  <c r="AF407" i="1" s="1"/>
  <c r="AC408" i="1"/>
  <c r="AD408" i="1" s="1"/>
  <c r="AC409" i="1"/>
  <c r="AD409" i="1" s="1"/>
  <c r="AC410" i="1"/>
  <c r="AD410" i="1" s="1"/>
  <c r="AC411" i="1"/>
  <c r="AC412" i="1"/>
  <c r="AD412" i="1" s="1"/>
  <c r="AC413" i="1"/>
  <c r="AF413" i="1" s="1"/>
  <c r="AC414" i="1"/>
  <c r="AD414" i="1" s="1"/>
  <c r="AC415" i="1"/>
  <c r="AD415" i="1" s="1"/>
  <c r="AC416" i="1"/>
  <c r="AD416" i="1" s="1"/>
  <c r="AC417" i="1"/>
  <c r="AD417" i="1" s="1"/>
  <c r="AC418" i="1"/>
  <c r="AE418" i="1" s="1"/>
  <c r="AC419" i="1"/>
  <c r="AF419" i="1" s="1"/>
  <c r="AD118" i="1"/>
  <c r="AD123" i="1"/>
  <c r="AD130" i="1"/>
  <c r="AD135" i="1"/>
  <c r="AD142" i="1"/>
  <c r="AD143" i="1"/>
  <c r="AD147" i="1"/>
  <c r="AD159" i="1"/>
  <c r="AD160" i="1"/>
  <c r="AD171" i="1"/>
  <c r="AD172" i="1"/>
  <c r="AD173" i="1"/>
  <c r="AD183" i="1"/>
  <c r="AD184" i="1"/>
  <c r="AD185" i="1"/>
  <c r="AD190" i="1"/>
  <c r="AD195" i="1"/>
  <c r="AD202" i="1"/>
  <c r="AD207" i="1"/>
  <c r="AD214" i="1"/>
  <c r="AD215" i="1"/>
  <c r="AD219" i="1"/>
  <c r="AD231" i="1"/>
  <c r="AD232" i="1"/>
  <c r="AD243" i="1"/>
  <c r="AD244" i="1"/>
  <c r="AD255" i="1"/>
  <c r="AD256" i="1"/>
  <c r="AD257" i="1"/>
  <c r="AD262" i="1"/>
  <c r="AD267" i="1"/>
  <c r="AD274" i="1"/>
  <c r="AD279" i="1"/>
  <c r="AD287" i="1"/>
  <c r="AD291" i="1"/>
  <c r="AD303" i="1"/>
  <c r="AD315" i="1"/>
  <c r="AD327" i="1"/>
  <c r="AD329" i="1"/>
  <c r="AD339" i="1"/>
  <c r="AD351" i="1"/>
  <c r="AD359" i="1"/>
  <c r="AD363" i="1"/>
  <c r="AD375" i="1"/>
  <c r="AD387" i="1"/>
  <c r="AD399" i="1"/>
  <c r="AD401" i="1"/>
  <c r="AD411" i="1"/>
  <c r="AE115" i="1"/>
  <c r="AE116" i="1"/>
  <c r="AE117" i="1"/>
  <c r="AE121" i="1"/>
  <c r="AE122" i="1"/>
  <c r="AE123" i="1"/>
  <c r="AE127" i="1"/>
  <c r="AE128" i="1"/>
  <c r="AE129" i="1"/>
  <c r="AE133" i="1"/>
  <c r="AE134" i="1"/>
  <c r="AE135" i="1"/>
  <c r="AE139" i="1"/>
  <c r="AE140" i="1"/>
  <c r="AE141" i="1"/>
  <c r="AE145" i="1"/>
  <c r="AE146" i="1"/>
  <c r="AE147" i="1"/>
  <c r="AE151" i="1"/>
  <c r="AE152" i="1"/>
  <c r="AE153" i="1"/>
  <c r="AE157" i="1"/>
  <c r="AE158" i="1"/>
  <c r="AE159" i="1"/>
  <c r="AE163" i="1"/>
  <c r="AE164" i="1"/>
  <c r="AE165" i="1"/>
  <c r="AE169" i="1"/>
  <c r="AE170" i="1"/>
  <c r="AE171" i="1"/>
  <c r="AE175" i="1"/>
  <c r="AE176" i="1"/>
  <c r="AE177" i="1"/>
  <c r="AE181" i="1"/>
  <c r="AE182" i="1"/>
  <c r="AE183" i="1"/>
  <c r="AE187" i="1"/>
  <c r="AE188" i="1"/>
  <c r="AE189" i="1"/>
  <c r="AE193" i="1"/>
  <c r="AE194" i="1"/>
  <c r="AE195" i="1"/>
  <c r="AE199" i="1"/>
  <c r="AE200" i="1"/>
  <c r="AE201" i="1"/>
  <c r="AE205" i="1"/>
  <c r="AE206" i="1"/>
  <c r="AE207" i="1"/>
  <c r="AE211" i="1"/>
  <c r="AE212" i="1"/>
  <c r="AE213" i="1"/>
  <c r="AE217" i="1"/>
  <c r="AE218" i="1"/>
  <c r="AE219" i="1"/>
  <c r="AE223" i="1"/>
  <c r="AE224" i="1"/>
  <c r="AE225" i="1"/>
  <c r="AE229" i="1"/>
  <c r="AE230" i="1"/>
  <c r="AE231" i="1"/>
  <c r="AE235" i="1"/>
  <c r="AE236" i="1"/>
  <c r="AE237" i="1"/>
  <c r="AE241" i="1"/>
  <c r="AE242" i="1"/>
  <c r="AE243" i="1"/>
  <c r="AE247" i="1"/>
  <c r="AE248" i="1"/>
  <c r="AE249" i="1"/>
  <c r="AE253" i="1"/>
  <c r="AE254" i="1"/>
  <c r="AE255" i="1"/>
  <c r="AE259" i="1"/>
  <c r="AE260" i="1"/>
  <c r="AE261" i="1"/>
  <c r="AE265" i="1"/>
  <c r="AE266" i="1"/>
  <c r="AE267" i="1"/>
  <c r="AE271" i="1"/>
  <c r="AE272" i="1"/>
  <c r="AE273" i="1"/>
  <c r="AE277" i="1"/>
  <c r="AE278" i="1"/>
  <c r="AE279" i="1"/>
  <c r="AE283" i="1"/>
  <c r="AE284" i="1"/>
  <c r="AE285" i="1"/>
  <c r="AE289" i="1"/>
  <c r="AE290" i="1"/>
  <c r="AE291" i="1"/>
  <c r="AE295" i="1"/>
  <c r="AE296" i="1"/>
  <c r="AE297" i="1"/>
  <c r="AE301" i="1"/>
  <c r="AE302" i="1"/>
  <c r="AE303" i="1"/>
  <c r="AE307" i="1"/>
  <c r="AE308" i="1"/>
  <c r="AE309" i="1"/>
  <c r="AE313" i="1"/>
  <c r="AE314" i="1"/>
  <c r="AE315" i="1"/>
  <c r="AE319" i="1"/>
  <c r="AE320" i="1"/>
  <c r="AE321" i="1"/>
  <c r="AE325" i="1"/>
  <c r="AE326" i="1"/>
  <c r="AE327" i="1"/>
  <c r="AE331" i="1"/>
  <c r="AE332" i="1"/>
  <c r="AE333" i="1"/>
  <c r="AE337" i="1"/>
  <c r="AE338" i="1"/>
  <c r="AE339" i="1"/>
  <c r="AE343" i="1"/>
  <c r="AE344" i="1"/>
  <c r="AE345" i="1"/>
  <c r="AE349" i="1"/>
  <c r="AE350" i="1"/>
  <c r="AE351" i="1"/>
  <c r="AE355" i="1"/>
  <c r="AE356" i="1"/>
  <c r="AE357" i="1"/>
  <c r="AE361" i="1"/>
  <c r="AE362" i="1"/>
  <c r="AE363" i="1"/>
  <c r="AE367" i="1"/>
  <c r="AE368" i="1"/>
  <c r="AE369" i="1"/>
  <c r="AE373" i="1"/>
  <c r="AE375" i="1"/>
  <c r="AE379" i="1"/>
  <c r="AE380" i="1"/>
  <c r="AE381" i="1"/>
  <c r="AE385" i="1"/>
  <c r="AE387" i="1"/>
  <c r="AE391" i="1"/>
  <c r="AE392" i="1"/>
  <c r="AE393" i="1"/>
  <c r="AE397" i="1"/>
  <c r="AE399" i="1"/>
  <c r="AE403" i="1"/>
  <c r="AE404" i="1"/>
  <c r="AE405" i="1"/>
  <c r="AE409" i="1"/>
  <c r="AE411" i="1"/>
  <c r="AE415" i="1"/>
  <c r="AE416" i="1"/>
  <c r="AE417" i="1"/>
  <c r="AF116" i="1"/>
  <c r="AF118" i="1"/>
  <c r="AF122" i="1"/>
  <c r="AF123" i="1"/>
  <c r="AF124" i="1"/>
  <c r="AF130" i="1"/>
  <c r="AF131" i="1"/>
  <c r="AF134" i="1"/>
  <c r="AF140" i="1"/>
  <c r="AF141" i="1"/>
  <c r="AF142" i="1"/>
  <c r="AF152" i="1"/>
  <c r="AF154" i="1"/>
  <c r="AF155" i="1"/>
  <c r="AF158" i="1"/>
  <c r="AF159" i="1"/>
  <c r="AF167" i="1"/>
  <c r="AF170" i="1"/>
  <c r="AF172" i="1"/>
  <c r="AF176" i="1"/>
  <c r="AF177" i="1"/>
  <c r="AF178" i="1"/>
  <c r="AF184" i="1"/>
  <c r="AF185" i="1"/>
  <c r="AF188" i="1"/>
  <c r="AF194" i="1"/>
  <c r="AF195" i="1"/>
  <c r="AF196" i="1"/>
  <c r="AF206" i="1"/>
  <c r="AF208" i="1"/>
  <c r="AF209" i="1"/>
  <c r="AF212" i="1"/>
  <c r="AF213" i="1"/>
  <c r="AF221" i="1"/>
  <c r="AF224" i="1"/>
  <c r="AF226" i="1"/>
  <c r="AF230" i="1"/>
  <c r="AF231" i="1"/>
  <c r="AF232" i="1"/>
  <c r="AF238" i="1"/>
  <c r="AF239" i="1"/>
  <c r="AF242" i="1"/>
  <c r="AF248" i="1"/>
  <c r="AF249" i="1"/>
  <c r="AF250" i="1"/>
  <c r="AF260" i="1"/>
  <c r="AF262" i="1"/>
  <c r="AF263" i="1"/>
  <c r="AF266" i="1"/>
  <c r="AF267" i="1"/>
  <c r="AF275" i="1"/>
  <c r="AF278" i="1"/>
  <c r="AF280" i="1"/>
  <c r="AF284" i="1"/>
  <c r="AF285" i="1"/>
  <c r="AF286" i="1"/>
  <c r="AF292" i="1"/>
  <c r="AF293" i="1"/>
  <c r="AF296" i="1"/>
  <c r="AF302" i="1"/>
  <c r="AF303" i="1"/>
  <c r="AF304" i="1"/>
  <c r="AF316" i="1"/>
  <c r="AF317" i="1"/>
  <c r="AF320" i="1"/>
  <c r="AF321" i="1"/>
  <c r="AF329" i="1"/>
  <c r="AF332" i="1"/>
  <c r="AF334" i="1"/>
  <c r="AF338" i="1"/>
  <c r="AF339" i="1"/>
  <c r="AF340" i="1"/>
  <c r="AF346" i="1"/>
  <c r="AF347" i="1"/>
  <c r="AF350" i="1"/>
  <c r="AF356" i="1"/>
  <c r="AF357" i="1"/>
  <c r="AF358" i="1"/>
  <c r="AF370" i="1"/>
  <c r="AF371" i="1"/>
  <c r="AF374" i="1"/>
  <c r="AF375" i="1"/>
  <c r="AF383" i="1"/>
  <c r="AF386" i="1"/>
  <c r="AF388" i="1"/>
  <c r="AF392" i="1"/>
  <c r="AF393" i="1"/>
  <c r="AF394" i="1"/>
  <c r="AF400" i="1"/>
  <c r="AF401" i="1"/>
  <c r="AF404" i="1"/>
  <c r="AF409" i="1"/>
  <c r="AF410" i="1"/>
  <c r="AF411" i="1"/>
  <c r="AF416" i="1"/>
  <c r="AF417" i="1"/>
  <c r="AF418" i="1"/>
  <c r="AL59" i="1"/>
  <c r="AL61" i="1"/>
  <c r="AL62" i="1"/>
  <c r="AL63" i="1"/>
  <c r="AL64" i="1"/>
  <c r="AL67" i="1"/>
  <c r="AL69" i="1"/>
  <c r="AL71" i="1"/>
  <c r="AL73" i="1"/>
  <c r="AL74" i="1"/>
  <c r="AL75" i="1"/>
  <c r="AL76" i="1"/>
  <c r="AL77" i="1"/>
  <c r="AL79" i="1"/>
  <c r="AL80" i="1"/>
  <c r="AL81" i="1"/>
  <c r="AL86" i="1"/>
  <c r="AL87" i="1"/>
  <c r="AL88" i="1"/>
  <c r="AL91" i="1"/>
  <c r="AL92" i="1"/>
  <c r="AL94" i="1"/>
  <c r="AL95" i="1"/>
  <c r="AL97" i="1"/>
  <c r="AL99" i="1"/>
  <c r="AL100" i="1"/>
  <c r="AL101" i="1"/>
  <c r="AL103" i="1"/>
  <c r="AL104" i="1"/>
  <c r="AL105" i="1"/>
  <c r="AL106" i="1"/>
  <c r="AL107" i="1"/>
  <c r="AL109" i="1"/>
  <c r="AL110" i="1"/>
  <c r="AL111" i="1"/>
  <c r="AL112" i="1"/>
  <c r="AL113" i="1"/>
  <c r="AL115" i="1"/>
  <c r="AL116" i="1"/>
  <c r="AH116" i="1" s="1"/>
  <c r="AL117" i="1"/>
  <c r="AK117" i="1" s="1"/>
  <c r="AL118" i="1"/>
  <c r="AL120" i="1"/>
  <c r="AK120" i="1" s="1"/>
  <c r="AL121" i="1"/>
  <c r="AL122" i="1"/>
  <c r="AK122" i="1" s="1"/>
  <c r="AL123" i="1"/>
  <c r="AK123" i="1" s="1"/>
  <c r="AL124" i="1"/>
  <c r="AL126" i="1"/>
  <c r="AJ126" i="1" s="1"/>
  <c r="AL127" i="1"/>
  <c r="AL128" i="1"/>
  <c r="AG128" i="1" s="1"/>
  <c r="AL129" i="1"/>
  <c r="AL130" i="1"/>
  <c r="AL132" i="1"/>
  <c r="AJ132" i="1" s="1"/>
  <c r="AL133" i="1"/>
  <c r="AL134" i="1"/>
  <c r="AG134" i="1" s="1"/>
  <c r="AL135" i="1"/>
  <c r="AL136" i="1"/>
  <c r="AL138" i="1"/>
  <c r="AH138" i="1" s="1"/>
  <c r="AL139" i="1"/>
  <c r="AL140" i="1"/>
  <c r="AG140" i="1" s="1"/>
  <c r="AL141" i="1"/>
  <c r="AH141" i="1" s="1"/>
  <c r="AL142" i="1"/>
  <c r="AL144" i="1"/>
  <c r="AH144" i="1" s="1"/>
  <c r="AL145" i="1"/>
  <c r="AL146" i="1"/>
  <c r="AG146" i="1" s="1"/>
  <c r="AL147" i="1"/>
  <c r="AL148" i="1"/>
  <c r="AL150" i="1"/>
  <c r="AH150" i="1" s="1"/>
  <c r="AL151" i="1"/>
  <c r="AL152" i="1"/>
  <c r="AG152" i="1" s="1"/>
  <c r="AL153" i="1"/>
  <c r="AK153" i="1" s="1"/>
  <c r="AL154" i="1"/>
  <c r="AL156" i="1"/>
  <c r="AK156" i="1" s="1"/>
  <c r="AL157" i="1"/>
  <c r="AL158" i="1"/>
  <c r="AH158" i="1" s="1"/>
  <c r="AL159" i="1"/>
  <c r="AH159" i="1" s="1"/>
  <c r="AL160" i="1"/>
  <c r="AL162" i="1"/>
  <c r="AJ162" i="1" s="1"/>
  <c r="AL163" i="1"/>
  <c r="AL164" i="1"/>
  <c r="AK164" i="1" s="1"/>
  <c r="AL165" i="1"/>
  <c r="AL166" i="1"/>
  <c r="AL168" i="1"/>
  <c r="AK168" i="1" s="1"/>
  <c r="AL169" i="1"/>
  <c r="AL170" i="1"/>
  <c r="AG170" i="1" s="1"/>
  <c r="AL171" i="1"/>
  <c r="AL172" i="1"/>
  <c r="AL174" i="1"/>
  <c r="AH174" i="1" s="1"/>
  <c r="AL175" i="1"/>
  <c r="AL176" i="1"/>
  <c r="AG176" i="1" s="1"/>
  <c r="AL177" i="1"/>
  <c r="AH177" i="1" s="1"/>
  <c r="AL178" i="1"/>
  <c r="AL180" i="1"/>
  <c r="AH180" i="1" s="1"/>
  <c r="AL181" i="1"/>
  <c r="AL182" i="1"/>
  <c r="AG182" i="1" s="1"/>
  <c r="AL183" i="1"/>
  <c r="AL184" i="1"/>
  <c r="AL186" i="1"/>
  <c r="AH186" i="1" s="1"/>
  <c r="AL187" i="1"/>
  <c r="AL188" i="1"/>
  <c r="AJ188" i="1" s="1"/>
  <c r="AL189" i="1"/>
  <c r="AK189" i="1" s="1"/>
  <c r="AL190" i="1"/>
  <c r="AL192" i="1"/>
  <c r="AJ192" i="1" s="1"/>
  <c r="AL193" i="1"/>
  <c r="AL194" i="1"/>
  <c r="AG194" i="1" s="1"/>
  <c r="AL195" i="1"/>
  <c r="AH195" i="1" s="1"/>
  <c r="AL196" i="1"/>
  <c r="AL198" i="1"/>
  <c r="AK198" i="1" s="1"/>
  <c r="AL199" i="1"/>
  <c r="AL200" i="1"/>
  <c r="AK200" i="1" s="1"/>
  <c r="AL201" i="1"/>
  <c r="AL202" i="1"/>
  <c r="AL204" i="1"/>
  <c r="AK204" i="1" s="1"/>
  <c r="AL205" i="1"/>
  <c r="AL206" i="1"/>
  <c r="AG206" i="1" s="1"/>
  <c r="AL207" i="1"/>
  <c r="AL208" i="1"/>
  <c r="AL210" i="1"/>
  <c r="AH210" i="1" s="1"/>
  <c r="AL211" i="1"/>
  <c r="AL212" i="1"/>
  <c r="AG212" i="1" s="1"/>
  <c r="AL213" i="1"/>
  <c r="AH213" i="1" s="1"/>
  <c r="AL214" i="1"/>
  <c r="AL216" i="1"/>
  <c r="AH216" i="1" s="1"/>
  <c r="AL217" i="1"/>
  <c r="AL218" i="1"/>
  <c r="AG218" i="1" s="1"/>
  <c r="AL219" i="1"/>
  <c r="AL220" i="1"/>
  <c r="AL222" i="1"/>
  <c r="AH222" i="1" s="1"/>
  <c r="AL223" i="1"/>
  <c r="AL224" i="1"/>
  <c r="AJ224" i="1" s="1"/>
  <c r="AL225" i="1"/>
  <c r="AK225" i="1" s="1"/>
  <c r="AL226" i="1"/>
  <c r="AL228" i="1"/>
  <c r="AJ228" i="1" s="1"/>
  <c r="AL229" i="1"/>
  <c r="AL230" i="1"/>
  <c r="AH230" i="1" s="1"/>
  <c r="AL231" i="1"/>
  <c r="AH231" i="1" s="1"/>
  <c r="AL232" i="1"/>
  <c r="AL234" i="1"/>
  <c r="AK234" i="1" s="1"/>
  <c r="AL235" i="1"/>
  <c r="AL236" i="1"/>
  <c r="AG236" i="1" s="1"/>
  <c r="AL237" i="1"/>
  <c r="AL238" i="1"/>
  <c r="AL240" i="1"/>
  <c r="AJ240" i="1" s="1"/>
  <c r="AL241" i="1"/>
  <c r="AL242" i="1"/>
  <c r="AG242" i="1" s="1"/>
  <c r="AL243" i="1"/>
  <c r="AL244" i="1"/>
  <c r="AL246" i="1"/>
  <c r="AH246" i="1" s="1"/>
  <c r="AL247" i="1"/>
  <c r="AL248" i="1"/>
  <c r="AG248" i="1" s="1"/>
  <c r="AL249" i="1"/>
  <c r="AH249" i="1" s="1"/>
  <c r="AL250" i="1"/>
  <c r="AL252" i="1"/>
  <c r="AH252" i="1" s="1"/>
  <c r="AL253" i="1"/>
  <c r="AL254" i="1"/>
  <c r="AG254" i="1" s="1"/>
  <c r="AL255" i="1"/>
  <c r="AL256" i="1"/>
  <c r="AL258" i="1"/>
  <c r="AH258" i="1" s="1"/>
  <c r="AL259" i="1"/>
  <c r="AL260" i="1"/>
  <c r="AG260" i="1" s="1"/>
  <c r="AL261" i="1"/>
  <c r="AK261" i="1" s="1"/>
  <c r="AL262" i="1"/>
  <c r="AL264" i="1"/>
  <c r="AK264" i="1" s="1"/>
  <c r="AL265" i="1"/>
  <c r="AL266" i="1"/>
  <c r="AH266" i="1" s="1"/>
  <c r="AL267" i="1"/>
  <c r="AH267" i="1" s="1"/>
  <c r="AL268" i="1"/>
  <c r="AL270" i="1"/>
  <c r="AK270" i="1" s="1"/>
  <c r="AL271" i="1"/>
  <c r="AL272" i="1"/>
  <c r="AK272" i="1" s="1"/>
  <c r="AL273" i="1"/>
  <c r="AL274" i="1"/>
  <c r="AL276" i="1"/>
  <c r="AJ276" i="1" s="1"/>
  <c r="AL277" i="1"/>
  <c r="AL278" i="1"/>
  <c r="AG278" i="1" s="1"/>
  <c r="AL279" i="1"/>
  <c r="AL280" i="1"/>
  <c r="AL282" i="1"/>
  <c r="AH282" i="1" s="1"/>
  <c r="AL283" i="1"/>
  <c r="AL284" i="1"/>
  <c r="AG284" i="1" s="1"/>
  <c r="AL285" i="1"/>
  <c r="AH285" i="1" s="1"/>
  <c r="AL286" i="1"/>
  <c r="AL288" i="1"/>
  <c r="AH288" i="1" s="1"/>
  <c r="AL289" i="1"/>
  <c r="AL290" i="1"/>
  <c r="AG290" i="1" s="1"/>
  <c r="AL291" i="1"/>
  <c r="AL292" i="1"/>
  <c r="AL294" i="1"/>
  <c r="AH294" i="1" s="1"/>
  <c r="AL295" i="1"/>
  <c r="AL296" i="1"/>
  <c r="AJ296" i="1" s="1"/>
  <c r="AL297" i="1"/>
  <c r="AK297" i="1" s="1"/>
  <c r="AL298" i="1"/>
  <c r="AL300" i="1"/>
  <c r="AK300" i="1" s="1"/>
  <c r="AL301" i="1"/>
  <c r="AL302" i="1"/>
  <c r="AG302" i="1" s="1"/>
  <c r="AL303" i="1"/>
  <c r="AH303" i="1" s="1"/>
  <c r="AL304" i="1"/>
  <c r="AL306" i="1"/>
  <c r="AK306" i="1" s="1"/>
  <c r="AL307" i="1"/>
  <c r="AL308" i="1"/>
  <c r="AK308" i="1" s="1"/>
  <c r="AL309" i="1"/>
  <c r="AL310" i="1"/>
  <c r="AL312" i="1"/>
  <c r="AK312" i="1" s="1"/>
  <c r="AL313" i="1"/>
  <c r="AL314" i="1"/>
  <c r="AG314" i="1" s="1"/>
  <c r="AL315" i="1"/>
  <c r="AL316" i="1"/>
  <c r="AL318" i="1"/>
  <c r="AH318" i="1" s="1"/>
  <c r="AL319" i="1"/>
  <c r="AL320" i="1"/>
  <c r="AG320" i="1" s="1"/>
  <c r="AL321" i="1"/>
  <c r="AH321" i="1" s="1"/>
  <c r="AL322" i="1"/>
  <c r="AL324" i="1"/>
  <c r="AH324" i="1" s="1"/>
  <c r="AL325" i="1"/>
  <c r="AL326" i="1"/>
  <c r="AG326" i="1" s="1"/>
  <c r="AL327" i="1"/>
  <c r="AL328" i="1"/>
  <c r="AL330" i="1"/>
  <c r="AH330" i="1" s="1"/>
  <c r="AL331" i="1"/>
  <c r="AL332" i="1"/>
  <c r="AJ332" i="1" s="1"/>
  <c r="AL333" i="1"/>
  <c r="AK333" i="1" s="1"/>
  <c r="AL334" i="1"/>
  <c r="AL336" i="1"/>
  <c r="AK336" i="1" s="1"/>
  <c r="AL337" i="1"/>
  <c r="AL338" i="1"/>
  <c r="AH338" i="1" s="1"/>
  <c r="AL339" i="1"/>
  <c r="AH339" i="1" s="1"/>
  <c r="AL340" i="1"/>
  <c r="AL342" i="1"/>
  <c r="AJ342" i="1" s="1"/>
  <c r="AL343" i="1"/>
  <c r="AL344" i="1"/>
  <c r="AG344" i="1" s="1"/>
  <c r="AL345" i="1"/>
  <c r="AL346" i="1"/>
  <c r="AL348" i="1"/>
  <c r="AJ348" i="1" s="1"/>
  <c r="AL349" i="1"/>
  <c r="AL350" i="1"/>
  <c r="AG350" i="1" s="1"/>
  <c r="AL351" i="1"/>
  <c r="AL352" i="1"/>
  <c r="AL354" i="1"/>
  <c r="AH354" i="1" s="1"/>
  <c r="AL355" i="1"/>
  <c r="AL356" i="1"/>
  <c r="AG356" i="1" s="1"/>
  <c r="AL357" i="1"/>
  <c r="AH357" i="1" s="1"/>
  <c r="AL358" i="1"/>
  <c r="AL360" i="1"/>
  <c r="AH360" i="1" s="1"/>
  <c r="AL361" i="1"/>
  <c r="AL362" i="1"/>
  <c r="AG362" i="1" s="1"/>
  <c r="AL363" i="1"/>
  <c r="AL364" i="1"/>
  <c r="AL366" i="1"/>
  <c r="AH366" i="1" s="1"/>
  <c r="AL367" i="1"/>
  <c r="AL368" i="1"/>
  <c r="AG368" i="1" s="1"/>
  <c r="AL369" i="1"/>
  <c r="AK369" i="1" s="1"/>
  <c r="AL370" i="1"/>
  <c r="AL372" i="1"/>
  <c r="AJ372" i="1" s="1"/>
  <c r="AL373" i="1"/>
  <c r="AL374" i="1"/>
  <c r="AH374" i="1" s="1"/>
  <c r="AL375" i="1"/>
  <c r="AH375" i="1" s="1"/>
  <c r="AL376" i="1"/>
  <c r="AL378" i="1"/>
  <c r="AJ378" i="1" s="1"/>
  <c r="AL379" i="1"/>
  <c r="AL380" i="1"/>
  <c r="AK380" i="1" s="1"/>
  <c r="AL381" i="1"/>
  <c r="AL382" i="1"/>
  <c r="AL384" i="1"/>
  <c r="AJ384" i="1" s="1"/>
  <c r="AL385" i="1"/>
  <c r="AL386" i="1"/>
  <c r="AG386" i="1" s="1"/>
  <c r="AL387" i="1"/>
  <c r="AL388" i="1"/>
  <c r="AL390" i="1"/>
  <c r="AH390" i="1" s="1"/>
  <c r="AL391" i="1"/>
  <c r="AL392" i="1"/>
  <c r="AG392" i="1" s="1"/>
  <c r="AL393" i="1"/>
  <c r="AH393" i="1" s="1"/>
  <c r="AL394" i="1"/>
  <c r="AL396" i="1"/>
  <c r="AH396" i="1" s="1"/>
  <c r="AL397" i="1"/>
  <c r="AL398" i="1"/>
  <c r="AG398" i="1" s="1"/>
  <c r="AL399" i="1"/>
  <c r="AL400" i="1"/>
  <c r="AL402" i="1"/>
  <c r="AH402" i="1" s="1"/>
  <c r="AL403" i="1"/>
  <c r="AL404" i="1"/>
  <c r="AJ404" i="1" s="1"/>
  <c r="AL405" i="1"/>
  <c r="AG405" i="1" s="1"/>
  <c r="AL406" i="1"/>
  <c r="AL408" i="1"/>
  <c r="AJ408" i="1" s="1"/>
  <c r="AL409" i="1"/>
  <c r="AL410" i="1"/>
  <c r="AG410" i="1" s="1"/>
  <c r="AL411" i="1"/>
  <c r="AG411" i="1" s="1"/>
  <c r="AL412" i="1"/>
  <c r="AL414" i="1"/>
  <c r="AK414" i="1" s="1"/>
  <c r="AL415" i="1"/>
  <c r="AL416" i="1"/>
  <c r="AK416" i="1" s="1"/>
  <c r="AL417" i="1"/>
  <c r="AG417" i="1" s="1"/>
  <c r="AL418" i="1"/>
  <c r="AC58" i="1"/>
  <c r="AB58" i="1"/>
  <c r="R58" i="1"/>
  <c r="AA58" i="1" s="1"/>
  <c r="J58" i="1"/>
  <c r="AL58" i="1" s="1"/>
  <c r="AC57" i="1"/>
  <c r="AB57" i="1"/>
  <c r="R57" i="1"/>
  <c r="AA57" i="1" s="1"/>
  <c r="J57" i="1"/>
  <c r="AL57" i="1" s="1"/>
  <c r="AC56" i="1"/>
  <c r="AB56" i="1"/>
  <c r="R56" i="1"/>
  <c r="AA56" i="1" s="1"/>
  <c r="J56" i="1"/>
  <c r="AL56" i="1" s="1"/>
  <c r="J51" i="1"/>
  <c r="AL51" i="1" s="1"/>
  <c r="J49" i="1"/>
  <c r="AL49" i="1" s="1"/>
  <c r="J45" i="1"/>
  <c r="J46" i="1"/>
  <c r="AL46" i="1" s="1"/>
  <c r="R46" i="1"/>
  <c r="AA46" i="1" s="1"/>
  <c r="AB46" i="1"/>
  <c r="AC46" i="1"/>
  <c r="J47" i="1"/>
  <c r="R47" i="1"/>
  <c r="AA47" i="1" s="1"/>
  <c r="AB47" i="1"/>
  <c r="AC47" i="1"/>
  <c r="AL47" i="1"/>
  <c r="J48" i="1"/>
  <c r="AL48" i="1" s="1"/>
  <c r="R48" i="1"/>
  <c r="AA48" i="1" s="1"/>
  <c r="AB48" i="1"/>
  <c r="AC48" i="1"/>
  <c r="R49" i="1"/>
  <c r="AA49" i="1" s="1"/>
  <c r="AB49" i="1"/>
  <c r="AC49" i="1"/>
  <c r="J50" i="1"/>
  <c r="AL50" i="1" s="1"/>
  <c r="R50" i="1"/>
  <c r="AA50" i="1" s="1"/>
  <c r="AB50" i="1"/>
  <c r="AC50" i="1"/>
  <c r="R51" i="1"/>
  <c r="AA51" i="1" s="1"/>
  <c r="AB51" i="1"/>
  <c r="AC51" i="1"/>
  <c r="J52" i="1"/>
  <c r="AL52" i="1" s="1"/>
  <c r="R52" i="1"/>
  <c r="AA52" i="1" s="1"/>
  <c r="AB52" i="1"/>
  <c r="AC52" i="1"/>
  <c r="J53" i="1"/>
  <c r="R53" i="1"/>
  <c r="AA53" i="1" s="1"/>
  <c r="AB53" i="1"/>
  <c r="AC53" i="1"/>
  <c r="AL53" i="1"/>
  <c r="J54" i="1"/>
  <c r="AL54" i="1" s="1"/>
  <c r="R54" i="1"/>
  <c r="AA54" i="1" s="1"/>
  <c r="AB54" i="1"/>
  <c r="AC54" i="1"/>
  <c r="J55" i="1"/>
  <c r="AL55" i="1" s="1"/>
  <c r="R55" i="1"/>
  <c r="AA55" i="1" s="1"/>
  <c r="AB55" i="1"/>
  <c r="AC55" i="1"/>
  <c r="P47" i="2"/>
  <c r="AF47" i="2" s="1"/>
  <c r="Q47" i="2"/>
  <c r="R47" i="2"/>
  <c r="X47" i="2"/>
  <c r="X38" i="2"/>
  <c r="X39" i="2"/>
  <c r="X40" i="2"/>
  <c r="X41" i="2"/>
  <c r="X42" i="2"/>
  <c r="X43" i="2"/>
  <c r="X44" i="2"/>
  <c r="X45" i="2"/>
  <c r="X46" i="2"/>
  <c r="P38" i="2"/>
  <c r="AF38" i="2" s="1"/>
  <c r="Q38" i="2"/>
  <c r="P39" i="2"/>
  <c r="AF39" i="2" s="1"/>
  <c r="Q39" i="2"/>
  <c r="R39" i="2"/>
  <c r="P40" i="2"/>
  <c r="AF40" i="2" s="1"/>
  <c r="Q40" i="2"/>
  <c r="R40" i="2"/>
  <c r="P41" i="2"/>
  <c r="AF41" i="2" s="1"/>
  <c r="Q41" i="2"/>
  <c r="R41" i="2"/>
  <c r="P42" i="2"/>
  <c r="AF42" i="2" s="1"/>
  <c r="Q42" i="2"/>
  <c r="R42" i="2"/>
  <c r="P43" i="2"/>
  <c r="AF43" i="2" s="1"/>
  <c r="Q43" i="2"/>
  <c r="R43" i="2"/>
  <c r="P44" i="2"/>
  <c r="AF44" i="2" s="1"/>
  <c r="Q44" i="2"/>
  <c r="R44" i="2"/>
  <c r="P45" i="2"/>
  <c r="AF45" i="2" s="1"/>
  <c r="Q45" i="2"/>
  <c r="R45" i="2"/>
  <c r="P46" i="2"/>
  <c r="AF46" i="2" s="1"/>
  <c r="Q46" i="2"/>
  <c r="R46" i="2"/>
  <c r="AE410" i="1" l="1"/>
  <c r="AE398" i="1"/>
  <c r="AE386" i="1"/>
  <c r="AE374" i="1"/>
  <c r="AD418" i="1"/>
  <c r="AD406" i="1"/>
  <c r="AD400" i="1"/>
  <c r="AD388" i="1"/>
  <c r="AD376" i="1"/>
  <c r="AD358" i="1"/>
  <c r="AD346" i="1"/>
  <c r="AD334" i="1"/>
  <c r="AD328" i="1"/>
  <c r="AD316" i="1"/>
  <c r="AD304" i="1"/>
  <c r="AD286" i="1"/>
  <c r="AJ419" i="1"/>
  <c r="AG413" i="1"/>
  <c r="AG407" i="1"/>
  <c r="AG401" i="1"/>
  <c r="AK395" i="1"/>
  <c r="AJ389" i="1"/>
  <c r="AG383" i="1"/>
  <c r="AG377" i="1"/>
  <c r="AG371" i="1"/>
  <c r="AG365" i="1"/>
  <c r="AG359" i="1"/>
  <c r="AJ353" i="1"/>
  <c r="AG347" i="1"/>
  <c r="AG341" i="1"/>
  <c r="AG335" i="1"/>
  <c r="AG329" i="1"/>
  <c r="AK323" i="1"/>
  <c r="AG317" i="1"/>
  <c r="AG311" i="1"/>
  <c r="AG305" i="1"/>
  <c r="AG299" i="1"/>
  <c r="AG293" i="1"/>
  <c r="AK287" i="1"/>
  <c r="AJ281" i="1"/>
  <c r="AG275" i="1"/>
  <c r="AG269" i="1"/>
  <c r="AG263" i="1"/>
  <c r="AG257" i="1"/>
  <c r="AG251" i="1"/>
  <c r="AJ245" i="1"/>
  <c r="AG239" i="1"/>
  <c r="AG233" i="1"/>
  <c r="AG227" i="1"/>
  <c r="AG221" i="1"/>
  <c r="AK215" i="1"/>
  <c r="AG209" i="1"/>
  <c r="AG203" i="1"/>
  <c r="AG197" i="1"/>
  <c r="AG191" i="1"/>
  <c r="AG185" i="1"/>
  <c r="AK179" i="1"/>
  <c r="AJ173" i="1"/>
  <c r="AG167" i="1"/>
  <c r="AG161" i="1"/>
  <c r="AG155" i="1"/>
  <c r="AG149" i="1"/>
  <c r="AG143" i="1"/>
  <c r="AH137" i="1"/>
  <c r="AH131" i="1"/>
  <c r="AG125" i="1"/>
  <c r="AG119" i="1"/>
  <c r="AK442" i="1"/>
  <c r="AF446" i="1"/>
  <c r="AF422" i="1"/>
  <c r="AE452" i="1"/>
  <c r="AE440" i="1"/>
  <c r="AE428" i="1"/>
  <c r="AK454" i="1"/>
  <c r="AH452" i="1"/>
  <c r="AH446" i="1"/>
  <c r="AH440" i="1"/>
  <c r="AK436" i="1"/>
  <c r="AH434" i="1"/>
  <c r="AH428" i="1"/>
  <c r="AH422" i="1"/>
  <c r="AE328" i="2"/>
  <c r="AE322" i="2"/>
  <c r="AE316" i="2"/>
  <c r="AE310" i="2"/>
  <c r="AE304" i="2"/>
  <c r="AE298" i="2"/>
  <c r="AE292" i="2"/>
  <c r="AE286" i="2"/>
  <c r="AE280" i="2"/>
  <c r="AE274" i="2"/>
  <c r="AE268" i="2"/>
  <c r="AE262" i="2"/>
  <c r="AE256" i="2"/>
  <c r="AE250" i="2"/>
  <c r="AE244" i="2"/>
  <c r="AE238" i="2"/>
  <c r="AE232" i="2"/>
  <c r="AE226" i="2"/>
  <c r="AE220" i="2"/>
  <c r="AE214" i="2"/>
  <c r="AE208" i="2"/>
  <c r="AE202" i="2"/>
  <c r="AE196" i="2"/>
  <c r="AE190" i="2"/>
  <c r="AE184" i="2"/>
  <c r="AE178" i="2"/>
  <c r="AE172" i="2"/>
  <c r="AE166" i="2"/>
  <c r="AE160" i="2"/>
  <c r="AE154" i="2"/>
  <c r="AE148" i="2"/>
  <c r="AE142" i="2"/>
  <c r="AE136" i="2"/>
  <c r="AE130" i="2"/>
  <c r="AE124" i="2"/>
  <c r="AE118" i="2"/>
  <c r="AE112" i="2"/>
  <c r="AE106" i="2"/>
  <c r="AE100" i="2"/>
  <c r="AE94" i="2"/>
  <c r="AE88" i="2"/>
  <c r="AE82" i="2"/>
  <c r="AC328" i="2"/>
  <c r="AC322" i="2"/>
  <c r="AC316" i="2"/>
  <c r="AC310" i="2"/>
  <c r="AC304" i="2"/>
  <c r="AC298" i="2"/>
  <c r="AC292" i="2"/>
  <c r="AC286" i="2"/>
  <c r="AC280" i="2"/>
  <c r="AC274" i="2"/>
  <c r="AC268" i="2"/>
  <c r="AC262" i="2"/>
  <c r="AC256" i="2"/>
  <c r="AC250" i="2"/>
  <c r="AC244" i="2"/>
  <c r="AC238" i="2"/>
  <c r="AC232" i="2"/>
  <c r="AC226" i="2"/>
  <c r="AC220" i="2"/>
  <c r="AC214" i="2"/>
  <c r="AC208" i="2"/>
  <c r="AC202" i="2"/>
  <c r="AC196" i="2"/>
  <c r="AC190" i="2"/>
  <c r="AC184" i="2"/>
  <c r="AC178" i="2"/>
  <c r="AC172" i="2"/>
  <c r="AC166" i="2"/>
  <c r="AC160" i="2"/>
  <c r="AC154" i="2"/>
  <c r="AC148" i="2"/>
  <c r="AC142" i="2"/>
  <c r="AC136" i="2"/>
  <c r="AC130" i="2"/>
  <c r="AC124" i="2"/>
  <c r="AC118" i="2"/>
  <c r="AC112" i="2"/>
  <c r="AC106" i="2"/>
  <c r="AC100" i="2"/>
  <c r="AC94" i="2"/>
  <c r="AC88" i="2"/>
  <c r="AC82" i="2"/>
  <c r="AA328" i="2"/>
  <c r="AA322" i="2"/>
  <c r="AA316" i="2"/>
  <c r="AA310" i="2"/>
  <c r="AA304" i="2"/>
  <c r="AA298" i="2"/>
  <c r="AA292" i="2"/>
  <c r="AA286" i="2"/>
  <c r="AA280" i="2"/>
  <c r="AA274" i="2"/>
  <c r="AA268" i="2"/>
  <c r="AA262" i="2"/>
  <c r="AA256" i="2"/>
  <c r="AA250" i="2"/>
  <c r="AA244" i="2"/>
  <c r="AA238" i="2"/>
  <c r="AA232" i="2"/>
  <c r="AA226" i="2"/>
  <c r="AA220" i="2"/>
  <c r="AA214" i="2"/>
  <c r="AA208" i="2"/>
  <c r="AA202" i="2"/>
  <c r="AA196" i="2"/>
  <c r="AA190" i="2"/>
  <c r="AA184" i="2"/>
  <c r="AA178" i="2"/>
  <c r="AA172" i="2"/>
  <c r="AA166" i="2"/>
  <c r="AA160" i="2"/>
  <c r="AA154" i="2"/>
  <c r="AA148" i="2"/>
  <c r="AA142" i="2"/>
  <c r="AA136" i="2"/>
  <c r="AA130" i="2"/>
  <c r="AA124" i="2"/>
  <c r="AA118" i="2"/>
  <c r="AA112" i="2"/>
  <c r="AA106" i="2"/>
  <c r="AA100" i="2"/>
  <c r="AA94" i="2"/>
  <c r="AA88" i="2"/>
  <c r="AA82" i="2"/>
  <c r="AE329" i="2"/>
  <c r="AE323" i="2"/>
  <c r="AE317" i="2"/>
  <c r="AE311" i="2"/>
  <c r="AE305" i="2"/>
  <c r="AE299" i="2"/>
  <c r="AE293" i="2"/>
  <c r="AE287" i="2"/>
  <c r="AE281" i="2"/>
  <c r="AE275" i="2"/>
  <c r="AE269" i="2"/>
  <c r="AE263" i="2"/>
  <c r="AE257" i="2"/>
  <c r="AE251" i="2"/>
  <c r="AE245" i="2"/>
  <c r="AE239" i="2"/>
  <c r="AE233" i="2"/>
  <c r="AE227" i="2"/>
  <c r="AE221" i="2"/>
  <c r="AE215" i="2"/>
  <c r="AE209" i="2"/>
  <c r="AE203" i="2"/>
  <c r="AE197" i="2"/>
  <c r="AE191" i="2"/>
  <c r="AE185" i="2"/>
  <c r="AE179" i="2"/>
  <c r="AE173" i="2"/>
  <c r="AE167" i="2"/>
  <c r="AE161" i="2"/>
  <c r="AE155" i="2"/>
  <c r="AE149" i="2"/>
  <c r="AE143" i="2"/>
  <c r="AE137" i="2"/>
  <c r="AE131" i="2"/>
  <c r="AE125" i="2"/>
  <c r="AE119" i="2"/>
  <c r="AE113" i="2"/>
  <c r="AE107" i="2"/>
  <c r="AE101" i="2"/>
  <c r="AE95" i="2"/>
  <c r="AE89" i="2"/>
  <c r="AE83" i="2"/>
  <c r="AC329" i="2"/>
  <c r="AC323" i="2"/>
  <c r="AC317" i="2"/>
  <c r="AC311" i="2"/>
  <c r="AC305" i="2"/>
  <c r="AC299" i="2"/>
  <c r="AC293" i="2"/>
  <c r="AC287" i="2"/>
  <c r="AC281" i="2"/>
  <c r="AC275" i="2"/>
  <c r="AC269" i="2"/>
  <c r="AC263" i="2"/>
  <c r="AC257" i="2"/>
  <c r="AC251" i="2"/>
  <c r="AC245" i="2"/>
  <c r="AC239" i="2"/>
  <c r="AC233" i="2"/>
  <c r="AC227" i="2"/>
  <c r="AC221" i="2"/>
  <c r="AC215" i="2"/>
  <c r="AC209" i="2"/>
  <c r="AC203" i="2"/>
  <c r="AC197" i="2"/>
  <c r="AC191" i="2"/>
  <c r="AC185" i="2"/>
  <c r="AC179" i="2"/>
  <c r="AC173" i="2"/>
  <c r="AC167" i="2"/>
  <c r="AC161" i="2"/>
  <c r="AC155" i="2"/>
  <c r="AC149" i="2"/>
  <c r="AC143" i="2"/>
  <c r="AC137" i="2"/>
  <c r="AC131" i="2"/>
  <c r="AC125" i="2"/>
  <c r="AC119" i="2"/>
  <c r="AC113" i="2"/>
  <c r="AC107" i="2"/>
  <c r="AC101" i="2"/>
  <c r="AC95" i="2"/>
  <c r="AC89" i="2"/>
  <c r="AC83" i="2"/>
  <c r="AA329" i="2"/>
  <c r="AA323" i="2"/>
  <c r="AA317" i="2"/>
  <c r="AA311" i="2"/>
  <c r="AA305" i="2"/>
  <c r="AA299" i="2"/>
  <c r="AA293" i="2"/>
  <c r="AA287" i="2"/>
  <c r="AA281" i="2"/>
  <c r="AA275" i="2"/>
  <c r="AA269" i="2"/>
  <c r="AA263" i="2"/>
  <c r="AA257" i="2"/>
  <c r="AA251" i="2"/>
  <c r="AA245" i="2"/>
  <c r="AA239" i="2"/>
  <c r="AA233" i="2"/>
  <c r="AA227" i="2"/>
  <c r="AA221" i="2"/>
  <c r="AA215" i="2"/>
  <c r="AA209" i="2"/>
  <c r="AA203" i="2"/>
  <c r="AA197" i="2"/>
  <c r="AA191" i="2"/>
  <c r="AA185" i="2"/>
  <c r="AA179" i="2"/>
  <c r="AA173" i="2"/>
  <c r="AA167" i="2"/>
  <c r="AA161" i="2"/>
  <c r="AA155" i="2"/>
  <c r="AA149" i="2"/>
  <c r="AA143" i="2"/>
  <c r="AA137" i="2"/>
  <c r="AA131" i="2"/>
  <c r="AA125" i="2"/>
  <c r="AA119" i="2"/>
  <c r="AA113" i="2"/>
  <c r="AA107" i="2"/>
  <c r="AA101" i="2"/>
  <c r="AA95" i="2"/>
  <c r="AA89" i="2"/>
  <c r="AA83" i="2"/>
  <c r="AK144" i="1"/>
  <c r="AD413" i="1"/>
  <c r="AD371" i="1"/>
  <c r="AD341" i="1"/>
  <c r="AD299" i="1"/>
  <c r="AD269" i="1"/>
  <c r="AD227" i="1"/>
  <c r="AD197" i="1"/>
  <c r="AD155" i="1"/>
  <c r="AD125" i="1"/>
  <c r="AD455" i="1"/>
  <c r="AK210" i="1"/>
  <c r="AD419" i="1"/>
  <c r="AD389" i="1"/>
  <c r="AD347" i="1"/>
  <c r="AD317" i="1"/>
  <c r="AD275" i="1"/>
  <c r="AD203" i="1"/>
  <c r="AD131" i="1"/>
  <c r="AF436" i="1"/>
  <c r="AD245" i="1"/>
  <c r="AK378" i="1"/>
  <c r="AK228" i="1"/>
  <c r="AF412" i="1"/>
  <c r="AF389" i="1"/>
  <c r="AF364" i="1"/>
  <c r="AF335" i="1"/>
  <c r="AF310" i="1"/>
  <c r="AF281" i="1"/>
  <c r="AF256" i="1"/>
  <c r="AF227" i="1"/>
  <c r="AF202" i="1"/>
  <c r="AF173" i="1"/>
  <c r="AF148" i="1"/>
  <c r="AF119" i="1"/>
  <c r="AE412" i="1"/>
  <c r="AE406" i="1"/>
  <c r="AE394" i="1"/>
  <c r="AE382" i="1"/>
  <c r="AE376" i="1"/>
  <c r="AE370" i="1"/>
  <c r="AE364" i="1"/>
  <c r="AE352" i="1"/>
  <c r="AE340" i="1"/>
  <c r="AE328" i="1"/>
  <c r="AE322" i="1"/>
  <c r="AE310" i="1"/>
  <c r="AE298" i="1"/>
  <c r="AE292" i="1"/>
  <c r="AE280" i="1"/>
  <c r="AE274" i="1"/>
  <c r="AE268" i="1"/>
  <c r="AE250" i="1"/>
  <c r="AE244" i="1"/>
  <c r="AE238" i="1"/>
  <c r="AE226" i="1"/>
  <c r="AE220" i="1"/>
  <c r="AE214" i="1"/>
  <c r="AE208" i="1"/>
  <c r="AE196" i="1"/>
  <c r="AE190" i="1"/>
  <c r="AE178" i="1"/>
  <c r="AE166" i="1"/>
  <c r="AE160" i="1"/>
  <c r="AE154" i="1"/>
  <c r="AE148" i="1"/>
  <c r="AE136" i="1"/>
  <c r="AE124" i="1"/>
  <c r="AD407" i="1"/>
  <c r="AD377" i="1"/>
  <c r="AD335" i="1"/>
  <c r="AD322" i="1"/>
  <c r="AD305" i="1"/>
  <c r="AD263" i="1"/>
  <c r="AD233" i="1"/>
  <c r="AD220" i="1"/>
  <c r="AD191" i="1"/>
  <c r="AD161" i="1"/>
  <c r="AD119" i="1"/>
  <c r="AK448" i="1"/>
  <c r="AK430" i="1"/>
  <c r="AD443" i="1"/>
  <c r="AK162" i="1"/>
  <c r="AJ418" i="1"/>
  <c r="AJ406" i="1"/>
  <c r="AJ388" i="1"/>
  <c r="AJ376" i="1"/>
  <c r="AJ364" i="1"/>
  <c r="AJ352" i="1"/>
  <c r="AJ334" i="1"/>
  <c r="AG322" i="1"/>
  <c r="AJ310" i="1"/>
  <c r="AJ298" i="1"/>
  <c r="AG286" i="1"/>
  <c r="AJ274" i="1"/>
  <c r="AJ256" i="1"/>
  <c r="AJ244" i="1"/>
  <c r="AJ226" i="1"/>
  <c r="AG214" i="1"/>
  <c r="AJ202" i="1"/>
  <c r="AJ184" i="1"/>
  <c r="AJ172" i="1"/>
  <c r="AJ160" i="1"/>
  <c r="AJ148" i="1"/>
  <c r="AJ136" i="1"/>
  <c r="AJ118" i="1"/>
  <c r="AF365" i="1"/>
  <c r="AF311" i="1"/>
  <c r="AF298" i="1"/>
  <c r="AF268" i="1"/>
  <c r="AF203" i="1"/>
  <c r="AF136" i="1"/>
  <c r="AE413" i="1"/>
  <c r="AE383" i="1"/>
  <c r="AE359" i="1"/>
  <c r="AE323" i="1"/>
  <c r="AE311" i="1"/>
  <c r="AE299" i="1"/>
  <c r="AE287" i="1"/>
  <c r="AE281" i="1"/>
  <c r="AE269" i="1"/>
  <c r="AE257" i="1"/>
  <c r="AE251" i="1"/>
  <c r="AE245" i="1"/>
  <c r="AE239" i="1"/>
  <c r="AE233" i="1"/>
  <c r="AE221" i="1"/>
  <c r="AE215" i="1"/>
  <c r="AE209" i="1"/>
  <c r="AE197" i="1"/>
  <c r="AE191" i="1"/>
  <c r="AE179" i="1"/>
  <c r="AE167" i="1"/>
  <c r="AE161" i="1"/>
  <c r="AE149" i="1"/>
  <c r="AE143" i="1"/>
  <c r="AE137" i="1"/>
  <c r="AE125" i="1"/>
  <c r="AD395" i="1"/>
  <c r="AD382" i="1"/>
  <c r="AD365" i="1"/>
  <c r="AD352" i="1"/>
  <c r="AD323" i="1"/>
  <c r="AD293" i="1"/>
  <c r="AD251" i="1"/>
  <c r="AD179" i="1"/>
  <c r="AD166" i="1"/>
  <c r="AD149" i="1"/>
  <c r="AD449" i="1"/>
  <c r="AD425" i="1"/>
  <c r="AK360" i="1"/>
  <c r="AJ412" i="1"/>
  <c r="AJ400" i="1"/>
  <c r="AG394" i="1"/>
  <c r="AJ382" i="1"/>
  <c r="AJ370" i="1"/>
  <c r="AG358" i="1"/>
  <c r="AJ346" i="1"/>
  <c r="AJ340" i="1"/>
  <c r="AJ328" i="1"/>
  <c r="AJ316" i="1"/>
  <c r="AJ304" i="1"/>
  <c r="AJ292" i="1"/>
  <c r="AJ280" i="1"/>
  <c r="AJ268" i="1"/>
  <c r="AJ262" i="1"/>
  <c r="AG250" i="1"/>
  <c r="AJ238" i="1"/>
  <c r="AJ232" i="1"/>
  <c r="AJ220" i="1"/>
  <c r="AJ208" i="1"/>
  <c r="AJ196" i="1"/>
  <c r="AJ190" i="1"/>
  <c r="AG178" i="1"/>
  <c r="AJ166" i="1"/>
  <c r="AJ154" i="1"/>
  <c r="AG142" i="1"/>
  <c r="AJ130" i="1"/>
  <c r="AH124" i="1"/>
  <c r="AE419" i="1"/>
  <c r="AE407" i="1"/>
  <c r="AE395" i="1"/>
  <c r="AE377" i="1"/>
  <c r="AE353" i="1"/>
  <c r="AE341" i="1"/>
  <c r="AE305" i="1"/>
  <c r="AK276" i="1"/>
  <c r="AF415" i="1"/>
  <c r="AF368" i="1"/>
  <c r="AF353" i="1"/>
  <c r="AF314" i="1"/>
  <c r="AF137" i="1"/>
  <c r="AE414" i="1"/>
  <c r="AE408" i="1"/>
  <c r="AE402" i="1"/>
  <c r="AE396" i="1"/>
  <c r="AE390" i="1"/>
  <c r="AE384" i="1"/>
  <c r="AE378" i="1"/>
  <c r="AE372" i="1"/>
  <c r="AE366" i="1"/>
  <c r="AE360" i="1"/>
  <c r="AE354" i="1"/>
  <c r="AE348" i="1"/>
  <c r="AE342" i="1"/>
  <c r="AE336" i="1"/>
  <c r="AE330" i="1"/>
  <c r="AE324" i="1"/>
  <c r="AE318" i="1"/>
  <c r="AE312" i="1"/>
  <c r="AE306" i="1"/>
  <c r="AE300" i="1"/>
  <c r="AE294" i="1"/>
  <c r="AE288" i="1"/>
  <c r="AE282" i="1"/>
  <c r="AE276" i="1"/>
  <c r="AE270" i="1"/>
  <c r="AE264" i="1"/>
  <c r="AE258" i="1"/>
  <c r="AE252" i="1"/>
  <c r="AE246" i="1"/>
  <c r="AE240" i="1"/>
  <c r="AE234" i="1"/>
  <c r="AE228" i="1"/>
  <c r="AE222" i="1"/>
  <c r="AE216" i="1"/>
  <c r="AE210" i="1"/>
  <c r="AE204" i="1"/>
  <c r="AE198" i="1"/>
  <c r="AE192" i="1"/>
  <c r="AE186" i="1"/>
  <c r="AE180" i="1"/>
  <c r="AE174" i="1"/>
  <c r="AE168" i="1"/>
  <c r="AE162" i="1"/>
  <c r="AE156" i="1"/>
  <c r="AE150" i="1"/>
  <c r="AE144" i="1"/>
  <c r="AE138" i="1"/>
  <c r="AE132" i="1"/>
  <c r="AE126" i="1"/>
  <c r="AE120" i="1"/>
  <c r="AF433" i="1"/>
  <c r="AD431" i="1"/>
  <c r="AK456" i="1"/>
  <c r="AJ456" i="1"/>
  <c r="AH456" i="1"/>
  <c r="AG456" i="1"/>
  <c r="AJ450" i="1"/>
  <c r="AG450" i="1"/>
  <c r="AH450" i="1"/>
  <c r="AK450" i="1"/>
  <c r="AK444" i="1"/>
  <c r="AG444" i="1"/>
  <c r="AJ444" i="1"/>
  <c r="AH444" i="1"/>
  <c r="AJ438" i="1"/>
  <c r="AH438" i="1"/>
  <c r="AK438" i="1"/>
  <c r="AG438" i="1"/>
  <c r="AG432" i="1"/>
  <c r="AJ432" i="1"/>
  <c r="AH432" i="1"/>
  <c r="AK432" i="1"/>
  <c r="AJ426" i="1"/>
  <c r="AK426" i="1"/>
  <c r="AH426" i="1"/>
  <c r="AG426" i="1"/>
  <c r="AK420" i="1"/>
  <c r="AJ420" i="1"/>
  <c r="AH420" i="1"/>
  <c r="AG420" i="1"/>
  <c r="AK451" i="1"/>
  <c r="AG451" i="1"/>
  <c r="AH451" i="1"/>
  <c r="AJ451" i="1"/>
  <c r="AK445" i="1"/>
  <c r="AG445" i="1"/>
  <c r="AJ445" i="1"/>
  <c r="AH445" i="1"/>
  <c r="AK439" i="1"/>
  <c r="AH439" i="1"/>
  <c r="AG439" i="1"/>
  <c r="AJ439" i="1"/>
  <c r="AK433" i="1"/>
  <c r="AG433" i="1"/>
  <c r="AJ433" i="1"/>
  <c r="AH433" i="1"/>
  <c r="AK427" i="1"/>
  <c r="AH427" i="1"/>
  <c r="AG427" i="1"/>
  <c r="AJ427" i="1"/>
  <c r="AK421" i="1"/>
  <c r="AJ421" i="1"/>
  <c r="AH421" i="1"/>
  <c r="AG421" i="1"/>
  <c r="AG455" i="1"/>
  <c r="AK455" i="1"/>
  <c r="AJ455" i="1"/>
  <c r="AH455" i="1"/>
  <c r="AG449" i="1"/>
  <c r="AJ449" i="1"/>
  <c r="AH449" i="1"/>
  <c r="AK449" i="1"/>
  <c r="AG443" i="1"/>
  <c r="AK443" i="1"/>
  <c r="AJ443" i="1"/>
  <c r="AH443" i="1"/>
  <c r="AG437" i="1"/>
  <c r="AJ437" i="1"/>
  <c r="AH437" i="1"/>
  <c r="AK437" i="1"/>
  <c r="AG431" i="1"/>
  <c r="AJ431" i="1"/>
  <c r="AH431" i="1"/>
  <c r="AK431" i="1"/>
  <c r="AG425" i="1"/>
  <c r="AJ425" i="1"/>
  <c r="AK425" i="1"/>
  <c r="AH425" i="1"/>
  <c r="AK408" i="1"/>
  <c r="AK390" i="1"/>
  <c r="AK376" i="1"/>
  <c r="AK358" i="1"/>
  <c r="AK342" i="1"/>
  <c r="AK324" i="1"/>
  <c r="AK310" i="1"/>
  <c r="AK292" i="1"/>
  <c r="AK275" i="1"/>
  <c r="AK240" i="1"/>
  <c r="AK226" i="1"/>
  <c r="AK208" i="1"/>
  <c r="AK192" i="1"/>
  <c r="AK174" i="1"/>
  <c r="AK160" i="1"/>
  <c r="AK142" i="1"/>
  <c r="AK126" i="1"/>
  <c r="AJ336" i="1"/>
  <c r="AJ300" i="1"/>
  <c r="AJ264" i="1"/>
  <c r="AJ156" i="1"/>
  <c r="AJ120" i="1"/>
  <c r="AH412" i="1"/>
  <c r="AH376" i="1"/>
  <c r="AH340" i="1"/>
  <c r="AH304" i="1"/>
  <c r="AH268" i="1"/>
  <c r="AH232" i="1"/>
  <c r="AH196" i="1"/>
  <c r="AH160" i="1"/>
  <c r="AH118" i="1"/>
  <c r="AG406" i="1"/>
  <c r="AG346" i="1"/>
  <c r="AG298" i="1"/>
  <c r="AG238" i="1"/>
  <c r="AG190" i="1"/>
  <c r="AG130" i="1"/>
  <c r="AK412" i="1"/>
  <c r="AK394" i="1"/>
  <c r="AK346" i="1"/>
  <c r="AK328" i="1"/>
  <c r="AK311" i="1"/>
  <c r="AK262" i="1"/>
  <c r="AK244" i="1"/>
  <c r="AK196" i="1"/>
  <c r="AK178" i="1"/>
  <c r="AK130" i="1"/>
  <c r="AJ390" i="1"/>
  <c r="AJ306" i="1"/>
  <c r="AJ270" i="1"/>
  <c r="AJ234" i="1"/>
  <c r="AJ198" i="1"/>
  <c r="AH418" i="1"/>
  <c r="AH382" i="1"/>
  <c r="AH346" i="1"/>
  <c r="AH310" i="1"/>
  <c r="AH274" i="1"/>
  <c r="AH238" i="1"/>
  <c r="AH202" i="1"/>
  <c r="AH166" i="1"/>
  <c r="AH130" i="1"/>
  <c r="AG412" i="1"/>
  <c r="AG352" i="1"/>
  <c r="AG304" i="1"/>
  <c r="AG244" i="1"/>
  <c r="AG196" i="1"/>
  <c r="AG136" i="1"/>
  <c r="AE448" i="1"/>
  <c r="AE436" i="1"/>
  <c r="AE424" i="1"/>
  <c r="AD452" i="1"/>
  <c r="AD442" i="1"/>
  <c r="AD434" i="1"/>
  <c r="AD424" i="1"/>
  <c r="AK382" i="1"/>
  <c r="AK280" i="1"/>
  <c r="AK180" i="1"/>
  <c r="AJ312" i="1"/>
  <c r="AJ168" i="1"/>
  <c r="AH388" i="1"/>
  <c r="AH244" i="1"/>
  <c r="AG262" i="1"/>
  <c r="AK347" i="1"/>
  <c r="AK232" i="1"/>
  <c r="AJ396" i="1"/>
  <c r="AH316" i="1"/>
  <c r="AH172" i="1"/>
  <c r="AG370" i="1"/>
  <c r="AG154" i="1"/>
  <c r="AK121" i="1"/>
  <c r="AK115" i="1"/>
  <c r="AK418" i="1"/>
  <c r="AK400" i="1"/>
  <c r="AK383" i="1"/>
  <c r="AK348" i="1"/>
  <c r="AK334" i="1"/>
  <c r="AK316" i="1"/>
  <c r="AK282" i="1"/>
  <c r="AK268" i="1"/>
  <c r="AK250" i="1"/>
  <c r="AK216" i="1"/>
  <c r="AK202" i="1"/>
  <c r="AK184" i="1"/>
  <c r="AK167" i="1"/>
  <c r="AK132" i="1"/>
  <c r="AK118" i="1"/>
  <c r="AJ354" i="1"/>
  <c r="AJ318" i="1"/>
  <c r="AJ282" i="1"/>
  <c r="AJ246" i="1"/>
  <c r="AJ210" i="1"/>
  <c r="AJ174" i="1"/>
  <c r="AJ138" i="1"/>
  <c r="AH394" i="1"/>
  <c r="AH358" i="1"/>
  <c r="AH322" i="1"/>
  <c r="AH286" i="1"/>
  <c r="AH250" i="1"/>
  <c r="AH214" i="1"/>
  <c r="AH178" i="1"/>
  <c r="AH142" i="1"/>
  <c r="AG376" i="1"/>
  <c r="AG316" i="1"/>
  <c r="AG268" i="1"/>
  <c r="AG208" i="1"/>
  <c r="AG160" i="1"/>
  <c r="AF405" i="1"/>
  <c r="AF369" i="1"/>
  <c r="AF333" i="1"/>
  <c r="AF297" i="1"/>
  <c r="AF261" i="1"/>
  <c r="AF225" i="1"/>
  <c r="AF189" i="1"/>
  <c r="AF153" i="1"/>
  <c r="AF117" i="1"/>
  <c r="AF451" i="1"/>
  <c r="AF439" i="1"/>
  <c r="AF428" i="1"/>
  <c r="AE453" i="1"/>
  <c r="AE441" i="1"/>
  <c r="AE429" i="1"/>
  <c r="AD454" i="1"/>
  <c r="AD446" i="1"/>
  <c r="AK396" i="1"/>
  <c r="AK364" i="1"/>
  <c r="AK214" i="1"/>
  <c r="AK166" i="1"/>
  <c r="AK131" i="1"/>
  <c r="AH352" i="1"/>
  <c r="AH280" i="1"/>
  <c r="AH208" i="1"/>
  <c r="AH136" i="1"/>
  <c r="AG418" i="1"/>
  <c r="AG310" i="1"/>
  <c r="AG202" i="1"/>
  <c r="AK419" i="1"/>
  <c r="AK405" i="1"/>
  <c r="AK384" i="1"/>
  <c r="AK370" i="1"/>
  <c r="AK352" i="1"/>
  <c r="AK318" i="1"/>
  <c r="AK304" i="1"/>
  <c r="AK286" i="1"/>
  <c r="AK252" i="1"/>
  <c r="AK238" i="1"/>
  <c r="AK220" i="1"/>
  <c r="AK203" i="1"/>
  <c r="AK154" i="1"/>
  <c r="AK136" i="1"/>
  <c r="AJ414" i="1"/>
  <c r="AJ360" i="1"/>
  <c r="AJ324" i="1"/>
  <c r="AJ288" i="1"/>
  <c r="AJ252" i="1"/>
  <c r="AJ216" i="1"/>
  <c r="AJ180" i="1"/>
  <c r="AJ144" i="1"/>
  <c r="AH400" i="1"/>
  <c r="AH364" i="1"/>
  <c r="AH328" i="1"/>
  <c r="AH292" i="1"/>
  <c r="AH256" i="1"/>
  <c r="AH220" i="1"/>
  <c r="AH184" i="1"/>
  <c r="AH148" i="1"/>
  <c r="AG382" i="1"/>
  <c r="AG334" i="1"/>
  <c r="AG274" i="1"/>
  <c r="AG226" i="1"/>
  <c r="AG166" i="1"/>
  <c r="AG118" i="1"/>
  <c r="AF398" i="1"/>
  <c r="AF380" i="1"/>
  <c r="AF362" i="1"/>
  <c r="AF344" i="1"/>
  <c r="AF326" i="1"/>
  <c r="AF308" i="1"/>
  <c r="AF290" i="1"/>
  <c r="AF272" i="1"/>
  <c r="AF254" i="1"/>
  <c r="AF236" i="1"/>
  <c r="AF218" i="1"/>
  <c r="AF200" i="1"/>
  <c r="AF182" i="1"/>
  <c r="AF164" i="1"/>
  <c r="AF146" i="1"/>
  <c r="AF128" i="1"/>
  <c r="AF440" i="1"/>
  <c r="AF429" i="1"/>
  <c r="AE454" i="1"/>
  <c r="AE442" i="1"/>
  <c r="AE430" i="1"/>
  <c r="AK298" i="1"/>
  <c r="AK246" i="1"/>
  <c r="AK148" i="1"/>
  <c r="AJ204" i="1"/>
  <c r="AK406" i="1"/>
  <c r="AK388" i="1"/>
  <c r="AK372" i="1"/>
  <c r="AK354" i="1"/>
  <c r="AK340" i="1"/>
  <c r="AK322" i="1"/>
  <c r="AK288" i="1"/>
  <c r="AK274" i="1"/>
  <c r="AK256" i="1"/>
  <c r="AK239" i="1"/>
  <c r="AK190" i="1"/>
  <c r="AK172" i="1"/>
  <c r="AK138" i="1"/>
  <c r="AK124" i="1"/>
  <c r="AJ330" i="1"/>
  <c r="AJ294" i="1"/>
  <c r="AJ258" i="1"/>
  <c r="AJ222" i="1"/>
  <c r="AJ186" i="1"/>
  <c r="AJ150" i="1"/>
  <c r="AH406" i="1"/>
  <c r="AH370" i="1"/>
  <c r="AH334" i="1"/>
  <c r="AH298" i="1"/>
  <c r="AH262" i="1"/>
  <c r="AH226" i="1"/>
  <c r="AH190" i="1"/>
  <c r="AH154" i="1"/>
  <c r="AG388" i="1"/>
  <c r="AG340" i="1"/>
  <c r="AG280" i="1"/>
  <c r="AG232" i="1"/>
  <c r="AG172" i="1"/>
  <c r="AG124" i="1"/>
  <c r="AF381" i="1"/>
  <c r="AF345" i="1"/>
  <c r="AF309" i="1"/>
  <c r="AF273" i="1"/>
  <c r="AF237" i="1"/>
  <c r="AF201" i="1"/>
  <c r="AF165" i="1"/>
  <c r="AF129" i="1"/>
  <c r="AE422" i="1"/>
  <c r="AD448" i="1"/>
  <c r="AD430" i="1"/>
  <c r="AJ452" i="1"/>
  <c r="AJ446" i="1"/>
  <c r="AJ440" i="1"/>
  <c r="AJ434" i="1"/>
  <c r="AJ428" i="1"/>
  <c r="AJ422" i="1"/>
  <c r="AH453" i="1"/>
  <c r="AH447" i="1"/>
  <c r="AH441" i="1"/>
  <c r="AH435" i="1"/>
  <c r="AH429" i="1"/>
  <c r="AH423" i="1"/>
  <c r="AG454" i="1"/>
  <c r="AG448" i="1"/>
  <c r="AG442" i="1"/>
  <c r="AG436" i="1"/>
  <c r="AG430" i="1"/>
  <c r="AG424" i="1"/>
  <c r="AF455" i="1"/>
  <c r="AF449" i="1"/>
  <c r="AF443" i="1"/>
  <c r="AF437" i="1"/>
  <c r="AF431" i="1"/>
  <c r="AF425" i="1"/>
  <c r="AE456" i="1"/>
  <c r="AE450" i="1"/>
  <c r="AE444" i="1"/>
  <c r="AE438" i="1"/>
  <c r="AE432" i="1"/>
  <c r="AE426" i="1"/>
  <c r="AE420" i="1"/>
  <c r="AD451" i="1"/>
  <c r="AD445" i="1"/>
  <c r="AD439" i="1"/>
  <c r="AD433" i="1"/>
  <c r="AD427" i="1"/>
  <c r="AD421" i="1"/>
  <c r="AK452" i="1"/>
  <c r="AK446" i="1"/>
  <c r="AK440" i="1"/>
  <c r="AK434" i="1"/>
  <c r="AK428" i="1"/>
  <c r="AK422" i="1"/>
  <c r="AJ453" i="1"/>
  <c r="AJ447" i="1"/>
  <c r="AJ441" i="1"/>
  <c r="AJ435" i="1"/>
  <c r="AJ429" i="1"/>
  <c r="AJ423" i="1"/>
  <c r="AH454" i="1"/>
  <c r="AH448" i="1"/>
  <c r="AH442" i="1"/>
  <c r="AH436" i="1"/>
  <c r="AH430" i="1"/>
  <c r="AH424" i="1"/>
  <c r="AF456" i="1"/>
  <c r="AF450" i="1"/>
  <c r="AF444" i="1"/>
  <c r="AF438" i="1"/>
  <c r="AF432" i="1"/>
  <c r="AF426" i="1"/>
  <c r="AF420" i="1"/>
  <c r="AK453" i="1"/>
  <c r="AK447" i="1"/>
  <c r="AK441" i="1"/>
  <c r="AK435" i="1"/>
  <c r="AK429" i="1"/>
  <c r="AK423" i="1"/>
  <c r="AJ454" i="1"/>
  <c r="AJ448" i="1"/>
  <c r="AJ442" i="1"/>
  <c r="AJ436" i="1"/>
  <c r="AJ430" i="1"/>
  <c r="AJ424" i="1"/>
  <c r="AG452" i="1"/>
  <c r="AG446" i="1"/>
  <c r="AG440" i="1"/>
  <c r="AG434" i="1"/>
  <c r="AG428" i="1"/>
  <c r="AG422" i="1"/>
  <c r="AG415" i="1"/>
  <c r="AH415" i="1"/>
  <c r="AK415" i="1"/>
  <c r="AH409" i="1"/>
  <c r="AK409" i="1"/>
  <c r="AH403" i="1"/>
  <c r="AK403" i="1"/>
  <c r="AH397" i="1"/>
  <c r="AK397" i="1"/>
  <c r="AH391" i="1"/>
  <c r="AK391" i="1"/>
  <c r="AG391" i="1"/>
  <c r="AH385" i="1"/>
  <c r="AK385" i="1"/>
  <c r="AG385" i="1"/>
  <c r="AG379" i="1"/>
  <c r="AH379" i="1"/>
  <c r="AK379" i="1"/>
  <c r="AH373" i="1"/>
  <c r="AK373" i="1"/>
  <c r="AH367" i="1"/>
  <c r="AK367" i="1"/>
  <c r="AH361" i="1"/>
  <c r="AK361" i="1"/>
  <c r="AH355" i="1"/>
  <c r="AK355" i="1"/>
  <c r="AG355" i="1"/>
  <c r="AH349" i="1"/>
  <c r="AK349" i="1"/>
  <c r="AG349" i="1"/>
  <c r="AG343" i="1"/>
  <c r="AH343" i="1"/>
  <c r="AK343" i="1"/>
  <c r="AH337" i="1"/>
  <c r="AK337" i="1"/>
  <c r="AH331" i="1"/>
  <c r="AK331" i="1"/>
  <c r="AH325" i="1"/>
  <c r="AK325" i="1"/>
  <c r="AH319" i="1"/>
  <c r="AK319" i="1"/>
  <c r="AG319" i="1"/>
  <c r="AH313" i="1"/>
  <c r="AK313" i="1"/>
  <c r="AG313" i="1"/>
  <c r="AG307" i="1"/>
  <c r="AH307" i="1"/>
  <c r="AK307" i="1"/>
  <c r="AH301" i="1"/>
  <c r="AK301" i="1"/>
  <c r="AH295" i="1"/>
  <c r="AK295" i="1"/>
  <c r="AH289" i="1"/>
  <c r="AK289" i="1"/>
  <c r="AH283" i="1"/>
  <c r="AK283" i="1"/>
  <c r="AG283" i="1"/>
  <c r="AH277" i="1"/>
  <c r="AK277" i="1"/>
  <c r="AG277" i="1"/>
  <c r="AG271" i="1"/>
  <c r="AH271" i="1"/>
  <c r="AK271" i="1"/>
  <c r="AH265" i="1"/>
  <c r="AK265" i="1"/>
  <c r="AH259" i="1"/>
  <c r="AK259" i="1"/>
  <c r="AH253" i="1"/>
  <c r="AK253" i="1"/>
  <c r="AH247" i="1"/>
  <c r="AK247" i="1"/>
  <c r="AG247" i="1"/>
  <c r="AH241" i="1"/>
  <c r="AK241" i="1"/>
  <c r="AG241" i="1"/>
  <c r="AG235" i="1"/>
  <c r="AH235" i="1"/>
  <c r="AK235" i="1"/>
  <c r="AH229" i="1"/>
  <c r="AK229" i="1"/>
  <c r="AH223" i="1"/>
  <c r="AK223" i="1"/>
  <c r="AH217" i="1"/>
  <c r="AK217" i="1"/>
  <c r="AH211" i="1"/>
  <c r="AK211" i="1"/>
  <c r="AG211" i="1"/>
  <c r="AH205" i="1"/>
  <c r="AK205" i="1"/>
  <c r="AG205" i="1"/>
  <c r="AG199" i="1"/>
  <c r="AH199" i="1"/>
  <c r="AK199" i="1"/>
  <c r="AH193" i="1"/>
  <c r="AK193" i="1"/>
  <c r="AH187" i="1"/>
  <c r="AK187" i="1"/>
  <c r="AH181" i="1"/>
  <c r="AK181" i="1"/>
  <c r="AH175" i="1"/>
  <c r="AK175" i="1"/>
  <c r="AG175" i="1"/>
  <c r="AH169" i="1"/>
  <c r="AK169" i="1"/>
  <c r="AG169" i="1"/>
  <c r="AG163" i="1"/>
  <c r="AH163" i="1"/>
  <c r="AK163" i="1"/>
  <c r="AH157" i="1"/>
  <c r="AK157" i="1"/>
  <c r="AH151" i="1"/>
  <c r="AK151" i="1"/>
  <c r="AH145" i="1"/>
  <c r="AK145" i="1"/>
  <c r="AH139" i="1"/>
  <c r="AK139" i="1"/>
  <c r="AG139" i="1"/>
  <c r="AK133" i="1"/>
  <c r="AG133" i="1"/>
  <c r="AG127" i="1"/>
  <c r="AK127" i="1"/>
  <c r="AK411" i="1"/>
  <c r="AK404" i="1"/>
  <c r="AK389" i="1"/>
  <c r="AK375" i="1"/>
  <c r="AK368" i="1"/>
  <c r="AK353" i="1"/>
  <c r="AK339" i="1"/>
  <c r="AK332" i="1"/>
  <c r="AK317" i="1"/>
  <c r="AK303" i="1"/>
  <c r="AK296" i="1"/>
  <c r="AK281" i="1"/>
  <c r="AK267" i="1"/>
  <c r="AK260" i="1"/>
  <c r="AK245" i="1"/>
  <c r="AK231" i="1"/>
  <c r="AK224" i="1"/>
  <c r="AK209" i="1"/>
  <c r="AK195" i="1"/>
  <c r="AK188" i="1"/>
  <c r="AK173" i="1"/>
  <c r="AK159" i="1"/>
  <c r="AK152" i="1"/>
  <c r="AK137" i="1"/>
  <c r="AK116" i="1"/>
  <c r="AJ407" i="1"/>
  <c r="AJ398" i="1"/>
  <c r="AJ380" i="1"/>
  <c r="AJ362" i="1"/>
  <c r="AJ344" i="1"/>
  <c r="AJ326" i="1"/>
  <c r="AJ308" i="1"/>
  <c r="AJ290" i="1"/>
  <c r="AJ272" i="1"/>
  <c r="AJ254" i="1"/>
  <c r="AJ236" i="1"/>
  <c r="AJ218" i="1"/>
  <c r="AJ200" i="1"/>
  <c r="AJ182" i="1"/>
  <c r="AJ164" i="1"/>
  <c r="AJ146" i="1"/>
  <c r="AJ128" i="1"/>
  <c r="AH419" i="1"/>
  <c r="AH411" i="1"/>
  <c r="AH401" i="1"/>
  <c r="AH383" i="1"/>
  <c r="AH365" i="1"/>
  <c r="AH347" i="1"/>
  <c r="AH329" i="1"/>
  <c r="AH311" i="1"/>
  <c r="AH293" i="1"/>
  <c r="AH275" i="1"/>
  <c r="AH257" i="1"/>
  <c r="AH239" i="1"/>
  <c r="AH221" i="1"/>
  <c r="AH203" i="1"/>
  <c r="AH185" i="1"/>
  <c r="AH167" i="1"/>
  <c r="AH149" i="1"/>
  <c r="AH121" i="1"/>
  <c r="AG402" i="1"/>
  <c r="AG373" i="1"/>
  <c r="AG360" i="1"/>
  <c r="AG332" i="1"/>
  <c r="AG318" i="1"/>
  <c r="AG294" i="1"/>
  <c r="AG265" i="1"/>
  <c r="AG252" i="1"/>
  <c r="AG224" i="1"/>
  <c r="AG210" i="1"/>
  <c r="AG186" i="1"/>
  <c r="AG157" i="1"/>
  <c r="AG144" i="1"/>
  <c r="AG116" i="1"/>
  <c r="AK398" i="1"/>
  <c r="AK326" i="1"/>
  <c r="AK290" i="1"/>
  <c r="AK254" i="1"/>
  <c r="AK218" i="1"/>
  <c r="AK182" i="1"/>
  <c r="AK146" i="1"/>
  <c r="AJ415" i="1"/>
  <c r="AJ401" i="1"/>
  <c r="AJ391" i="1"/>
  <c r="AJ383" i="1"/>
  <c r="AJ373" i="1"/>
  <c r="AJ365" i="1"/>
  <c r="AJ355" i="1"/>
  <c r="AJ347" i="1"/>
  <c r="AJ337" i="1"/>
  <c r="AJ329" i="1"/>
  <c r="AJ319" i="1"/>
  <c r="AJ311" i="1"/>
  <c r="AJ301" i="1"/>
  <c r="AJ293" i="1"/>
  <c r="AJ283" i="1"/>
  <c r="AJ275" i="1"/>
  <c r="AJ265" i="1"/>
  <c r="AJ257" i="1"/>
  <c r="AJ247" i="1"/>
  <c r="AJ239" i="1"/>
  <c r="AJ229" i="1"/>
  <c r="AJ221" i="1"/>
  <c r="AJ211" i="1"/>
  <c r="AJ203" i="1"/>
  <c r="AJ193" i="1"/>
  <c r="AJ185" i="1"/>
  <c r="AJ175" i="1"/>
  <c r="AJ167" i="1"/>
  <c r="AJ157" i="1"/>
  <c r="AJ149" i="1"/>
  <c r="AJ139" i="1"/>
  <c r="AJ131" i="1"/>
  <c r="AJ121" i="1"/>
  <c r="AH404" i="1"/>
  <c r="AH386" i="1"/>
  <c r="AH368" i="1"/>
  <c r="AH350" i="1"/>
  <c r="AH332" i="1"/>
  <c r="AH314" i="1"/>
  <c r="AH296" i="1"/>
  <c r="AH278" i="1"/>
  <c r="AH260" i="1"/>
  <c r="AH242" i="1"/>
  <c r="AH224" i="1"/>
  <c r="AH206" i="1"/>
  <c r="AH188" i="1"/>
  <c r="AH170" i="1"/>
  <c r="AH152" i="1"/>
  <c r="AH133" i="1"/>
  <c r="AH122" i="1"/>
  <c r="AG416" i="1"/>
  <c r="AG403" i="1"/>
  <c r="AG389" i="1"/>
  <c r="AG374" i="1"/>
  <c r="AG361" i="1"/>
  <c r="AG323" i="1"/>
  <c r="AG308" i="1"/>
  <c r="AG295" i="1"/>
  <c r="AG281" i="1"/>
  <c r="AG266" i="1"/>
  <c r="AG253" i="1"/>
  <c r="AG215" i="1"/>
  <c r="AG200" i="1"/>
  <c r="AG187" i="1"/>
  <c r="AG173" i="1"/>
  <c r="AG158" i="1"/>
  <c r="AG145" i="1"/>
  <c r="AG131" i="1"/>
  <c r="AG399" i="1"/>
  <c r="AJ399" i="1"/>
  <c r="AG393" i="1"/>
  <c r="AJ393" i="1"/>
  <c r="AG387" i="1"/>
  <c r="AJ387" i="1"/>
  <c r="AG381" i="1"/>
  <c r="AJ381" i="1"/>
  <c r="AG375" i="1"/>
  <c r="AJ375" i="1"/>
  <c r="AG369" i="1"/>
  <c r="AJ369" i="1"/>
  <c r="AG363" i="1"/>
  <c r="AJ363" i="1"/>
  <c r="AG357" i="1"/>
  <c r="AJ357" i="1"/>
  <c r="AG351" i="1"/>
  <c r="AJ351" i="1"/>
  <c r="AG345" i="1"/>
  <c r="AJ345" i="1"/>
  <c r="AG339" i="1"/>
  <c r="AJ339" i="1"/>
  <c r="AG333" i="1"/>
  <c r="AJ333" i="1"/>
  <c r="AG327" i="1"/>
  <c r="AJ327" i="1"/>
  <c r="AG321" i="1"/>
  <c r="AJ321" i="1"/>
  <c r="AG315" i="1"/>
  <c r="AJ315" i="1"/>
  <c r="AG309" i="1"/>
  <c r="AJ309" i="1"/>
  <c r="AG303" i="1"/>
  <c r="AJ303" i="1"/>
  <c r="AG297" i="1"/>
  <c r="AJ297" i="1"/>
  <c r="AG291" i="1"/>
  <c r="AJ291" i="1"/>
  <c r="AG285" i="1"/>
  <c r="AJ285" i="1"/>
  <c r="AG279" i="1"/>
  <c r="AJ279" i="1"/>
  <c r="AG273" i="1"/>
  <c r="AJ273" i="1"/>
  <c r="AG267" i="1"/>
  <c r="AJ267" i="1"/>
  <c r="AG261" i="1"/>
  <c r="AJ261" i="1"/>
  <c r="AG255" i="1"/>
  <c r="AJ255" i="1"/>
  <c r="AG249" i="1"/>
  <c r="AJ249" i="1"/>
  <c r="AG243" i="1"/>
  <c r="AJ243" i="1"/>
  <c r="AG237" i="1"/>
  <c r="AJ237" i="1"/>
  <c r="AG231" i="1"/>
  <c r="AJ231" i="1"/>
  <c r="AG225" i="1"/>
  <c r="AJ225" i="1"/>
  <c r="AG219" i="1"/>
  <c r="AJ219" i="1"/>
  <c r="AG213" i="1"/>
  <c r="AJ213" i="1"/>
  <c r="AG207" i="1"/>
  <c r="AJ207" i="1"/>
  <c r="AG201" i="1"/>
  <c r="AJ201" i="1"/>
  <c r="AG195" i="1"/>
  <c r="AJ195" i="1"/>
  <c r="AG189" i="1"/>
  <c r="AJ189" i="1"/>
  <c r="AG183" i="1"/>
  <c r="AJ183" i="1"/>
  <c r="AG177" i="1"/>
  <c r="AJ177" i="1"/>
  <c r="AG171" i="1"/>
  <c r="AJ171" i="1"/>
  <c r="AG165" i="1"/>
  <c r="AJ165" i="1"/>
  <c r="AG159" i="1"/>
  <c r="AJ159" i="1"/>
  <c r="AG153" i="1"/>
  <c r="AJ153" i="1"/>
  <c r="AG147" i="1"/>
  <c r="AJ147" i="1"/>
  <c r="AG141" i="1"/>
  <c r="AJ141" i="1"/>
  <c r="AG135" i="1"/>
  <c r="AJ135" i="1"/>
  <c r="AG129" i="1"/>
  <c r="AJ129" i="1"/>
  <c r="AG123" i="1"/>
  <c r="AH123" i="1"/>
  <c r="AJ123" i="1"/>
  <c r="AG117" i="1"/>
  <c r="AH117" i="1"/>
  <c r="AJ117" i="1"/>
  <c r="AK413" i="1"/>
  <c r="AK399" i="1"/>
  <c r="AK392" i="1"/>
  <c r="AK377" i="1"/>
  <c r="AK363" i="1"/>
  <c r="AK356" i="1"/>
  <c r="AK341" i="1"/>
  <c r="AK327" i="1"/>
  <c r="AK320" i="1"/>
  <c r="AK305" i="1"/>
  <c r="AK291" i="1"/>
  <c r="AK284" i="1"/>
  <c r="AK269" i="1"/>
  <c r="AK255" i="1"/>
  <c r="AK248" i="1"/>
  <c r="AK233" i="1"/>
  <c r="AK219" i="1"/>
  <c r="AK212" i="1"/>
  <c r="AK197" i="1"/>
  <c r="AK183" i="1"/>
  <c r="AK176" i="1"/>
  <c r="AK161" i="1"/>
  <c r="AK147" i="1"/>
  <c r="AK140" i="1"/>
  <c r="AK125" i="1"/>
  <c r="AJ416" i="1"/>
  <c r="AJ409" i="1"/>
  <c r="AJ402" i="1"/>
  <c r="AJ392" i="1"/>
  <c r="AJ374" i="1"/>
  <c r="AJ366" i="1"/>
  <c r="AJ356" i="1"/>
  <c r="AJ338" i="1"/>
  <c r="AJ320" i="1"/>
  <c r="AJ302" i="1"/>
  <c r="AJ284" i="1"/>
  <c r="AJ266" i="1"/>
  <c r="AJ248" i="1"/>
  <c r="AJ230" i="1"/>
  <c r="AJ212" i="1"/>
  <c r="AJ194" i="1"/>
  <c r="AJ176" i="1"/>
  <c r="AJ158" i="1"/>
  <c r="AJ140" i="1"/>
  <c r="AJ122" i="1"/>
  <c r="AH413" i="1"/>
  <c r="AH405" i="1"/>
  <c r="AH395" i="1"/>
  <c r="AH387" i="1"/>
  <c r="AH377" i="1"/>
  <c r="AH369" i="1"/>
  <c r="AH359" i="1"/>
  <c r="AH351" i="1"/>
  <c r="AH341" i="1"/>
  <c r="AH333" i="1"/>
  <c r="AH323" i="1"/>
  <c r="AH315" i="1"/>
  <c r="AH305" i="1"/>
  <c r="AH297" i="1"/>
  <c r="AH287" i="1"/>
  <c r="AH279" i="1"/>
  <c r="AH269" i="1"/>
  <c r="AH261" i="1"/>
  <c r="AH251" i="1"/>
  <c r="AH243" i="1"/>
  <c r="AH233" i="1"/>
  <c r="AH225" i="1"/>
  <c r="AH215" i="1"/>
  <c r="AH207" i="1"/>
  <c r="AH197" i="1"/>
  <c r="AH189" i="1"/>
  <c r="AH179" i="1"/>
  <c r="AH171" i="1"/>
  <c r="AH161" i="1"/>
  <c r="AH153" i="1"/>
  <c r="AH143" i="1"/>
  <c r="AH134" i="1"/>
  <c r="AH125" i="1"/>
  <c r="AG404" i="1"/>
  <c r="AG390" i="1"/>
  <c r="AG366" i="1"/>
  <c r="AG337" i="1"/>
  <c r="AG324" i="1"/>
  <c r="AG296" i="1"/>
  <c r="AG282" i="1"/>
  <c r="AG258" i="1"/>
  <c r="AG229" i="1"/>
  <c r="AG216" i="1"/>
  <c r="AG188" i="1"/>
  <c r="AG174" i="1"/>
  <c r="AG150" i="1"/>
  <c r="AG121" i="1"/>
  <c r="AK362" i="1"/>
  <c r="AK407" i="1"/>
  <c r="AK393" i="1"/>
  <c r="AK386" i="1"/>
  <c r="AK371" i="1"/>
  <c r="AK357" i="1"/>
  <c r="AK350" i="1"/>
  <c r="AK335" i="1"/>
  <c r="AK321" i="1"/>
  <c r="AK314" i="1"/>
  <c r="AK299" i="1"/>
  <c r="AK285" i="1"/>
  <c r="AK278" i="1"/>
  <c r="AK263" i="1"/>
  <c r="AK249" i="1"/>
  <c r="AK242" i="1"/>
  <c r="AK227" i="1"/>
  <c r="AK213" i="1"/>
  <c r="AK206" i="1"/>
  <c r="AK191" i="1"/>
  <c r="AK177" i="1"/>
  <c r="AK170" i="1"/>
  <c r="AK155" i="1"/>
  <c r="AK141" i="1"/>
  <c r="AK134" i="1"/>
  <c r="AK119" i="1"/>
  <c r="AJ417" i="1"/>
  <c r="AJ410" i="1"/>
  <c r="AJ403" i="1"/>
  <c r="AJ395" i="1"/>
  <c r="AJ385" i="1"/>
  <c r="AJ377" i="1"/>
  <c r="AJ367" i="1"/>
  <c r="AJ359" i="1"/>
  <c r="AJ349" i="1"/>
  <c r="AJ341" i="1"/>
  <c r="AJ331" i="1"/>
  <c r="AJ323" i="1"/>
  <c r="AJ313" i="1"/>
  <c r="AJ305" i="1"/>
  <c r="AJ295" i="1"/>
  <c r="AJ287" i="1"/>
  <c r="AJ277" i="1"/>
  <c r="AJ269" i="1"/>
  <c r="AJ259" i="1"/>
  <c r="AJ251" i="1"/>
  <c r="AJ241" i="1"/>
  <c r="AJ233" i="1"/>
  <c r="AJ223" i="1"/>
  <c r="AJ215" i="1"/>
  <c r="AJ205" i="1"/>
  <c r="AJ197" i="1"/>
  <c r="AJ187" i="1"/>
  <c r="AJ179" i="1"/>
  <c r="AJ169" i="1"/>
  <c r="AJ161" i="1"/>
  <c r="AJ151" i="1"/>
  <c r="AJ143" i="1"/>
  <c r="AJ133" i="1"/>
  <c r="AJ125" i="1"/>
  <c r="AJ115" i="1"/>
  <c r="AH416" i="1"/>
  <c r="AH398" i="1"/>
  <c r="AH380" i="1"/>
  <c r="AH362" i="1"/>
  <c r="AH344" i="1"/>
  <c r="AH326" i="1"/>
  <c r="AH308" i="1"/>
  <c r="AH290" i="1"/>
  <c r="AH272" i="1"/>
  <c r="AH254" i="1"/>
  <c r="AH236" i="1"/>
  <c r="AH218" i="1"/>
  <c r="AH200" i="1"/>
  <c r="AH182" i="1"/>
  <c r="AH164" i="1"/>
  <c r="AH146" i="1"/>
  <c r="AH135" i="1"/>
  <c r="AH127" i="1"/>
  <c r="AH115" i="1"/>
  <c r="AG419" i="1"/>
  <c r="AG395" i="1"/>
  <c r="AG380" i="1"/>
  <c r="AG367" i="1"/>
  <c r="AG353" i="1"/>
  <c r="AG338" i="1"/>
  <c r="AG325" i="1"/>
  <c r="AG287" i="1"/>
  <c r="AG272" i="1"/>
  <c r="AG259" i="1"/>
  <c r="AG245" i="1"/>
  <c r="AG230" i="1"/>
  <c r="AG217" i="1"/>
  <c r="AG179" i="1"/>
  <c r="AG164" i="1"/>
  <c r="AG151" i="1"/>
  <c r="AG137" i="1"/>
  <c r="AG122" i="1"/>
  <c r="AK329" i="1"/>
  <c r="AK315" i="1"/>
  <c r="AK221" i="1"/>
  <c r="AK207" i="1"/>
  <c r="AK171" i="1"/>
  <c r="AK149" i="1"/>
  <c r="AK135" i="1"/>
  <c r="AK128" i="1"/>
  <c r="AJ411" i="1"/>
  <c r="AJ386" i="1"/>
  <c r="AJ368" i="1"/>
  <c r="AJ350" i="1"/>
  <c r="AJ314" i="1"/>
  <c r="AJ278" i="1"/>
  <c r="AJ260" i="1"/>
  <c r="AJ242" i="1"/>
  <c r="AJ206" i="1"/>
  <c r="AJ170" i="1"/>
  <c r="AJ152" i="1"/>
  <c r="AJ134" i="1"/>
  <c r="AJ116" i="1"/>
  <c r="AH417" i="1"/>
  <c r="AH407" i="1"/>
  <c r="AH399" i="1"/>
  <c r="AH389" i="1"/>
  <c r="AH381" i="1"/>
  <c r="AH371" i="1"/>
  <c r="AH363" i="1"/>
  <c r="AH353" i="1"/>
  <c r="AH345" i="1"/>
  <c r="AH335" i="1"/>
  <c r="AH327" i="1"/>
  <c r="AH317" i="1"/>
  <c r="AH309" i="1"/>
  <c r="AH299" i="1"/>
  <c r="AH291" i="1"/>
  <c r="AH281" i="1"/>
  <c r="AH273" i="1"/>
  <c r="AH263" i="1"/>
  <c r="AH255" i="1"/>
  <c r="AH245" i="1"/>
  <c r="AH237" i="1"/>
  <c r="AH227" i="1"/>
  <c r="AH219" i="1"/>
  <c r="AH209" i="1"/>
  <c r="AH201" i="1"/>
  <c r="AH191" i="1"/>
  <c r="AH183" i="1"/>
  <c r="AH173" i="1"/>
  <c r="AH165" i="1"/>
  <c r="AH155" i="1"/>
  <c r="AH147" i="1"/>
  <c r="AH128" i="1"/>
  <c r="AG409" i="1"/>
  <c r="AG396" i="1"/>
  <c r="AG354" i="1"/>
  <c r="AG330" i="1"/>
  <c r="AG301" i="1"/>
  <c r="AG288" i="1"/>
  <c r="AG246" i="1"/>
  <c r="AG222" i="1"/>
  <c r="AG193" i="1"/>
  <c r="AG180" i="1"/>
  <c r="AG138" i="1"/>
  <c r="AG414" i="1"/>
  <c r="AH414" i="1"/>
  <c r="AG408" i="1"/>
  <c r="AH408" i="1"/>
  <c r="AH384" i="1"/>
  <c r="AG384" i="1"/>
  <c r="AG378" i="1"/>
  <c r="AH378" i="1"/>
  <c r="AG372" i="1"/>
  <c r="AH372" i="1"/>
  <c r="AH348" i="1"/>
  <c r="AG348" i="1"/>
  <c r="AG342" i="1"/>
  <c r="AH342" i="1"/>
  <c r="AG336" i="1"/>
  <c r="AH336" i="1"/>
  <c r="AH312" i="1"/>
  <c r="AG312" i="1"/>
  <c r="AG306" i="1"/>
  <c r="AH306" i="1"/>
  <c r="AG300" i="1"/>
  <c r="AH300" i="1"/>
  <c r="AH276" i="1"/>
  <c r="AG276" i="1"/>
  <c r="AG270" i="1"/>
  <c r="AH270" i="1"/>
  <c r="AG264" i="1"/>
  <c r="AH264" i="1"/>
  <c r="AH240" i="1"/>
  <c r="AG240" i="1"/>
  <c r="AG234" i="1"/>
  <c r="AH234" i="1"/>
  <c r="AG228" i="1"/>
  <c r="AH228" i="1"/>
  <c r="AH204" i="1"/>
  <c r="AG204" i="1"/>
  <c r="AG198" i="1"/>
  <c r="AH198" i="1"/>
  <c r="AG192" i="1"/>
  <c r="AH192" i="1"/>
  <c r="AH168" i="1"/>
  <c r="AG168" i="1"/>
  <c r="AG162" i="1"/>
  <c r="AH162" i="1"/>
  <c r="AG156" i="1"/>
  <c r="AH156" i="1"/>
  <c r="AH132" i="1"/>
  <c r="AG132" i="1"/>
  <c r="AH126" i="1"/>
  <c r="AG126" i="1"/>
  <c r="AH120" i="1"/>
  <c r="AG120" i="1"/>
  <c r="AK401" i="1"/>
  <c r="AK387" i="1"/>
  <c r="AK365" i="1"/>
  <c r="AK351" i="1"/>
  <c r="AK344" i="1"/>
  <c r="AK293" i="1"/>
  <c r="AK279" i="1"/>
  <c r="AK257" i="1"/>
  <c r="AK243" i="1"/>
  <c r="AK236" i="1"/>
  <c r="AK185" i="1"/>
  <c r="AK417" i="1"/>
  <c r="AK410" i="1"/>
  <c r="AK402" i="1"/>
  <c r="AK381" i="1"/>
  <c r="AK374" i="1"/>
  <c r="AK366" i="1"/>
  <c r="AK359" i="1"/>
  <c r="AK345" i="1"/>
  <c r="AK338" i="1"/>
  <c r="AK330" i="1"/>
  <c r="AK309" i="1"/>
  <c r="AK302" i="1"/>
  <c r="AK294" i="1"/>
  <c r="AK273" i="1"/>
  <c r="AK266" i="1"/>
  <c r="AK258" i="1"/>
  <c r="AK251" i="1"/>
  <c r="AK237" i="1"/>
  <c r="AK230" i="1"/>
  <c r="AK222" i="1"/>
  <c r="AK201" i="1"/>
  <c r="AK194" i="1"/>
  <c r="AK186" i="1"/>
  <c r="AK165" i="1"/>
  <c r="AK158" i="1"/>
  <c r="AK150" i="1"/>
  <c r="AK143" i="1"/>
  <c r="AK129" i="1"/>
  <c r="AJ413" i="1"/>
  <c r="AJ405" i="1"/>
  <c r="AJ397" i="1"/>
  <c r="AJ379" i="1"/>
  <c r="AJ371" i="1"/>
  <c r="AJ361" i="1"/>
  <c r="AJ343" i="1"/>
  <c r="AJ335" i="1"/>
  <c r="AJ325" i="1"/>
  <c r="AJ317" i="1"/>
  <c r="AJ307" i="1"/>
  <c r="AJ299" i="1"/>
  <c r="AJ289" i="1"/>
  <c r="AJ271" i="1"/>
  <c r="AJ263" i="1"/>
  <c r="AJ253" i="1"/>
  <c r="AJ235" i="1"/>
  <c r="AJ227" i="1"/>
  <c r="AJ217" i="1"/>
  <c r="AJ209" i="1"/>
  <c r="AJ199" i="1"/>
  <c r="AJ191" i="1"/>
  <c r="AJ181" i="1"/>
  <c r="AJ163" i="1"/>
  <c r="AJ155" i="1"/>
  <c r="AJ145" i="1"/>
  <c r="AJ137" i="1"/>
  <c r="AJ127" i="1"/>
  <c r="AJ119" i="1"/>
  <c r="AH410" i="1"/>
  <c r="AH392" i="1"/>
  <c r="AH356" i="1"/>
  <c r="AH320" i="1"/>
  <c r="AH302" i="1"/>
  <c r="AH284" i="1"/>
  <c r="AH248" i="1"/>
  <c r="AH212" i="1"/>
  <c r="AH194" i="1"/>
  <c r="AH176" i="1"/>
  <c r="AH140" i="1"/>
  <c r="AH129" i="1"/>
  <c r="AH119" i="1"/>
  <c r="AG397" i="1"/>
  <c r="AG331" i="1"/>
  <c r="AG289" i="1"/>
  <c r="AG223" i="1"/>
  <c r="AG181" i="1"/>
  <c r="AG115" i="1"/>
  <c r="AD391" i="1"/>
  <c r="AF391" i="1"/>
  <c r="AD385" i="1"/>
  <c r="AF385" i="1"/>
  <c r="AD379" i="1"/>
  <c r="AF379" i="1"/>
  <c r="AD373" i="1"/>
  <c r="AF373" i="1"/>
  <c r="AD367" i="1"/>
  <c r="AF367" i="1"/>
  <c r="AD361" i="1"/>
  <c r="AF361" i="1"/>
  <c r="AD355" i="1"/>
  <c r="AF355" i="1"/>
  <c r="AD349" i="1"/>
  <c r="AF349" i="1"/>
  <c r="AD343" i="1"/>
  <c r="AF343" i="1"/>
  <c r="AD337" i="1"/>
  <c r="AF337" i="1"/>
  <c r="AD331" i="1"/>
  <c r="AF331" i="1"/>
  <c r="AG400" i="1"/>
  <c r="AG364" i="1"/>
  <c r="AG328" i="1"/>
  <c r="AG292" i="1"/>
  <c r="AG256" i="1"/>
  <c r="AG220" i="1"/>
  <c r="AG184" i="1"/>
  <c r="AG148" i="1"/>
  <c r="AF403" i="1"/>
  <c r="AJ394" i="1"/>
  <c r="AJ358" i="1"/>
  <c r="AJ322" i="1"/>
  <c r="AJ286" i="1"/>
  <c r="AJ250" i="1"/>
  <c r="AJ214" i="1"/>
  <c r="AJ178" i="1"/>
  <c r="AJ142" i="1"/>
  <c r="AJ124" i="1"/>
  <c r="AF397" i="1"/>
  <c r="AF414" i="1"/>
  <c r="AF408" i="1"/>
  <c r="AF402" i="1"/>
  <c r="AF396" i="1"/>
  <c r="AF390" i="1"/>
  <c r="AF384" i="1"/>
  <c r="AF378" i="1"/>
  <c r="AF372" i="1"/>
  <c r="AF366" i="1"/>
  <c r="AF360" i="1"/>
  <c r="AF354" i="1"/>
  <c r="AF348" i="1"/>
  <c r="AF342" i="1"/>
  <c r="AF336" i="1"/>
  <c r="AF330" i="1"/>
  <c r="AF324" i="1"/>
  <c r="AF318" i="1"/>
  <c r="AF312" i="1"/>
  <c r="AF306" i="1"/>
  <c r="AF300" i="1"/>
  <c r="AF294" i="1"/>
  <c r="AF288" i="1"/>
  <c r="AF282" i="1"/>
  <c r="AF276" i="1"/>
  <c r="AF270" i="1"/>
  <c r="AF264" i="1"/>
  <c r="AF258" i="1"/>
  <c r="AF252" i="1"/>
  <c r="AF246" i="1"/>
  <c r="AF240" i="1"/>
  <c r="AF234" i="1"/>
  <c r="AF228" i="1"/>
  <c r="AF222" i="1"/>
  <c r="AF216" i="1"/>
  <c r="AF210" i="1"/>
  <c r="AF204" i="1"/>
  <c r="AF198" i="1"/>
  <c r="AF192" i="1"/>
  <c r="AF186" i="1"/>
  <c r="AF180" i="1"/>
  <c r="AF174" i="1"/>
  <c r="AF168" i="1"/>
  <c r="AF162" i="1"/>
  <c r="AF156" i="1"/>
  <c r="AF150" i="1"/>
  <c r="AF144" i="1"/>
  <c r="AF138" i="1"/>
  <c r="AF132" i="1"/>
  <c r="AF126" i="1"/>
  <c r="AF120" i="1"/>
  <c r="AF325" i="1"/>
  <c r="AF319" i="1"/>
  <c r="AF313" i="1"/>
  <c r="AF307" i="1"/>
  <c r="AF301" i="1"/>
  <c r="AF295" i="1"/>
  <c r="AF289" i="1"/>
  <c r="AF283" i="1"/>
  <c r="AF277" i="1"/>
  <c r="AF271" i="1"/>
  <c r="AF265" i="1"/>
  <c r="AF259" i="1"/>
  <c r="AF253" i="1"/>
  <c r="AF247" i="1"/>
  <c r="AF241" i="1"/>
  <c r="AF235" i="1"/>
  <c r="AF229" i="1"/>
  <c r="AF223" i="1"/>
  <c r="AF217" i="1"/>
  <c r="AF211" i="1"/>
  <c r="AF205" i="1"/>
  <c r="AF199" i="1"/>
  <c r="AF193" i="1"/>
  <c r="AF187" i="1"/>
  <c r="AF181" i="1"/>
  <c r="AF175" i="1"/>
  <c r="AF169" i="1"/>
  <c r="AF163" i="1"/>
  <c r="AF157" i="1"/>
  <c r="AF151" i="1"/>
  <c r="AF145" i="1"/>
  <c r="AF139" i="1"/>
  <c r="AF133" i="1"/>
  <c r="AF127" i="1"/>
  <c r="AF121" i="1"/>
  <c r="AF115" i="1"/>
  <c r="AL28" i="1"/>
  <c r="AL27" i="1"/>
  <c r="AL25" i="1"/>
  <c r="AL24" i="1"/>
  <c r="AL23" i="1"/>
  <c r="AL21" i="1"/>
  <c r="AL20" i="1"/>
  <c r="AL18" i="1"/>
  <c r="AL17" i="1"/>
  <c r="AL16" i="1"/>
  <c r="AL15" i="1"/>
  <c r="AL14" i="1"/>
  <c r="AL13" i="1"/>
  <c r="AL10" i="1"/>
  <c r="AL7" i="1"/>
  <c r="AL6" i="1"/>
  <c r="AL4" i="1"/>
  <c r="AL3" i="1"/>
  <c r="AB45" i="1" l="1"/>
  <c r="AB43" i="1"/>
  <c r="AB42" i="1"/>
  <c r="AB41" i="1"/>
  <c r="AB40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0" i="1"/>
  <c r="AB9" i="1"/>
  <c r="AB8" i="1"/>
  <c r="AB7" i="1"/>
  <c r="AB6" i="1"/>
  <c r="AB5" i="1"/>
  <c r="AB4" i="1"/>
  <c r="AB3" i="1"/>
  <c r="AB2" i="1"/>
  <c r="J42" i="1" l="1"/>
  <c r="AL42" i="1" s="1"/>
  <c r="J41" i="1"/>
  <c r="AL41" i="1" s="1"/>
  <c r="J31" i="1"/>
  <c r="AL31" i="1" s="1"/>
  <c r="AC45" i="1"/>
  <c r="R45" i="1"/>
  <c r="AA45" i="1" s="1"/>
  <c r="AL45" i="1"/>
  <c r="AC43" i="1"/>
  <c r="R43" i="1"/>
  <c r="AA43" i="1" s="1"/>
  <c r="J43" i="1"/>
  <c r="AL43" i="1" s="1"/>
  <c r="AC42" i="1"/>
  <c r="R42" i="1"/>
  <c r="AA42" i="1" s="1"/>
  <c r="AC41" i="1"/>
  <c r="AD41" i="1" s="1"/>
  <c r="R41" i="1"/>
  <c r="AA41" i="1" s="1"/>
  <c r="AC40" i="1"/>
  <c r="R40" i="1"/>
  <c r="AA40" i="1" s="1"/>
  <c r="J40" i="1"/>
  <c r="AL40" i="1" s="1"/>
  <c r="AC39" i="1"/>
  <c r="R39" i="1"/>
  <c r="AA39" i="1" s="1"/>
  <c r="J39" i="1"/>
  <c r="R38" i="1"/>
  <c r="AA38" i="1" s="1"/>
  <c r="P18" i="2"/>
  <c r="AF18" i="2" s="1"/>
  <c r="P8" i="2"/>
  <c r="AF8" i="2" s="1"/>
  <c r="N22" i="2"/>
  <c r="M22" i="2" s="1"/>
  <c r="O29" i="1"/>
  <c r="AC29" i="1" s="1"/>
  <c r="R37" i="2"/>
  <c r="R36" i="2"/>
  <c r="R35" i="2"/>
  <c r="R34" i="2"/>
  <c r="R33" i="2"/>
  <c r="R31" i="2"/>
  <c r="R30" i="2"/>
  <c r="R29" i="2"/>
  <c r="R28" i="2"/>
  <c r="R27" i="2"/>
  <c r="R26" i="2"/>
  <c r="R25" i="2"/>
  <c r="R16" i="2"/>
  <c r="R14" i="2"/>
  <c r="R15" i="2"/>
  <c r="R24" i="2"/>
  <c r="R23" i="2"/>
  <c r="R19" i="2"/>
  <c r="R20" i="2"/>
  <c r="R17" i="2"/>
  <c r="R21" i="2"/>
  <c r="R22" i="2"/>
  <c r="R12" i="2"/>
  <c r="R5" i="2"/>
  <c r="R10" i="2"/>
  <c r="R9" i="2"/>
  <c r="R11" i="2"/>
  <c r="R4" i="2"/>
  <c r="R7" i="2"/>
  <c r="R13" i="2"/>
  <c r="R6" i="2"/>
  <c r="R3" i="2"/>
  <c r="R18" i="2"/>
  <c r="R8" i="2"/>
  <c r="R2" i="2"/>
  <c r="P2" i="2"/>
  <c r="AF2" i="2" s="1"/>
  <c r="X37" i="2"/>
  <c r="Q37" i="2"/>
  <c r="P37" i="2"/>
  <c r="AF37" i="2" s="1"/>
  <c r="X36" i="2"/>
  <c r="Q36" i="2"/>
  <c r="P36" i="2"/>
  <c r="AF36" i="2" s="1"/>
  <c r="X35" i="2"/>
  <c r="Q35" i="2"/>
  <c r="P35" i="2"/>
  <c r="AF35" i="2" s="1"/>
  <c r="X34" i="2"/>
  <c r="Q34" i="2"/>
  <c r="P34" i="2"/>
  <c r="AF34" i="2" s="1"/>
  <c r="X33" i="2"/>
  <c r="Q33" i="2"/>
  <c r="P33" i="2"/>
  <c r="AF33" i="2" s="1"/>
  <c r="X32" i="2"/>
  <c r="Q32" i="2"/>
  <c r="P32" i="2"/>
  <c r="AF32" i="2" s="1"/>
  <c r="X31" i="2"/>
  <c r="Q31" i="2"/>
  <c r="P31" i="2"/>
  <c r="AF31" i="2" s="1"/>
  <c r="X30" i="2"/>
  <c r="Q30" i="2"/>
  <c r="P30" i="2"/>
  <c r="AF30" i="2" s="1"/>
  <c r="X29" i="2"/>
  <c r="Q29" i="2"/>
  <c r="P29" i="2"/>
  <c r="AF29" i="2" s="1"/>
  <c r="X28" i="2"/>
  <c r="Q28" i="2"/>
  <c r="P28" i="2"/>
  <c r="AF28" i="2" s="1"/>
  <c r="X27" i="2"/>
  <c r="P27" i="2"/>
  <c r="AF27" i="2" s="1"/>
  <c r="X26" i="2"/>
  <c r="Q26" i="2"/>
  <c r="P26" i="2"/>
  <c r="AF26" i="2" s="1"/>
  <c r="X25" i="2"/>
  <c r="Q25" i="2"/>
  <c r="P25" i="2"/>
  <c r="AF25" i="2" s="1"/>
  <c r="X16" i="2"/>
  <c r="Q16" i="2"/>
  <c r="P16" i="2"/>
  <c r="AF16" i="2" s="1"/>
  <c r="X14" i="2"/>
  <c r="Q14" i="2"/>
  <c r="P14" i="2"/>
  <c r="AF14" i="2" s="1"/>
  <c r="X15" i="2"/>
  <c r="Q15" i="2"/>
  <c r="P15" i="2"/>
  <c r="AF15" i="2" s="1"/>
  <c r="X24" i="2"/>
  <c r="Q24" i="2"/>
  <c r="P24" i="2"/>
  <c r="AF24" i="2" s="1"/>
  <c r="X23" i="2"/>
  <c r="Q23" i="2"/>
  <c r="P23" i="2"/>
  <c r="AF23" i="2" s="1"/>
  <c r="X19" i="2"/>
  <c r="Q19" i="2"/>
  <c r="P19" i="2"/>
  <c r="AF19" i="2" s="1"/>
  <c r="X20" i="2"/>
  <c r="Q20" i="2"/>
  <c r="P20" i="2"/>
  <c r="AF20" i="2" s="1"/>
  <c r="X17" i="2"/>
  <c r="Q17" i="2"/>
  <c r="P17" i="2"/>
  <c r="AF17" i="2" s="1"/>
  <c r="P21" i="2"/>
  <c r="AF21" i="2" s="1"/>
  <c r="X22" i="2"/>
  <c r="Q22" i="2"/>
  <c r="P22" i="2"/>
  <c r="AF22" i="2" s="1"/>
  <c r="X12" i="2"/>
  <c r="Q12" i="2"/>
  <c r="P12" i="2"/>
  <c r="AF12" i="2" s="1"/>
  <c r="X5" i="2"/>
  <c r="Q5" i="2"/>
  <c r="P5" i="2"/>
  <c r="AF5" i="2" s="1"/>
  <c r="X10" i="2"/>
  <c r="Q10" i="2"/>
  <c r="P10" i="2"/>
  <c r="AF10" i="2" s="1"/>
  <c r="X9" i="2"/>
  <c r="Q9" i="2"/>
  <c r="P9" i="2"/>
  <c r="AF9" i="2" s="1"/>
  <c r="X11" i="2"/>
  <c r="Q11" i="2"/>
  <c r="P11" i="2"/>
  <c r="AF11" i="2" s="1"/>
  <c r="X4" i="2"/>
  <c r="Q4" i="2"/>
  <c r="P4" i="2"/>
  <c r="AF4" i="2" s="1"/>
  <c r="X7" i="2"/>
  <c r="Q7" i="2"/>
  <c r="P7" i="2"/>
  <c r="AF7" i="2" s="1"/>
  <c r="X13" i="2"/>
  <c r="Q13" i="2"/>
  <c r="P13" i="2"/>
  <c r="AF13" i="2" s="1"/>
  <c r="X6" i="2"/>
  <c r="Q6" i="2"/>
  <c r="P6" i="2"/>
  <c r="AF6" i="2" s="1"/>
  <c r="X2" i="2"/>
  <c r="Q2" i="2"/>
  <c r="J8" i="1"/>
  <c r="AL8" i="1" s="1"/>
  <c r="J12" i="1"/>
  <c r="AL12" i="1" s="1"/>
  <c r="L11" i="1"/>
  <c r="E11" i="1"/>
  <c r="D11" i="1"/>
  <c r="C11" i="1"/>
  <c r="O11" i="1" s="1"/>
  <c r="AC11" i="1" s="1"/>
  <c r="B11" i="1"/>
  <c r="J11" i="1" s="1"/>
  <c r="AL11" i="1" s="1"/>
  <c r="AC38" i="1"/>
  <c r="J38" i="1"/>
  <c r="AL38" i="1" s="1"/>
  <c r="AC37" i="1"/>
  <c r="R37" i="1"/>
  <c r="AA37" i="1" s="1"/>
  <c r="J37" i="1"/>
  <c r="AL37" i="1" s="1"/>
  <c r="AC36" i="1"/>
  <c r="R36" i="1"/>
  <c r="AA36" i="1" s="1"/>
  <c r="J36" i="1"/>
  <c r="AL36" i="1" s="1"/>
  <c r="AC35" i="1"/>
  <c r="R35" i="1"/>
  <c r="AA35" i="1" s="1"/>
  <c r="J35" i="1"/>
  <c r="AL35" i="1" s="1"/>
  <c r="AC34" i="1"/>
  <c r="AD34" i="1" s="1"/>
  <c r="R34" i="1"/>
  <c r="AA34" i="1" s="1"/>
  <c r="J34" i="1"/>
  <c r="AL34" i="1" s="1"/>
  <c r="AC33" i="1"/>
  <c r="R33" i="1"/>
  <c r="AA33" i="1" s="1"/>
  <c r="J33" i="1"/>
  <c r="AL33" i="1" s="1"/>
  <c r="AC32" i="1"/>
  <c r="R32" i="1"/>
  <c r="AA32" i="1" s="1"/>
  <c r="J32" i="1"/>
  <c r="AL32" i="1" s="1"/>
  <c r="AC31" i="1"/>
  <c r="AD31" i="1" s="1"/>
  <c r="R31" i="1"/>
  <c r="AA31" i="1" s="1"/>
  <c r="AC19" i="1"/>
  <c r="R19" i="1"/>
  <c r="AA19" i="1" s="1"/>
  <c r="J19" i="1"/>
  <c r="AL19" i="1" s="1"/>
  <c r="AC22" i="1"/>
  <c r="R22" i="1"/>
  <c r="AA22" i="1" s="1"/>
  <c r="J22" i="1"/>
  <c r="AL22" i="1" s="1"/>
  <c r="AC30" i="1"/>
  <c r="R30" i="1"/>
  <c r="AA30" i="1" s="1"/>
  <c r="J30" i="1"/>
  <c r="AL30" i="1" s="1"/>
  <c r="R29" i="1"/>
  <c r="AA29" i="1" s="1"/>
  <c r="J29" i="1"/>
  <c r="AL29" i="1" s="1"/>
  <c r="AC26" i="1"/>
  <c r="R26" i="1"/>
  <c r="AA26" i="1" s="1"/>
  <c r="J26" i="1"/>
  <c r="AL26" i="1" s="1"/>
  <c r="AC8" i="1"/>
  <c r="R8" i="1"/>
  <c r="AA8" i="1" s="1"/>
  <c r="AC12" i="1"/>
  <c r="R12" i="1"/>
  <c r="AA12" i="1" s="1"/>
  <c r="AC5" i="1"/>
  <c r="R5" i="1"/>
  <c r="AA5" i="1" s="1"/>
  <c r="J5" i="1"/>
  <c r="AL5" i="1" s="1"/>
  <c r="AC2" i="1"/>
  <c r="AF2" i="1" s="1"/>
  <c r="R2" i="1"/>
  <c r="AA2" i="1" s="1"/>
  <c r="J2" i="1"/>
  <c r="AL2" i="1" s="1"/>
  <c r="AD2" i="1" l="1"/>
  <c r="P11" i="1"/>
  <c r="AB11" i="1" s="1"/>
  <c r="Z2" i="2"/>
  <c r="AE2" i="2"/>
  <c r="AC2" i="2"/>
  <c r="AD2" i="2"/>
  <c r="Z34" i="2"/>
  <c r="AE2" i="1"/>
  <c r="Y2" i="2"/>
  <c r="AD32" i="1"/>
  <c r="Z12" i="2"/>
  <c r="AB2" i="2"/>
  <c r="AA2" i="2"/>
  <c r="R11" i="1"/>
  <c r="AA11" i="1" s="1"/>
  <c r="AK30" i="1"/>
  <c r="AG2" i="1"/>
  <c r="AH2" i="1"/>
  <c r="AJ2" i="1"/>
  <c r="AK2" i="1"/>
  <c r="X3" i="2"/>
  <c r="Q3" i="2"/>
  <c r="P3" i="2"/>
  <c r="AF3" i="2" s="1"/>
  <c r="AC9" i="1"/>
  <c r="R9" i="1"/>
  <c r="AA9" i="1" s="1"/>
  <c r="J9" i="1"/>
  <c r="AL9" i="1" s="1"/>
  <c r="A3" i="3"/>
  <c r="A4" i="3" s="1"/>
  <c r="A5" i="3"/>
  <c r="A6" i="3" s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</calcChain>
</file>

<file path=xl/sharedStrings.xml><?xml version="1.0" encoding="utf-8"?>
<sst xmlns="http://schemas.openxmlformats.org/spreadsheetml/2006/main" count="2635" uniqueCount="359">
  <si>
    <t>Batters</t>
  </si>
  <si>
    <t>G</t>
  </si>
  <si>
    <t>AB</t>
  </si>
  <si>
    <t>PA</t>
  </si>
  <si>
    <t>H</t>
  </si>
  <si>
    <t>1B</t>
  </si>
  <si>
    <t>2B</t>
  </si>
  <si>
    <t>3B</t>
  </si>
  <si>
    <t>HR</t>
  </si>
  <si>
    <t>PHR</t>
  </si>
  <si>
    <t>BB</t>
  </si>
  <si>
    <t>SO</t>
  </si>
  <si>
    <t>GB</t>
  </si>
  <si>
    <t>FB</t>
  </si>
  <si>
    <t>AVG</t>
  </si>
  <si>
    <t>OBP</t>
  </si>
  <si>
    <t>SB</t>
  </si>
  <si>
    <t>PSB</t>
  </si>
  <si>
    <t>Team</t>
  </si>
  <si>
    <t>Points</t>
  </si>
  <si>
    <t>Rarity</t>
  </si>
  <si>
    <t>Pos1</t>
  </si>
  <si>
    <t>PB1</t>
  </si>
  <si>
    <t>Pos2</t>
  </si>
  <si>
    <t>PB2</t>
  </si>
  <si>
    <t>Bats</t>
  </si>
  <si>
    <t>Speed</t>
  </si>
  <si>
    <t>OnBase</t>
  </si>
  <si>
    <t>Outs</t>
  </si>
  <si>
    <t>1B+</t>
  </si>
  <si>
    <t>Chris Iannetta</t>
  </si>
  <si>
    <t>Angels</t>
  </si>
  <si>
    <t>C</t>
  </si>
  <si>
    <t>R</t>
  </si>
  <si>
    <t>Albert Pujols</t>
  </si>
  <si>
    <t>Howie Kendrick</t>
  </si>
  <si>
    <t>Erick Aybar</t>
  </si>
  <si>
    <t>SS</t>
  </si>
  <si>
    <t>S</t>
  </si>
  <si>
    <t>David Freese</t>
  </si>
  <si>
    <t>Josh Hamilton</t>
  </si>
  <si>
    <t>LF/RF</t>
  </si>
  <si>
    <t>L</t>
  </si>
  <si>
    <t>Mike Trout</t>
  </si>
  <si>
    <t>P</t>
  </si>
  <si>
    <t>CF</t>
  </si>
  <si>
    <t>Kole Calhoun</t>
  </si>
  <si>
    <t>Raul Ibanez</t>
  </si>
  <si>
    <t>Mike Zunino</t>
  </si>
  <si>
    <t>Mariners</t>
  </si>
  <si>
    <t>Justin Smoak</t>
  </si>
  <si>
    <t>Robinson Cano</t>
  </si>
  <si>
    <t>Brad Miller</t>
  </si>
  <si>
    <t>2B/SS</t>
  </si>
  <si>
    <t>Kyle Seager</t>
  </si>
  <si>
    <t>Dustin Ackley</t>
  </si>
  <si>
    <t>OF</t>
  </si>
  <si>
    <t>Abraham Almonte</t>
  </si>
  <si>
    <t>Logan Morrison</t>
  </si>
  <si>
    <t>Corey Hart</t>
  </si>
  <si>
    <t>Pitchers</t>
  </si>
  <si>
    <t>IP</t>
  </si>
  <si>
    <t>ERA</t>
  </si>
  <si>
    <t>WHIP</t>
  </si>
  <si>
    <t>PU</t>
  </si>
  <si>
    <t>HR/9</t>
  </si>
  <si>
    <t>Control</t>
  </si>
  <si>
    <t>Type</t>
  </si>
  <si>
    <t>Throws</t>
  </si>
  <si>
    <t>Starter</t>
  </si>
  <si>
    <t>Felix Hernandex</t>
  </si>
  <si>
    <t>Hank Conger</t>
  </si>
  <si>
    <t>Collin Cowgill</t>
  </si>
  <si>
    <t>Ian Stewert</t>
  </si>
  <si>
    <t>J.B. Shuck</t>
  </si>
  <si>
    <t>Grant Green</t>
  </si>
  <si>
    <t>C.J. Wilson</t>
  </si>
  <si>
    <t>Garrett Richards</t>
  </si>
  <si>
    <t>Tyler Skaggs</t>
  </si>
  <si>
    <t>GS</t>
  </si>
  <si>
    <t>PIP</t>
  </si>
  <si>
    <t>Hector Santiago</t>
  </si>
  <si>
    <t>Closer</t>
  </si>
  <si>
    <t>Ernesto Frieri</t>
  </si>
  <si>
    <t>Michael Kohn</t>
  </si>
  <si>
    <t>Reliever</t>
  </si>
  <si>
    <t>Joe Smith</t>
  </si>
  <si>
    <t>Kevin Jepsen</t>
  </si>
  <si>
    <t>Fernando Salas</t>
  </si>
  <si>
    <t>Nick Maronde</t>
  </si>
  <si>
    <t>Michael Saunders</t>
  </si>
  <si>
    <t>Stefen Romero</t>
  </si>
  <si>
    <t>Willie Bloomquist</t>
  </si>
  <si>
    <t>John Buck</t>
  </si>
  <si>
    <t>Cole Gillespie</t>
  </si>
  <si>
    <t>Roenis Elias</t>
  </si>
  <si>
    <t>James Paxton</t>
  </si>
  <si>
    <t>Hisashi Iwakuma</t>
  </si>
  <si>
    <t>Fernando Rodney</t>
  </si>
  <si>
    <t>Erasmo Ramirez</t>
  </si>
  <si>
    <t>Tom Wilhelmsen</t>
  </si>
  <si>
    <t>Yoervis Medina</t>
  </si>
  <si>
    <t>Danny Farquhar</t>
  </si>
  <si>
    <t>Charlie Furbush</t>
  </si>
  <si>
    <t>Dominic Leone</t>
  </si>
  <si>
    <t>Jose Altuve</t>
  </si>
  <si>
    <t>Matt Dominguez</t>
  </si>
  <si>
    <t>Jonathan Villar</t>
  </si>
  <si>
    <t>Dexter Fowler</t>
  </si>
  <si>
    <t>Chris Carter</t>
  </si>
  <si>
    <t>Jason Castro</t>
  </si>
  <si>
    <t>Jesus Guzman</t>
  </si>
  <si>
    <t>Alex Presley</t>
  </si>
  <si>
    <t>George Springer</t>
  </si>
  <si>
    <t>L.J. Hoes</t>
  </si>
  <si>
    <t>Marwin Gonzalez</t>
  </si>
  <si>
    <t>Carlos Corporan</t>
  </si>
  <si>
    <t>Astros</t>
  </si>
  <si>
    <t>1B/3B</t>
  </si>
  <si>
    <t>Dallas Keuchel</t>
  </si>
  <si>
    <t>Jarred Cosart</t>
  </si>
  <si>
    <t>Brett Oberholtzer</t>
  </si>
  <si>
    <t>Scott Feldman</t>
  </si>
  <si>
    <t>Brad Peacock</t>
  </si>
  <si>
    <t>Josh Fields</t>
  </si>
  <si>
    <t>Jerome Williams</t>
  </si>
  <si>
    <t>Anthony Bass</t>
  </si>
  <si>
    <t>Darin Downs</t>
  </si>
  <si>
    <t>Tony Sipp</t>
  </si>
  <si>
    <t>Athletics</t>
  </si>
  <si>
    <t>Josh Donaldson</t>
  </si>
  <si>
    <t>Brandon Moss</t>
  </si>
  <si>
    <t>Jed Lowrie</t>
  </si>
  <si>
    <t>Yoenis Cespedes</t>
  </si>
  <si>
    <t>SO2</t>
  </si>
  <si>
    <t>GB2</t>
  </si>
  <si>
    <t>FB2</t>
  </si>
  <si>
    <t>BB2</t>
  </si>
  <si>
    <t>1B2</t>
  </si>
  <si>
    <t>2B2</t>
  </si>
  <si>
    <t>3B2</t>
  </si>
  <si>
    <t>HR2</t>
  </si>
  <si>
    <t>IP2</t>
  </si>
  <si>
    <t>PU2</t>
  </si>
  <si>
    <t>Josh Reddick</t>
  </si>
  <si>
    <t>Alberto Callaspo</t>
  </si>
  <si>
    <t>Derek Norris</t>
  </si>
  <si>
    <t>John Jaso</t>
  </si>
  <si>
    <t>Coco Crisp</t>
  </si>
  <si>
    <t>Craig Gentry</t>
  </si>
  <si>
    <t>Blue Jays</t>
  </si>
  <si>
    <t>Braves</t>
  </si>
  <si>
    <t>Brewers</t>
  </si>
  <si>
    <t>Cardinals</t>
  </si>
  <si>
    <t>Cubs</t>
  </si>
  <si>
    <t>Diamondbacks</t>
  </si>
  <si>
    <t>Dodgers</t>
  </si>
  <si>
    <t>Giants</t>
  </si>
  <si>
    <t>Indians</t>
  </si>
  <si>
    <t>Marlins</t>
  </si>
  <si>
    <t>Mets</t>
  </si>
  <si>
    <t>Nationals</t>
  </si>
  <si>
    <t>Orioles</t>
  </si>
  <si>
    <t>Padres</t>
  </si>
  <si>
    <t>Phillies</t>
  </si>
  <si>
    <t>Pirates</t>
  </si>
  <si>
    <t>Rangers</t>
  </si>
  <si>
    <t>Rays</t>
  </si>
  <si>
    <t>Red Sox</t>
  </si>
  <si>
    <t>Reds</t>
  </si>
  <si>
    <t>Eric Sogard</t>
  </si>
  <si>
    <t>Nick Punto</t>
  </si>
  <si>
    <t>Daric Barton</t>
  </si>
  <si>
    <t>Sam Fuld</t>
  </si>
  <si>
    <t>Scott Kazmir</t>
  </si>
  <si>
    <t>Sonny Gray</t>
  </si>
  <si>
    <t>Jesse Chavez</t>
  </si>
  <si>
    <t>Tommy Milone</t>
  </si>
  <si>
    <t>Sean Doolittle</t>
  </si>
  <si>
    <t>Luke Gregerson</t>
  </si>
  <si>
    <t>Fernando Abad</t>
  </si>
  <si>
    <t>Dan Otero</t>
  </si>
  <si>
    <t>Jim Johnson</t>
  </si>
  <si>
    <t>Drew Pomeranz</t>
  </si>
  <si>
    <t>Jose Bautista</t>
  </si>
  <si>
    <t>Edwin Encarnacion</t>
  </si>
  <si>
    <t>Melky Cabrera</t>
  </si>
  <si>
    <t>Brett Lawrie</t>
  </si>
  <si>
    <t>Jose Reyes</t>
  </si>
  <si>
    <t>Juan Francisco</t>
  </si>
  <si>
    <t>Colby Rasmus</t>
  </si>
  <si>
    <t>Adam Lind</t>
  </si>
  <si>
    <t>Steve Tolleson</t>
  </si>
  <si>
    <t>Ryan Goins</t>
  </si>
  <si>
    <t>Anthony Gose</t>
  </si>
  <si>
    <t>Dioner Navarro</t>
  </si>
  <si>
    <t>Kevin Pillar</t>
  </si>
  <si>
    <t>R.A. Dickey</t>
  </si>
  <si>
    <t>Mark Buehrle</t>
  </si>
  <si>
    <t>Drew Hutchison</t>
  </si>
  <si>
    <t>J.A. Happ</t>
  </si>
  <si>
    <t>Brandon Morrow</t>
  </si>
  <si>
    <t>Casey Janssen</t>
  </si>
  <si>
    <t>Aaron Loup</t>
  </si>
  <si>
    <t>Brett Cecil</t>
  </si>
  <si>
    <t>Dustin McGowan</t>
  </si>
  <si>
    <t>Sergio Santos</t>
  </si>
  <si>
    <t>Todd Redmond</t>
  </si>
  <si>
    <t>Marc Krauss</t>
  </si>
  <si>
    <t>Erik Kratz</t>
  </si>
  <si>
    <t>ID</t>
  </si>
  <si>
    <t>Cardnum</t>
  </si>
  <si>
    <t>Position1</t>
  </si>
  <si>
    <t>Position1Bonus</t>
  </si>
  <si>
    <t>Position2</t>
  </si>
  <si>
    <t>Position2Bonus</t>
  </si>
  <si>
    <t>Bats_Throws</t>
  </si>
  <si>
    <t>Speed_IP</t>
  </si>
  <si>
    <t>OnBase_Control</t>
  </si>
  <si>
    <t>Icons</t>
  </si>
  <si>
    <t>FG</t>
  </si>
  <si>
    <t>Single</t>
  </si>
  <si>
    <t>SinglePlus</t>
  </si>
  <si>
    <t>Double</t>
  </si>
  <si>
    <t>Triple</t>
  </si>
  <si>
    <t>Image</t>
  </si>
  <si>
    <t>CardType</t>
  </si>
  <si>
    <t>LastName</t>
  </si>
  <si>
    <t>Name</t>
  </si>
  <si>
    <t>Batter</t>
  </si>
  <si>
    <t>Robbie Grossman</t>
  </si>
  <si>
    <t>Pitcher</t>
  </si>
  <si>
    <t>FullName</t>
  </si>
  <si>
    <t>Location</t>
  </si>
  <si>
    <t>NickName</t>
  </si>
  <si>
    <t>Roster</t>
  </si>
  <si>
    <t>Lineup</t>
  </si>
  <si>
    <t>Rotation</t>
  </si>
  <si>
    <t>Positions</t>
  </si>
  <si>
    <t>Bench</t>
  </si>
  <si>
    <t>Bullpen</t>
  </si>
  <si>
    <t>isNL</t>
  </si>
  <si>
    <t>Abrev</t>
  </si>
  <si>
    <t>Year</t>
  </si>
  <si>
    <t>Los Angeles</t>
  </si>
  <si>
    <t>Houston</t>
  </si>
  <si>
    <t>Oakland</t>
  </si>
  <si>
    <t>Toronto</t>
  </si>
  <si>
    <t>LAA</t>
  </si>
  <si>
    <t>HOU</t>
  </si>
  <si>
    <t>OAK</t>
  </si>
  <si>
    <t>TOR</t>
  </si>
  <si>
    <t>14001;14002;14003;14004;14005;14006;14007;14008;14009;14010;14011;14012;14013;14014;14015;14016;14017;14018;14019;14020;14021;14022;14023;14024;14025</t>
  </si>
  <si>
    <t>14002;14023;14015;14008;14010;14012;14005;14009;14001</t>
  </si>
  <si>
    <t>14026;14027;14028;14029;14030;14031;14032;14033;14034;14035;14036;14037;14038;14039;14040;14041;14042;14043;14044;14045;14046;14047;14048;14049;14050</t>
  </si>
  <si>
    <t>14051;14052;14053;14054;14055;14056;14057;14058;14059;14060;14061;14062;14063;14064;14065;14066;14067;14068;14069;14070;14071;14072;14073;14074;14075</t>
  </si>
  <si>
    <t>14076;14077;14078;14079;14080;14081;14082;14083;14084;14085;14086;14087;14088;14089;14090;14091;14092;14093;14094;14095;14096;14097;14098;14099;14100</t>
  </si>
  <si>
    <t>14026;14036;14029;14028;14048;14032;14039;14045;14049</t>
  </si>
  <si>
    <t>14024;14025;14016;14020;14018</t>
  </si>
  <si>
    <t>14041;14031;14043;14034;14044</t>
  </si>
  <si>
    <t>14003;14004;14007;14022;14019</t>
  </si>
  <si>
    <t>14030;14037;14040;14042;14038</t>
  </si>
  <si>
    <t>14006;14021;14017;14011;14013;14014</t>
  </si>
  <si>
    <t>14046;14035;14050;14027;14033;14047</t>
  </si>
  <si>
    <t>14078;14098;14076;14081;14090;14096;14094;14089;14083</t>
  </si>
  <si>
    <t>14061;14065;14055;14067;14075</t>
  </si>
  <si>
    <t>14080;14077;14086;14085;14093</t>
  </si>
  <si>
    <t>14060;14059;14072;14073;14074</t>
  </si>
  <si>
    <t>14058;14062;14051;14070;14064;14071</t>
  </si>
  <si>
    <t>14099;14087;14091;14092;14079;14097</t>
  </si>
  <si>
    <t>14063;0;14069;14052;14053;14057;14066;14054;14056;14068</t>
  </si>
  <si>
    <t>14090;0;14094;14081;14083;14089;14098;14078;14096;14076</t>
  </si>
  <si>
    <t>14084;14088;14095;14100;14082</t>
  </si>
  <si>
    <t>Jered Weaver</t>
  </si>
  <si>
    <t>14056;14063;14057;14068;14054;14066;14052;14069;14053</t>
  </si>
  <si>
    <t>14010;0;14009;14015;14012;14005;14001;14008;14023;14002</t>
  </si>
  <si>
    <t>14045;0;14029;14028;14026;14032;14049;14048;14036;14039</t>
  </si>
  <si>
    <t>Chad Qualls</t>
  </si>
  <si>
    <t>Dan Straily</t>
  </si>
  <si>
    <t>Chris Johnson</t>
  </si>
  <si>
    <t>Jason Heyward</t>
  </si>
  <si>
    <t>Justin Upton</t>
  </si>
  <si>
    <t>Andrelton Simmons</t>
  </si>
  <si>
    <t>B.J. Upton</t>
  </si>
  <si>
    <t>Evan Gattis</t>
  </si>
  <si>
    <t>Ryan Doumit</t>
  </si>
  <si>
    <t>Jordan Schafer</t>
  </si>
  <si>
    <t>Tommy La Stella</t>
  </si>
  <si>
    <t>Ramiro Pena</t>
  </si>
  <si>
    <t>Dan Uggla</t>
  </si>
  <si>
    <t>Tyler Pastornicky</t>
  </si>
  <si>
    <t>Gerald Laird</t>
  </si>
  <si>
    <t>Freddie Freeman</t>
  </si>
  <si>
    <t>Julio Teheran</t>
  </si>
  <si>
    <t>Aaron Harang</t>
  </si>
  <si>
    <t>Ervin Santana</t>
  </si>
  <si>
    <t>Mike Minor</t>
  </si>
  <si>
    <t>Alex Wood</t>
  </si>
  <si>
    <t>Craig Kimbrel</t>
  </si>
  <si>
    <t>Jordan Walden</t>
  </si>
  <si>
    <t>Luis Avilan</t>
  </si>
  <si>
    <t>Anthony Varvaro</t>
  </si>
  <si>
    <t>David Carpenter</t>
  </si>
  <si>
    <t>David Hale</t>
  </si>
  <si>
    <t>Atlanta</t>
  </si>
  <si>
    <t>ATL</t>
  </si>
  <si>
    <t>14101;14102;14103;14104;14105;14106;14107;14108;14109;14110;14111;14112;14113;14114;14115;14116;14117;14118;14119;14120;14121;14122;14123;14124;14125</t>
  </si>
  <si>
    <t>14117;14108;14104;14121;14105;14120;14109;14115;14112</t>
  </si>
  <si>
    <t>14119;14107;14116;14113;14125</t>
  </si>
  <si>
    <t>14105;0;14112;14104;14120;14109;14115;14121;14117;14108</t>
  </si>
  <si>
    <t>14111;14103;14114;14122;14118</t>
  </si>
  <si>
    <t>14110;14101;14124;14102;14123;14106</t>
  </si>
  <si>
    <t>Jonathan Lucroy</t>
  </si>
  <si>
    <t>Jean Segura</t>
  </si>
  <si>
    <t>Carlos Gomez</t>
  </si>
  <si>
    <t>Khris Davis</t>
  </si>
  <si>
    <t>Scooter Gennett</t>
  </si>
  <si>
    <t>Mark Reynolds</t>
  </si>
  <si>
    <t>Ryan Braun</t>
  </si>
  <si>
    <t>Rickie Weeks</t>
  </si>
  <si>
    <t>Aramis Ramirez</t>
  </si>
  <si>
    <t>Lyle Overbay</t>
  </si>
  <si>
    <t>Logan Schafer</t>
  </si>
  <si>
    <t>Zach Duke</t>
  </si>
  <si>
    <t>Elian Herrera</t>
  </si>
  <si>
    <t>Martin Maldonado</t>
  </si>
  <si>
    <t>Jeff Bianchi</t>
  </si>
  <si>
    <t>Yovani Gallardo</t>
  </si>
  <si>
    <t>Matt Garza</t>
  </si>
  <si>
    <t>Kyle Lohse</t>
  </si>
  <si>
    <t>Wily Peralta</t>
  </si>
  <si>
    <t>Marco Estrada</t>
  </si>
  <si>
    <t>Francisco Rodriguez</t>
  </si>
  <si>
    <t>Will Smith</t>
  </si>
  <si>
    <t>Brandon Kintzler</t>
  </si>
  <si>
    <t>Rob Wooten</t>
  </si>
  <si>
    <t>Tyler Thornburg</t>
  </si>
  <si>
    <t>Milwaukee</t>
  </si>
  <si>
    <t>MIL</t>
  </si>
  <si>
    <t>14126;14127;14128;14129;14130;14131;14132;14133;14134;14135;14136;14137;14138;14139;14140;14141;14142;14143;14144;14145;14146;14147;14148;14149;14150</t>
  </si>
  <si>
    <t>14134;14133;14127;14142;14128;14138;14143;14140;14146</t>
  </si>
  <si>
    <t>14137;14132;14131;14141;14130</t>
  </si>
  <si>
    <t>14143;0;14138;14140;14133;14142;14146;14127;14134;14128</t>
  </si>
  <si>
    <t>14126;14145;14135;14149;14139</t>
  </si>
  <si>
    <t>14144;14136;14129;14147;14148;14150</t>
  </si>
  <si>
    <t>Matt Carpenter</t>
  </si>
  <si>
    <t>Jhonny Peralta</t>
  </si>
  <si>
    <t>Matt Holliday</t>
  </si>
  <si>
    <t>Allen Craig</t>
  </si>
  <si>
    <t>Matt Adams</t>
  </si>
  <si>
    <t>Jon Jay</t>
  </si>
  <si>
    <t>Yadier Molina</t>
  </si>
  <si>
    <t>Peter Bourjos</t>
  </si>
  <si>
    <t>Kolten Wong</t>
  </si>
  <si>
    <t>Daniel Descalso</t>
  </si>
  <si>
    <t>Mark Ellis</t>
  </si>
  <si>
    <t>Oscar Taveras</t>
  </si>
  <si>
    <t>Tony Cruz</t>
  </si>
  <si>
    <t>Shane Robinson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</si>
</sst>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67676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Border="1" applyAlignment="1">
      <alignment horizontal="left" readingOrder="1"/>
    </xf>
    <xf numFmtId="0" fontId="1" fillId="0" borderId="0" xfId="0" applyFont="1" applyBorder="1" applyAlignment="1">
      <alignment horizontal="right" readingOrder="1"/>
    </xf>
    <xf numFmtId="0" fontId="2" fillId="0" borderId="0" xfId="0" applyFont="1" applyBorder="1" applyAlignment="1">
      <alignment vertical="center" readingOrder="1"/>
    </xf>
    <xf numFmtId="0" fontId="2" fillId="0" borderId="0" xfId="0" applyFont="1" applyBorder="1" applyAlignment="1">
      <alignment readingOrder="1"/>
    </xf>
    <xf numFmtId="0" fontId="1" fillId="0" borderId="0" xfId="0" applyFont="1" applyBorder="1" applyAlignment="1">
      <alignment horizontal="right"/>
    </xf>
    <xf numFmtId="165" fontId="2" fillId="0" borderId="0" xfId="0" applyNumberFormat="1" applyFont="1" applyBorder="1" applyAlignment="1">
      <alignment vertical="center" readingOrder="1"/>
    </xf>
    <xf numFmtId="165" fontId="1" fillId="0" borderId="0" xfId="0" applyNumberFormat="1" applyFont="1" applyBorder="1" applyAlignment="1">
      <alignment horizontal="right" readingOrder="1"/>
    </xf>
    <xf numFmtId="0" fontId="3" fillId="0" borderId="0" xfId="0" applyFont="1" applyBorder="1" applyAlignment="1">
      <alignment horizontal="right" readingOrder="1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/>
    <xf numFmtId="0" fontId="2" fillId="0" borderId="0" xfId="0" applyFont="1" applyBorder="1"/>
    <xf numFmtId="2" fontId="1" fillId="0" borderId="0" xfId="0" applyNumberFormat="1" applyFont="1"/>
    <xf numFmtId="2" fontId="1" fillId="0" borderId="0" xfId="0" applyNumberFormat="1" applyFont="1" applyBorder="1" applyAlignment="1">
      <alignment horizontal="right"/>
    </xf>
    <xf numFmtId="2" fontId="2" fillId="0" borderId="0" xfId="0" applyNumberFormat="1" applyFont="1" applyBorder="1"/>
    <xf numFmtId="164" fontId="2" fillId="0" borderId="0" xfId="0" applyNumberFormat="1" applyFont="1" applyBorder="1"/>
    <xf numFmtId="164" fontId="1" fillId="0" borderId="0" xfId="0" applyNumberFormat="1" applyFont="1" applyBorder="1" applyAlignment="1">
      <alignment horizontal="right"/>
    </xf>
    <xf numFmtId="0" fontId="2" fillId="0" borderId="0" xfId="0" applyFont="1" applyAlignment="1">
      <alignment horizontal="right" wrapText="1"/>
    </xf>
    <xf numFmtId="0" fontId="2" fillId="0" borderId="0" xfId="0" applyFont="1" applyBorder="1" applyAlignment="1">
      <alignment horizontal="right" readingOrder="1"/>
    </xf>
    <xf numFmtId="165" fontId="2" fillId="0" borderId="0" xfId="0" applyNumberFormat="1" applyFont="1" applyBorder="1" applyAlignment="1">
      <alignment readingOrder="1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 readingOrder="1"/>
    </xf>
    <xf numFmtId="0" fontId="4" fillId="0" borderId="0" xfId="0" applyFont="1" applyBorder="1" applyAlignment="1">
      <alignment horizontal="left" readingOrder="1"/>
    </xf>
    <xf numFmtId="0" fontId="4" fillId="0" borderId="0" xfId="0" applyFont="1" applyBorder="1" applyAlignment="1">
      <alignment horizontal="center" readingOrder="1"/>
    </xf>
    <xf numFmtId="165" fontId="4" fillId="0" borderId="0" xfId="0" applyNumberFormat="1" applyFont="1" applyBorder="1" applyAlignment="1">
      <alignment horizontal="center" readingOrder="1"/>
    </xf>
    <xf numFmtId="0" fontId="5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 readingOrder="1"/>
    </xf>
    <xf numFmtId="2" fontId="4" fillId="0" borderId="0" xfId="0" applyNumberFormat="1" applyFont="1" applyBorder="1" applyAlignment="1">
      <alignment horizontal="center" readingOrder="1"/>
    </xf>
    <xf numFmtId="2" fontId="1" fillId="0" borderId="0" xfId="0" applyNumberFormat="1" applyFont="1" applyBorder="1"/>
    <xf numFmtId="0" fontId="1" fillId="0" borderId="0" xfId="0" applyFont="1" applyBorder="1"/>
    <xf numFmtId="0" fontId="6" fillId="0" borderId="0" xfId="0" applyFont="1" applyBorder="1" applyAlignment="1">
      <alignment horizontal="left" readingOrder="1"/>
    </xf>
    <xf numFmtId="49" fontId="0" fillId="0" borderId="0" xfId="0" applyNumberFormat="1"/>
    <xf numFmtId="0" fontId="2" fillId="0" borderId="0" xfId="0" applyFont="1"/>
    <xf numFmtId="0" fontId="2" fillId="0" borderId="0" xfId="0" applyNumberFormat="1" applyFont="1"/>
  </cellXfs>
  <cellStyles count="1">
    <cellStyle name="Normal" xfId="0" builtinId="0"/>
  </cellStyles>
  <dxfs count="11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bottom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76767"/>
        <name val="Arial"/>
        <scheme val="none"/>
      </font>
      <alignment horizontal="right" vertical="bottom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"/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5" formatCode="0.000"/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76767"/>
        <name val="Arial"/>
        <scheme val="none"/>
      </font>
      <alignment horizontal="right" vertical="bottom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bottom" textRotation="0" wrapText="0" relative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bottom" textRotation="0" wrapText="0" relativeIndent="0" justifyLastLine="0" shrinkToFit="0" readingOrder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33618</xdr:colOff>
      <xdr:row>1</xdr:row>
      <xdr:rowOff>33618</xdr:rowOff>
    </xdr:from>
    <xdr:to>
      <xdr:col>27</xdr:col>
      <xdr:colOff>593912</xdr:colOff>
      <xdr:row>1</xdr:row>
      <xdr:rowOff>179294</xdr:rowOff>
    </xdr:to>
    <xdr:sp macro="[0]!Sortcards" textlink="">
      <xdr:nvSpPr>
        <xdr:cNvPr id="2" name="Rectangle 1"/>
        <xdr:cNvSpPr/>
      </xdr:nvSpPr>
      <xdr:spPr>
        <a:xfrm>
          <a:off x="12774706" y="224118"/>
          <a:ext cx="560294" cy="1456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/>
            <a:t>Sort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A1:AL456" totalsRowShown="0" headerRowDxfId="109" dataDxfId="108">
  <autoFilter ref="A1:AL456"/>
  <tableColumns count="38">
    <tableColumn id="1" name="Batters" dataDxfId="107"/>
    <tableColumn id="2" name="G" dataDxfId="106"/>
    <tableColumn id="3" name="AB" dataDxfId="105"/>
    <tableColumn id="4" name="PA" dataDxfId="104"/>
    <tableColumn id="5" name="H" dataDxfId="103"/>
    <tableColumn id="6" name="1B" dataDxfId="102"/>
    <tableColumn id="7" name="2B" dataDxfId="101"/>
    <tableColumn id="8" name="3B" dataDxfId="100"/>
    <tableColumn id="9" name="HR" dataDxfId="99"/>
    <tableColumn id="10" name="PHR" dataDxfId="98">
      <calculatedColumnFormula>ROUND(I2/B2*162, 0)</calculatedColumnFormula>
    </tableColumn>
    <tableColumn id="11" name="BB" dataDxfId="97"/>
    <tableColumn id="12" name="SO" dataDxfId="96"/>
    <tableColumn id="13" name="GB" dataDxfId="95"/>
    <tableColumn id="14" name="FB" dataDxfId="94"/>
    <tableColumn id="15" name="AVG" dataDxfId="93"/>
    <tableColumn id="16" name="OBP" dataDxfId="92"/>
    <tableColumn id="17" name="SB" dataDxfId="91"/>
    <tableColumn id="18" name="PSB" dataDxfId="90">
      <calculatedColumnFormula>ROUND(Q2/B2*162, 0)</calculatedColumnFormula>
    </tableColumn>
    <tableColumn id="19" name="Team" dataDxfId="89"/>
    <tableColumn id="20" name="Points" dataDxfId="88"/>
    <tableColumn id="21" name="Rarity" dataDxfId="87"/>
    <tableColumn id="22" name="Pos1" dataDxfId="86"/>
    <tableColumn id="23" name="PB1" dataDxfId="85"/>
    <tableColumn id="24" name="Pos2" dataDxfId="84"/>
    <tableColumn id="25" name="PB2" dataDxfId="83"/>
    <tableColumn id="26" name="Bats" dataDxfId="82"/>
    <tableColumn id="27" name="Speed" dataDxfId="81">
      <calculatedColumnFormula>IF(R2=0,8,IF(R2&lt;2,9,IF(R2&lt;3,10,IF(R2&lt;4,11,IF(R2&lt;5,12,IF(R2&lt;7,13,IF(R2&lt;9,14,IF(R2&lt;11,15,IF(R2&lt;16,16,IF(R2&lt;21,17,IF(R2&lt;26,18,IF(R2&lt;31,19,IF(R2&lt;36,20,IF(R2&lt;41,21,IF(R2&lt;46,22,IF(R2&lt;51,23,24))))))))))))))))</calculatedColumnFormula>
    </tableColumn>
    <tableColumn id="28" name="OnBase" dataDxfId="80">
      <calculatedColumnFormula>IF(P2&lt;0.3,9,IF(P2&lt;0.34,10,IF(P2&lt;0.365,11,IF(P2&lt;0.39,12,IF(P2&lt;0.43,13,IF(P2&lt;0.475,14,IF(P2&lt;0.5,15,16)))))))</calculatedColumnFormula>
    </tableColumn>
    <tableColumn id="29" name="Outs" dataDxfId="79">
      <calculatedColumnFormula>IF(O2&lt;0.2,8,IF(O2&lt;0.25,7,IF(O2&lt;0.3,6,IF(O2&lt;0.35,5,4))))</calculatedColumnFormula>
    </tableColumn>
    <tableColumn id="30" name="SO2" dataDxfId="78">
      <calculatedColumnFormula>ROUND(L2/($L2+$M2+$N2)*$AC2, 0)</calculatedColumnFormula>
    </tableColumn>
    <tableColumn id="31" name="GB2" dataDxfId="77">
      <calculatedColumnFormula>ROUND(M2/($L2+$M2+$N2)*$AC2, 0)</calculatedColumnFormula>
    </tableColumn>
    <tableColumn id="32" name="FB2" dataDxfId="76">
      <calculatedColumnFormula>ROUND(N2/($L2+$M2+$N2)*$AC2, 0)</calculatedColumnFormula>
    </tableColumn>
    <tableColumn id="33" name="BB2" dataDxfId="75">
      <calculatedColumnFormula>ROUND(K2/($K2+E2)*(AL2-AC2-1), 0)</calculatedColumnFormula>
    </tableColumn>
    <tableColumn id="34" name="1B2" dataDxfId="74">
      <calculatedColumnFormula>ROUND(F2/($K2+$E2)*($AL2-$AC2-1), 0)</calculatedColumnFormula>
    </tableColumn>
    <tableColumn id="35" name="1B+" dataDxfId="73"/>
    <tableColumn id="36" name="2B2" dataDxfId="72">
      <calculatedColumnFormula>ROUND(G2/($K2+$E2)*($AL2-$AC2-1), 0)</calculatedColumnFormula>
    </tableColumn>
    <tableColumn id="37" name="3B2" dataDxfId="71">
      <calculatedColumnFormula>ROUND(H2/($K2+$E2)*($AL2-$AC2-1), 0)</calculatedColumnFormula>
    </tableColumn>
    <tableColumn id="38" name="HR2" dataDxfId="70">
      <calculatedColumnFormula>IF(J2&lt;3,22,IF(J2&lt;10,21,IF(J2&lt;20,20,IF(J2&lt;30,19,IF(J2&lt;50,18,17)))))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AF332" totalsRowShown="0" headerRowDxfId="69" dataDxfId="68">
  <autoFilter ref="A1:AF332"/>
  <tableColumns count="32">
    <tableColumn id="1" name="Pitchers" dataDxfId="67"/>
    <tableColumn id="2" name="G" dataDxfId="66"/>
    <tableColumn id="3" name="GS" dataDxfId="65"/>
    <tableColumn id="4" name="IP" dataDxfId="64"/>
    <tableColumn id="5" name="PIP" dataDxfId="63"/>
    <tableColumn id="6" name="ERA" dataDxfId="62"/>
    <tableColumn id="7" name="WHIP" dataDxfId="61"/>
    <tableColumn id="8" name="PU" dataDxfId="60"/>
    <tableColumn id="9" name="SO" dataDxfId="59"/>
    <tableColumn id="10" name="GB" dataDxfId="58"/>
    <tableColumn id="11" name="FB" dataDxfId="57"/>
    <tableColumn id="12" name="BB" dataDxfId="56"/>
    <tableColumn id="13" name="1B" dataDxfId="55"/>
    <tableColumn id="14" name="2B" dataDxfId="54"/>
    <tableColumn id="15" name="HR" dataDxfId="53"/>
    <tableColumn id="16" name="HR/9" dataDxfId="52">
      <calculatedColumnFormula>O2/D2*9</calculatedColumnFormula>
    </tableColumn>
    <tableColumn id="17" name="Control" dataDxfId="51">
      <calculatedColumnFormula>IF(G2&lt;=1.1,6,IF(G2&lt;=1.2,5,IF(G2&lt;=1.3,4,IF(G2&lt;=1.4,3,IF(G2&lt;=1.5,2,1)))))</calculatedColumnFormula>
    </tableColumn>
    <tableColumn id="18" name="IP2" dataDxfId="50">
      <calculatedColumnFormula>ROUND(E2/C2, 0)</calculatedColumnFormula>
    </tableColumn>
    <tableColumn id="19" name="Team" dataDxfId="49"/>
    <tableColumn id="20" name="Points" dataDxfId="48"/>
    <tableColumn id="21" name="Type" dataDxfId="47"/>
    <tableColumn id="22" name="Rarity" dataDxfId="46"/>
    <tableColumn id="23" name="Throws" dataDxfId="45"/>
    <tableColumn id="24" name="Outs" dataDxfId="44">
      <calculatedColumnFormula>IF(F2&lt;1.25, 19, IF(F2&lt;2, 18, IF(F2&lt;3, 17, IF(F2&lt;4.5, 16, IF(F2&lt;6, 15, 14)))))</calculatedColumnFormula>
    </tableColumn>
    <tableColumn id="25" name="PU2" dataDxfId="43">
      <calculatedColumnFormula>ROUND($X2*H2/($H2+$I2+$J2+$K2), 0)</calculatedColumnFormula>
    </tableColumn>
    <tableColumn id="26" name="SO2" dataDxfId="42">
      <calculatedColumnFormula>ROUND($X2*I2/($H2+$I2+$J2+$K2), 0)</calculatedColumnFormula>
    </tableColumn>
    <tableColumn id="27" name="GB2" dataDxfId="41">
      <calculatedColumnFormula>ROUND($X2*J2/($H2+$I2+$J2+$K2), 0)</calculatedColumnFormula>
    </tableColumn>
    <tableColumn id="28" name="FB2" dataDxfId="40">
      <calculatedColumnFormula>ROUND($X2*K2/($H2+$I2+$J2+$K2), 0)</calculatedColumnFormula>
    </tableColumn>
    <tableColumn id="29" name="BB2" dataDxfId="39">
      <calculatedColumnFormula>ROUND(L2/($L2+$M2+$N2)*(20-$X2), 0)</calculatedColumnFormula>
    </tableColumn>
    <tableColumn id="30" name="1B2" dataDxfId="38">
      <calculatedColumnFormula>ROUND(M2/($L2+$M2+$N2)*(20-$X2), 0)</calculatedColumnFormula>
    </tableColumn>
    <tableColumn id="31" name="2B2" dataDxfId="37">
      <calculatedColumnFormula>ROUND(N2/($L2+$M2+$N2)*(20-$X2), 0)</calculatedColumnFormula>
    </tableColumn>
    <tableColumn id="32" name="HR2" dataDxfId="36">
      <calculatedColumnFormula>IF(P2&lt;0.5,28,IF(P2&lt;0.7,27,IF(P2&lt;0.8,26,IF(P2&lt;1,25,IF(P2&lt;1.1,24,IF(P2&lt;1.25,23,IF(P2&lt;1.5,22,IF(P2&lt;1.75,21,IF(P2&lt;2,21,20)))))))))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A1:Z751" totalsRowShown="0" dataDxfId="35">
  <autoFilter ref="A1:Z751"/>
  <sortState ref="A2:Z751">
    <sortCondition ref="C1:C751"/>
  </sortState>
  <tableColumns count="26">
    <tableColumn id="2" name="Cardnum" dataDxfId="34"/>
    <tableColumn id="3" name="Name" dataDxfId="33"/>
    <tableColumn id="4" name="Team" dataDxfId="32"/>
    <tableColumn id="5" name="Points" dataDxfId="31"/>
    <tableColumn id="6" name="Rarity" dataDxfId="30"/>
    <tableColumn id="7" name="Position1" dataDxfId="29"/>
    <tableColumn id="8" name="Position1Bonus" dataDxfId="28"/>
    <tableColumn id="9" name="Position2" dataDxfId="27"/>
    <tableColumn id="10" name="Position2Bonus" dataDxfId="26"/>
    <tableColumn id="11" name="Bats_Throws" dataDxfId="25"/>
    <tableColumn id="13" name="OnBase_Control" dataDxfId="24"/>
    <tableColumn id="12" name="Speed_IP" dataDxfId="23"/>
    <tableColumn id="14" name="Icons" dataDxfId="22"/>
    <tableColumn id="15" name="PU" dataDxfId="21"/>
    <tableColumn id="16" name="SO" dataDxfId="20"/>
    <tableColumn id="17" name="GB" dataDxfId="19"/>
    <tableColumn id="18" name="FG" dataDxfId="18"/>
    <tableColumn id="19" name="BB" dataDxfId="17"/>
    <tableColumn id="20" name="Single" dataDxfId="16"/>
    <tableColumn id="21" name="SinglePlus" dataDxfId="15"/>
    <tableColumn id="22" name="Double" dataDxfId="14"/>
    <tableColumn id="23" name="Triple" dataDxfId="13"/>
    <tableColumn id="24" name="HR" dataDxfId="12"/>
    <tableColumn id="25" name="Image" dataDxfId="11">
      <calculatedColumnFormula>CONCATENATE(LOWER(SUBSTITUTE(SUBSTITUTE(B2," ","_"), ".", "")), ".png")</calculatedColumnFormula>
    </tableColumn>
    <tableColumn id="26" name="CardType" dataDxfId="10"/>
    <tableColumn id="27" name="LastName" dataDxfId="9">
      <calculatedColumnFormula>RIGHT(B2, LEN(B2)-SEARCH(" ", B2, 1))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1:M31" totalsRowShown="0">
  <autoFilter ref="A1:M31"/>
  <tableColumns count="13">
    <tableColumn id="1" name="ID"/>
    <tableColumn id="2" name="FullName" dataDxfId="8"/>
    <tableColumn id="3" name="Location" dataDxfId="7"/>
    <tableColumn id="4" name="NickName" dataDxfId="6"/>
    <tableColumn id="5" name="Roster" dataDxfId="5">
      <calculatedColumnFormula xml:space="preserve"> CONCATENATE("")</calculatedColumnFormula>
    </tableColumn>
    <tableColumn id="6" name="Lineup" dataDxfId="4">
      <calculatedColumnFormula>CONCATENATE("140", SUBSTITUTE(Table7[[#This Row],[Lineup]], ",", ",140"))</calculatedColumnFormula>
    </tableColumn>
    <tableColumn id="7" name="Rotation" dataDxfId="3"/>
    <tableColumn id="8" name="Positions" dataDxfId="2"/>
    <tableColumn id="9" name="Bench" dataDxfId="1"/>
    <tableColumn id="10" name="Bullpen" dataDxfId="0"/>
    <tableColumn id="11" name="isNL"/>
    <tableColumn id="12" name="Abrev"/>
    <tableColumn id="13" name="Yea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456"/>
  <sheetViews>
    <sheetView topLeftCell="A90" zoomScale="85" zoomScaleNormal="85" workbookViewId="0">
      <selection activeCell="AD101" sqref="AD101:AL114"/>
    </sheetView>
  </sheetViews>
  <sheetFormatPr defaultRowHeight="12.75" x14ac:dyDescent="0.2"/>
  <cols>
    <col min="1" max="1" width="17" style="22" bestFit="1" customWidth="1"/>
    <col min="2" max="2" width="7" style="5" bestFit="1" customWidth="1"/>
    <col min="3" max="3" width="5" style="5" customWidth="1"/>
    <col min="4" max="4" width="5.42578125" style="5" customWidth="1"/>
    <col min="5" max="5" width="4" style="5" customWidth="1"/>
    <col min="6" max="7" width="4.28515625" style="5" customWidth="1"/>
    <col min="8" max="8" width="3.140625" style="5" customWidth="1"/>
    <col min="9" max="9" width="3.7109375" style="5" customWidth="1"/>
    <col min="10" max="10" width="7" style="19" customWidth="1"/>
    <col min="11" max="11" width="5.7109375" style="5" customWidth="1"/>
    <col min="12" max="13" width="5.85546875" style="5" customWidth="1"/>
    <col min="14" max="14" width="5.5703125" style="5" customWidth="1"/>
    <col min="15" max="15" width="5.5703125" style="20" customWidth="1"/>
    <col min="16" max="16" width="5.85546875" style="20" customWidth="1"/>
    <col min="17" max="17" width="4" style="5" customWidth="1"/>
    <col min="18" max="18" width="4.7109375" style="19" customWidth="1"/>
    <col min="19" max="19" width="13.42578125" style="5" customWidth="1"/>
    <col min="20" max="20" width="5.85546875" style="5" customWidth="1"/>
    <col min="21" max="21" width="5.85546875" style="12" customWidth="1"/>
    <col min="22" max="22" width="7.42578125" style="12" customWidth="1"/>
    <col min="23" max="23" width="4.42578125" style="12" customWidth="1"/>
    <col min="24" max="24" width="7.42578125" style="12" customWidth="1"/>
    <col min="25" max="25" width="4.28515625" style="12" customWidth="1"/>
    <col min="26" max="26" width="7" style="12" customWidth="1"/>
    <col min="27" max="27" width="6.140625" style="12" customWidth="1"/>
    <col min="28" max="28" width="7.140625" style="12" customWidth="1"/>
    <col min="29" max="29" width="4.42578125" style="12" customWidth="1"/>
    <col min="30" max="38" width="4.140625" style="12" customWidth="1"/>
    <col min="39" max="16384" width="9.140625" style="12"/>
  </cols>
  <sheetData>
    <row r="1" spans="1:38" s="26" customFormat="1" x14ac:dyDescent="0.2">
      <c r="A1" s="23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5" t="s">
        <v>14</v>
      </c>
      <c r="P1" s="25" t="s">
        <v>15</v>
      </c>
      <c r="Q1" s="24" t="s">
        <v>16</v>
      </c>
      <c r="R1" s="24" t="s">
        <v>17</v>
      </c>
      <c r="S1" s="24" t="s">
        <v>18</v>
      </c>
      <c r="T1" s="24" t="s">
        <v>19</v>
      </c>
      <c r="U1" s="24" t="s">
        <v>20</v>
      </c>
      <c r="V1" s="24" t="s">
        <v>21</v>
      </c>
      <c r="W1" s="24" t="s">
        <v>22</v>
      </c>
      <c r="X1" s="24" t="s">
        <v>23</v>
      </c>
      <c r="Y1" s="24" t="s">
        <v>24</v>
      </c>
      <c r="Z1" s="24" t="s">
        <v>25</v>
      </c>
      <c r="AA1" s="24" t="s">
        <v>26</v>
      </c>
      <c r="AB1" s="24" t="s">
        <v>27</v>
      </c>
      <c r="AC1" s="24" t="s">
        <v>28</v>
      </c>
      <c r="AD1" s="24" t="s">
        <v>134</v>
      </c>
      <c r="AE1" s="24" t="s">
        <v>135</v>
      </c>
      <c r="AF1" s="24" t="s">
        <v>136</v>
      </c>
      <c r="AG1" s="24" t="s">
        <v>137</v>
      </c>
      <c r="AH1" s="24" t="s">
        <v>138</v>
      </c>
      <c r="AI1" s="24" t="s">
        <v>29</v>
      </c>
      <c r="AJ1" s="24" t="s">
        <v>139</v>
      </c>
      <c r="AK1" s="24" t="s">
        <v>140</v>
      </c>
      <c r="AL1" s="24" t="s">
        <v>141</v>
      </c>
    </row>
    <row r="2" spans="1:38" x14ac:dyDescent="0.2">
      <c r="B2" s="4"/>
      <c r="C2" s="4"/>
      <c r="D2" s="4"/>
      <c r="E2" s="4"/>
      <c r="F2" s="4"/>
      <c r="G2" s="4"/>
      <c r="H2" s="4"/>
      <c r="I2" s="4"/>
      <c r="J2" s="9" t="e">
        <f>ROUND(I2/B2*162, 0)</f>
        <v>#DIV/0!</v>
      </c>
      <c r="K2" s="4"/>
      <c r="L2" s="4"/>
      <c r="M2" s="4"/>
      <c r="N2" s="4"/>
      <c r="O2" s="7"/>
      <c r="P2" s="7"/>
      <c r="Q2" s="4"/>
      <c r="R2" s="9" t="e">
        <f>ROUND(Q2/B2*162, 0)</f>
        <v>#DIV/0!</v>
      </c>
      <c r="S2" s="4"/>
      <c r="T2" s="4"/>
      <c r="U2" s="10"/>
      <c r="V2" s="10"/>
      <c r="W2" s="10"/>
      <c r="X2" s="10"/>
      <c r="Y2" s="10"/>
      <c r="Z2" s="10"/>
      <c r="AA2" s="11" t="e">
        <f>IF(R2=0,8,IF(R2&lt;2,9,IF(R2&lt;3,10,IF(R2&lt;4,11,IF(R2&lt;5,12,IF(R2&lt;7,13,IF(R2&lt;9,14,IF(R2&lt;11,15,IF(R2&lt;16,16,IF(R2&lt;21,17,IF(R2&lt;26,18,IF(R2&lt;31,19,IF(R2&lt;36,20,IF(R2&lt;41,21,IF(R2&lt;46,22,IF(R2&lt;51,23,24))))))))))))))))</f>
        <v>#DIV/0!</v>
      </c>
      <c r="AB2" s="11">
        <f>IF(P2&lt;0.3,9,IF(P2&lt;0.34,10,IF(P2&lt;0.365,11,IF(P2&lt;0.39,12,IF(P2&lt;0.43,13,IF(P2&lt;0.475,14,IF(P2&lt;0.5,15,16)))))))</f>
        <v>9</v>
      </c>
      <c r="AC2" s="11">
        <f>IF(O2&lt;0.2,8,IF(O2&lt;0.25,7,IF(O2&lt;0.3,6,IF(O2&lt;0.35,5,4))))</f>
        <v>8</v>
      </c>
      <c r="AD2" s="11" t="e">
        <f>ROUND(L2/($L2+$M2+$N2)*$AC2, 0)</f>
        <v>#DIV/0!</v>
      </c>
      <c r="AE2" s="11" t="e">
        <f>ROUND(M2/($L2+$M2+$N2)*$AC2, 0)</f>
        <v>#DIV/0!</v>
      </c>
      <c r="AF2" s="11" t="e">
        <f>ROUND(N2/($L2+$M2+$N2)*$AC2, 0)</f>
        <v>#DIV/0!</v>
      </c>
      <c r="AG2" s="11" t="e">
        <f>ROUND(K2/($K2+E2)*(AL2-AC2-1), 0)</f>
        <v>#DIV/0!</v>
      </c>
      <c r="AH2" s="11" t="e">
        <f>ROUND(F2/($K2+$E2)*($AL2-$AC2-1), 0)</f>
        <v>#DIV/0!</v>
      </c>
      <c r="AI2" s="10"/>
      <c r="AJ2" s="11" t="e">
        <f>ROUND(G2/($K2+$E2)*($AL2-$AC2-1), 0)</f>
        <v>#DIV/0!</v>
      </c>
      <c r="AK2" s="11" t="e">
        <f>ROUND(H2/($K2+$E2)*($AL2-$AC2-1), 0)</f>
        <v>#DIV/0!</v>
      </c>
      <c r="AL2" s="11" t="e">
        <f>IF(J2&lt;3,22,IF(J2&lt;10,21,IF(J2&lt;20,20,IF(J2&lt;30,19,IF(J2&lt;50,18,17)))))</f>
        <v>#DIV/0!</v>
      </c>
    </row>
    <row r="3" spans="1:38" x14ac:dyDescent="0.2">
      <c r="A3" s="2" t="s">
        <v>34</v>
      </c>
      <c r="B3" s="3">
        <v>99</v>
      </c>
      <c r="C3" s="3">
        <v>391</v>
      </c>
      <c r="D3" s="3">
        <v>443</v>
      </c>
      <c r="E3" s="3">
        <v>101</v>
      </c>
      <c r="F3" s="3">
        <v>65</v>
      </c>
      <c r="G3" s="3">
        <v>19</v>
      </c>
      <c r="H3" s="3">
        <v>0</v>
      </c>
      <c r="I3" s="3">
        <v>17</v>
      </c>
      <c r="J3" s="3">
        <v>28</v>
      </c>
      <c r="K3" s="3">
        <v>53</v>
      </c>
      <c r="L3" s="3">
        <v>55</v>
      </c>
      <c r="M3" s="3">
        <v>131</v>
      </c>
      <c r="N3" s="3">
        <v>144</v>
      </c>
      <c r="O3" s="8">
        <v>0.25800000000000001</v>
      </c>
      <c r="P3" s="8">
        <v>0.33</v>
      </c>
      <c r="Q3" s="3">
        <v>1</v>
      </c>
      <c r="R3" s="3">
        <v>2</v>
      </c>
      <c r="S3" s="2" t="s">
        <v>31</v>
      </c>
      <c r="T3" s="4"/>
      <c r="U3" s="2" t="s">
        <v>32</v>
      </c>
      <c r="V3" s="2" t="s">
        <v>5</v>
      </c>
      <c r="W3" s="6">
        <v>0</v>
      </c>
      <c r="X3" s="10"/>
      <c r="Y3" s="10"/>
      <c r="Z3" s="2" t="s">
        <v>33</v>
      </c>
      <c r="AA3" s="6">
        <v>10</v>
      </c>
      <c r="AB3" s="11">
        <f t="shared" ref="AB3:AB45" si="0">IF(P3&lt;0.3,9,IF(P3&lt;0.34,10,IF(P3&lt;0.365,11,IF(P3&lt;0.39,12,IF(P3&lt;0.43,13,IF(P3&lt;0.475,14,IF(P3&lt;0.5,15,16)))))))</f>
        <v>10</v>
      </c>
      <c r="AC3" s="6">
        <v>6</v>
      </c>
      <c r="AD3" s="6">
        <v>1</v>
      </c>
      <c r="AE3" s="6">
        <v>3</v>
      </c>
      <c r="AF3" s="6">
        <v>6</v>
      </c>
      <c r="AG3" s="6">
        <v>10</v>
      </c>
      <c r="AH3" s="6">
        <v>16</v>
      </c>
      <c r="AI3" s="6">
        <v>16</v>
      </c>
      <c r="AJ3" s="6">
        <v>18</v>
      </c>
      <c r="AK3" s="6">
        <v>18</v>
      </c>
      <c r="AL3" s="11">
        <f t="shared" ref="AL3:AL45" si="1">IF(J3&lt;3,22,IF(J3&lt;10,21,IF(J3&lt;20,20,IF(J3&lt;30,19,IF(J3&lt;50,18,17)))))</f>
        <v>19</v>
      </c>
    </row>
    <row r="4" spans="1:38" x14ac:dyDescent="0.2">
      <c r="A4" s="2" t="s">
        <v>30</v>
      </c>
      <c r="B4" s="3">
        <v>115</v>
      </c>
      <c r="C4" s="3">
        <v>325</v>
      </c>
      <c r="D4" s="3">
        <v>399</v>
      </c>
      <c r="E4" s="3">
        <v>73</v>
      </c>
      <c r="F4" s="3">
        <v>47</v>
      </c>
      <c r="G4" s="3">
        <v>15</v>
      </c>
      <c r="H4" s="3">
        <v>0</v>
      </c>
      <c r="I4" s="3">
        <v>11</v>
      </c>
      <c r="J4" s="3">
        <v>15</v>
      </c>
      <c r="K4" s="3">
        <v>72</v>
      </c>
      <c r="L4" s="3">
        <v>100</v>
      </c>
      <c r="M4" s="3">
        <v>85</v>
      </c>
      <c r="N4" s="3">
        <v>99</v>
      </c>
      <c r="O4" s="8">
        <v>0.22500000000000001</v>
      </c>
      <c r="P4" s="8">
        <v>0.35799999999999998</v>
      </c>
      <c r="Q4" s="3">
        <v>0</v>
      </c>
      <c r="R4" s="3">
        <v>0</v>
      </c>
      <c r="S4" s="2" t="s">
        <v>31</v>
      </c>
      <c r="T4" s="4"/>
      <c r="U4" s="2" t="s">
        <v>32</v>
      </c>
      <c r="V4" s="2" t="s">
        <v>32</v>
      </c>
      <c r="W4" s="6">
        <v>4</v>
      </c>
      <c r="X4" s="10"/>
      <c r="Y4" s="10"/>
      <c r="Z4" s="2" t="s">
        <v>33</v>
      </c>
      <c r="AA4" s="6">
        <v>8</v>
      </c>
      <c r="AB4" s="11">
        <f t="shared" si="0"/>
        <v>11</v>
      </c>
      <c r="AC4" s="6">
        <v>7</v>
      </c>
      <c r="AD4" s="6">
        <v>3</v>
      </c>
      <c r="AE4" s="6">
        <v>5</v>
      </c>
      <c r="AF4" s="6">
        <v>7</v>
      </c>
      <c r="AG4" s="6">
        <v>13</v>
      </c>
      <c r="AH4" s="6">
        <v>17</v>
      </c>
      <c r="AI4" s="6">
        <v>17</v>
      </c>
      <c r="AJ4" s="6">
        <v>19</v>
      </c>
      <c r="AK4" s="6">
        <v>19</v>
      </c>
      <c r="AL4" s="11">
        <f t="shared" si="1"/>
        <v>20</v>
      </c>
    </row>
    <row r="5" spans="1:38" x14ac:dyDescent="0.2">
      <c r="A5" s="22" t="s">
        <v>72</v>
      </c>
      <c r="B5" s="18">
        <v>73</v>
      </c>
      <c r="C5" s="18">
        <v>152</v>
      </c>
      <c r="D5" s="18">
        <v>162</v>
      </c>
      <c r="E5" s="18">
        <v>32</v>
      </c>
      <c r="F5" s="18">
        <v>21</v>
      </c>
      <c r="G5" s="18">
        <v>5</v>
      </c>
      <c r="H5" s="18">
        <v>2</v>
      </c>
      <c r="I5" s="18">
        <v>4</v>
      </c>
      <c r="J5" s="9">
        <f>ROUND(I5/B5*162, 0)</f>
        <v>9</v>
      </c>
      <c r="K5" s="4">
        <v>7</v>
      </c>
      <c r="L5" s="4">
        <v>42</v>
      </c>
      <c r="M5" s="4">
        <v>55</v>
      </c>
      <c r="N5" s="4">
        <v>40</v>
      </c>
      <c r="O5" s="7">
        <v>0.21099999999999999</v>
      </c>
      <c r="P5" s="7">
        <v>0.245</v>
      </c>
      <c r="Q5" s="4">
        <v>1</v>
      </c>
      <c r="R5" s="9">
        <f>ROUND(Q5/B5*162, 0)</f>
        <v>2</v>
      </c>
      <c r="S5" s="4" t="s">
        <v>31</v>
      </c>
      <c r="T5" s="4">
        <v>20</v>
      </c>
      <c r="U5" s="10" t="s">
        <v>32</v>
      </c>
      <c r="V5" s="10" t="s">
        <v>56</v>
      </c>
      <c r="W5" s="10">
        <v>2</v>
      </c>
      <c r="X5" s="10"/>
      <c r="Y5" s="10"/>
      <c r="Z5" s="10" t="s">
        <v>33</v>
      </c>
      <c r="AA5" s="11">
        <f>IF(R5=0,8,IF(R5&lt;2,9,IF(R5&lt;3,10,IF(R5&lt;4,11,IF(R5&lt;5,12,IF(R5&lt;7,13,IF(R5&lt;9,14,IF(R5&lt;11,15,IF(R5&lt;16,16,IF(R5&lt;21,17,IF(R5&lt;26,18,IF(R5&lt;31,19,IF(R5&lt;36,20,IF(R5&lt;41,21,IF(R5&lt;46,22,IF(R5&lt;51,23,24))))))))))))))))</f>
        <v>10</v>
      </c>
      <c r="AB5" s="11">
        <f t="shared" si="0"/>
        <v>9</v>
      </c>
      <c r="AC5" s="11">
        <f>IF(O5&lt;0.2,8,IF(O5&lt;0.25,7,IF(O5&lt;0.3,6,IF(O5&lt;0.35,5,4))))</f>
        <v>7</v>
      </c>
      <c r="AD5" s="11">
        <v>2</v>
      </c>
      <c r="AE5" s="11">
        <v>5</v>
      </c>
      <c r="AF5" s="11">
        <v>7</v>
      </c>
      <c r="AG5" s="11">
        <v>10</v>
      </c>
      <c r="AH5" s="11">
        <v>17</v>
      </c>
      <c r="AI5" s="10">
        <v>17</v>
      </c>
      <c r="AJ5" s="11">
        <v>19</v>
      </c>
      <c r="AK5" s="11">
        <v>20</v>
      </c>
      <c r="AL5" s="11">
        <f t="shared" si="1"/>
        <v>21</v>
      </c>
    </row>
    <row r="6" spans="1:38" x14ac:dyDescent="0.2">
      <c r="A6" s="2" t="s">
        <v>39</v>
      </c>
      <c r="B6" s="3">
        <v>138</v>
      </c>
      <c r="C6" s="3">
        <v>462</v>
      </c>
      <c r="D6" s="3">
        <v>521</v>
      </c>
      <c r="E6" s="3">
        <v>121</v>
      </c>
      <c r="F6" s="3">
        <v>85</v>
      </c>
      <c r="G6" s="3">
        <v>26</v>
      </c>
      <c r="H6" s="3">
        <v>1</v>
      </c>
      <c r="I6" s="3">
        <v>9</v>
      </c>
      <c r="J6" s="3">
        <v>11</v>
      </c>
      <c r="K6" s="3">
        <v>57</v>
      </c>
      <c r="L6" s="3">
        <v>106</v>
      </c>
      <c r="M6" s="3">
        <v>198</v>
      </c>
      <c r="N6" s="3">
        <v>86</v>
      </c>
      <c r="O6" s="8">
        <v>0.26200000000000001</v>
      </c>
      <c r="P6" s="8">
        <v>0.34</v>
      </c>
      <c r="Q6" s="3">
        <v>1</v>
      </c>
      <c r="R6" s="3">
        <v>1</v>
      </c>
      <c r="S6" s="2" t="s">
        <v>31</v>
      </c>
      <c r="T6" s="4"/>
      <c r="U6" s="2" t="s">
        <v>32</v>
      </c>
      <c r="V6" s="2" t="s">
        <v>7</v>
      </c>
      <c r="W6" s="6">
        <v>1</v>
      </c>
      <c r="X6" s="10"/>
      <c r="Y6" s="10"/>
      <c r="Z6" s="2" t="s">
        <v>33</v>
      </c>
      <c r="AA6" s="6">
        <v>9</v>
      </c>
      <c r="AB6" s="11">
        <f t="shared" si="0"/>
        <v>11</v>
      </c>
      <c r="AC6" s="6">
        <v>6</v>
      </c>
      <c r="AD6" s="6">
        <v>2</v>
      </c>
      <c r="AE6" s="6">
        <v>5</v>
      </c>
      <c r="AF6" s="6">
        <v>6</v>
      </c>
      <c r="AG6" s="6">
        <v>10</v>
      </c>
      <c r="AH6" s="6">
        <v>16</v>
      </c>
      <c r="AI6" s="6">
        <v>16</v>
      </c>
      <c r="AJ6" s="6">
        <v>18</v>
      </c>
      <c r="AK6" s="6">
        <v>19</v>
      </c>
      <c r="AL6" s="11">
        <f t="shared" si="1"/>
        <v>20</v>
      </c>
    </row>
    <row r="7" spans="1:38" x14ac:dyDescent="0.2">
      <c r="A7" s="2" t="s">
        <v>36</v>
      </c>
      <c r="B7" s="3">
        <v>138</v>
      </c>
      <c r="C7" s="3">
        <v>550</v>
      </c>
      <c r="D7" s="3">
        <v>589</v>
      </c>
      <c r="E7" s="3">
        <v>149</v>
      </c>
      <c r="F7" s="3">
        <v>105</v>
      </c>
      <c r="G7" s="3">
        <v>33</v>
      </c>
      <c r="H7" s="3">
        <v>5</v>
      </c>
      <c r="I7" s="3">
        <v>6</v>
      </c>
      <c r="J7" s="3">
        <v>7</v>
      </c>
      <c r="K7" s="3">
        <v>27</v>
      </c>
      <c r="L7" s="3">
        <v>59</v>
      </c>
      <c r="M7" s="3">
        <v>237</v>
      </c>
      <c r="N7" s="3">
        <v>131</v>
      </c>
      <c r="O7" s="8">
        <v>0.27100000000000002</v>
      </c>
      <c r="P7" s="8">
        <v>0.30099999999999999</v>
      </c>
      <c r="Q7" s="3">
        <v>12</v>
      </c>
      <c r="R7" s="3">
        <v>14</v>
      </c>
      <c r="S7" s="2" t="s">
        <v>31</v>
      </c>
      <c r="T7" s="4"/>
      <c r="U7" s="2" t="s">
        <v>32</v>
      </c>
      <c r="V7" s="2" t="s">
        <v>37</v>
      </c>
      <c r="W7" s="6">
        <v>3</v>
      </c>
      <c r="X7" s="10"/>
      <c r="Y7" s="10"/>
      <c r="Z7" s="2" t="s">
        <v>38</v>
      </c>
      <c r="AA7" s="6">
        <v>16</v>
      </c>
      <c r="AB7" s="11">
        <f t="shared" si="0"/>
        <v>10</v>
      </c>
      <c r="AC7" s="6">
        <v>6</v>
      </c>
      <c r="AD7" s="6">
        <v>1</v>
      </c>
      <c r="AE7" s="6">
        <v>4</v>
      </c>
      <c r="AF7" s="6">
        <v>6</v>
      </c>
      <c r="AG7" s="6">
        <v>8</v>
      </c>
      <c r="AH7" s="6">
        <v>16</v>
      </c>
      <c r="AI7" s="6">
        <v>17</v>
      </c>
      <c r="AJ7" s="6">
        <v>19</v>
      </c>
      <c r="AK7" s="6">
        <v>20</v>
      </c>
      <c r="AL7" s="11">
        <f t="shared" si="1"/>
        <v>21</v>
      </c>
    </row>
    <row r="8" spans="1:38" x14ac:dyDescent="0.2">
      <c r="A8" s="22" t="s">
        <v>75</v>
      </c>
      <c r="B8" s="18">
        <v>45</v>
      </c>
      <c r="C8" s="18">
        <v>140</v>
      </c>
      <c r="D8" s="18">
        <v>153</v>
      </c>
      <c r="E8" s="18">
        <v>35</v>
      </c>
      <c r="F8" s="18">
        <v>25</v>
      </c>
      <c r="G8" s="18">
        <v>8</v>
      </c>
      <c r="H8" s="18">
        <v>1</v>
      </c>
      <c r="I8" s="18">
        <v>1</v>
      </c>
      <c r="J8" s="9">
        <f>ROUND(I8/B8*162, 0)</f>
        <v>4</v>
      </c>
      <c r="K8" s="4">
        <v>11</v>
      </c>
      <c r="L8" s="4">
        <v>44</v>
      </c>
      <c r="M8" s="4">
        <v>40</v>
      </c>
      <c r="N8" s="4">
        <v>34</v>
      </c>
      <c r="O8" s="7">
        <v>0.25</v>
      </c>
      <c r="P8" s="7">
        <v>0.30099999999999999</v>
      </c>
      <c r="Q8" s="4">
        <v>0</v>
      </c>
      <c r="R8" s="9">
        <f>ROUND(Q8/B8*162, 0)</f>
        <v>0</v>
      </c>
      <c r="S8" s="4" t="s">
        <v>31</v>
      </c>
      <c r="T8" s="4"/>
      <c r="U8" s="10" t="s">
        <v>32</v>
      </c>
      <c r="V8" s="10" t="s">
        <v>6</v>
      </c>
      <c r="W8" s="10">
        <v>3</v>
      </c>
      <c r="X8" s="10"/>
      <c r="Y8" s="10"/>
      <c r="Z8" s="10" t="s">
        <v>33</v>
      </c>
      <c r="AA8" s="11">
        <f>IF(R8=0,8,IF(R8&lt;2,9,IF(R8&lt;3,10,IF(R8&lt;4,11,IF(R8&lt;5,12,IF(R8&lt;7,13,IF(R8&lt;9,14,IF(R8&lt;11,15,IF(R8&lt;16,16,IF(R8&lt;21,17,IF(R8&lt;26,18,IF(R8&lt;31,19,IF(R8&lt;36,20,IF(R8&lt;41,21,IF(R8&lt;46,22,IF(R8&lt;51,23,24))))))))))))))))</f>
        <v>8</v>
      </c>
      <c r="AB8" s="11">
        <f t="shared" si="0"/>
        <v>10</v>
      </c>
      <c r="AC8" s="11">
        <f>IF(O8&lt;0.2,8,IF(O8&lt;0.25,7,IF(O8&lt;0.3,6,IF(O8&lt;0.35,5,4))))</f>
        <v>6</v>
      </c>
      <c r="AD8" s="11">
        <v>2</v>
      </c>
      <c r="AE8" s="11">
        <v>4</v>
      </c>
      <c r="AF8" s="11">
        <v>6</v>
      </c>
      <c r="AG8" s="11">
        <v>9</v>
      </c>
      <c r="AH8" s="11">
        <v>17</v>
      </c>
      <c r="AI8" s="10">
        <v>17</v>
      </c>
      <c r="AJ8" s="11">
        <v>19</v>
      </c>
      <c r="AK8" s="11">
        <v>20</v>
      </c>
      <c r="AL8" s="11">
        <f t="shared" si="1"/>
        <v>21</v>
      </c>
    </row>
    <row r="9" spans="1:38" x14ac:dyDescent="0.2">
      <c r="A9" s="22" t="s">
        <v>71</v>
      </c>
      <c r="B9" s="4">
        <v>92</v>
      </c>
      <c r="C9" s="4">
        <v>233</v>
      </c>
      <c r="D9" s="4">
        <v>255</v>
      </c>
      <c r="E9" s="4">
        <v>58</v>
      </c>
      <c r="F9" s="4">
        <v>37</v>
      </c>
      <c r="G9" s="4">
        <v>13</v>
      </c>
      <c r="H9" s="4">
        <v>1</v>
      </c>
      <c r="I9" s="4">
        <v>7</v>
      </c>
      <c r="J9" s="9">
        <f>ROUND(I9/B9*162, 0)</f>
        <v>12</v>
      </c>
      <c r="K9" s="4">
        <v>23</v>
      </c>
      <c r="L9" s="4">
        <v>61</v>
      </c>
      <c r="M9" s="4">
        <v>66</v>
      </c>
      <c r="N9" s="4">
        <v>69</v>
      </c>
      <c r="O9" s="7">
        <v>0.249</v>
      </c>
      <c r="P9" s="7">
        <v>0.31</v>
      </c>
      <c r="Q9" s="4">
        <v>0</v>
      </c>
      <c r="R9" s="9">
        <f>ROUND(Q9/B9*162, 0)</f>
        <v>0</v>
      </c>
      <c r="S9" s="4" t="s">
        <v>31</v>
      </c>
      <c r="T9" s="4"/>
      <c r="U9" s="10" t="s">
        <v>32</v>
      </c>
      <c r="V9" s="10" t="s">
        <v>32</v>
      </c>
      <c r="W9" s="10">
        <v>4</v>
      </c>
      <c r="X9" s="10"/>
      <c r="Y9" s="10"/>
      <c r="Z9" s="10" t="s">
        <v>42</v>
      </c>
      <c r="AA9" s="11">
        <f>IF(R9=0,8,IF(R9&lt;2,9,IF(R9&lt;3,10,IF(R9&lt;4,11,IF(R9&lt;5,12,IF(R9&lt;7,13,IF(R9&lt;9,14,IF(R9&lt;11,15,IF(R9&lt;16,16,IF(R9&lt;21,17,IF(R9&lt;26,18,IF(R9&lt;31,19,IF(R9&lt;36,20,IF(R9&lt;41,21,IF(R9&lt;46,22,IF(R9&lt;51,23,24))))))))))))))))</f>
        <v>8</v>
      </c>
      <c r="AB9" s="11">
        <f t="shared" si="0"/>
        <v>10</v>
      </c>
      <c r="AC9" s="11">
        <f>IF(O9&lt;0.2,8,IF(O9&lt;0.25,7,IF(O9&lt;0.3,6,IF(O9&lt;0.35,5,4))))</f>
        <v>7</v>
      </c>
      <c r="AD9" s="11">
        <v>2</v>
      </c>
      <c r="AE9" s="11">
        <v>4</v>
      </c>
      <c r="AF9" s="11">
        <v>7</v>
      </c>
      <c r="AG9" s="11">
        <v>11</v>
      </c>
      <c r="AH9" s="11">
        <v>16</v>
      </c>
      <c r="AI9" s="10">
        <v>16</v>
      </c>
      <c r="AJ9" s="11">
        <v>19</v>
      </c>
      <c r="AK9" s="11">
        <v>19</v>
      </c>
      <c r="AL9" s="11">
        <f t="shared" si="1"/>
        <v>20</v>
      </c>
    </row>
    <row r="10" spans="1:38" x14ac:dyDescent="0.2">
      <c r="A10" s="2" t="s">
        <v>35</v>
      </c>
      <c r="B10" s="3">
        <v>122</v>
      </c>
      <c r="C10" s="3">
        <v>478</v>
      </c>
      <c r="D10" s="3">
        <v>513</v>
      </c>
      <c r="E10" s="3">
        <v>142</v>
      </c>
      <c r="F10" s="3">
        <v>104</v>
      </c>
      <c r="G10" s="3">
        <v>21</v>
      </c>
      <c r="H10" s="3">
        <v>4</v>
      </c>
      <c r="I10" s="3">
        <v>13</v>
      </c>
      <c r="J10" s="3">
        <v>17</v>
      </c>
      <c r="K10" s="3">
        <v>23</v>
      </c>
      <c r="L10" s="3">
        <v>89</v>
      </c>
      <c r="M10" s="3">
        <v>200</v>
      </c>
      <c r="N10" s="3">
        <v>83</v>
      </c>
      <c r="O10" s="8">
        <v>0.29699999999999999</v>
      </c>
      <c r="P10" s="8">
        <v>0.33500000000000002</v>
      </c>
      <c r="Q10" s="3">
        <v>6</v>
      </c>
      <c r="R10" s="3">
        <v>8</v>
      </c>
      <c r="S10" s="2" t="s">
        <v>31</v>
      </c>
      <c r="T10" s="4"/>
      <c r="U10" s="2" t="s">
        <v>32</v>
      </c>
      <c r="V10" s="2" t="s">
        <v>6</v>
      </c>
      <c r="W10" s="6">
        <v>2</v>
      </c>
      <c r="X10" s="10"/>
      <c r="Y10" s="10"/>
      <c r="Z10" s="2" t="s">
        <v>33</v>
      </c>
      <c r="AA10" s="6">
        <v>14</v>
      </c>
      <c r="AB10" s="11">
        <f t="shared" si="0"/>
        <v>10</v>
      </c>
      <c r="AC10" s="6">
        <v>6</v>
      </c>
      <c r="AD10" s="6">
        <v>2</v>
      </c>
      <c r="AE10" s="6">
        <v>5</v>
      </c>
      <c r="AF10" s="6">
        <v>6</v>
      </c>
      <c r="AG10" s="6">
        <v>8</v>
      </c>
      <c r="AH10" s="6">
        <v>16</v>
      </c>
      <c r="AI10" s="6">
        <v>16</v>
      </c>
      <c r="AJ10" s="6">
        <v>18</v>
      </c>
      <c r="AK10" s="6">
        <v>19</v>
      </c>
      <c r="AL10" s="11">
        <f t="shared" si="1"/>
        <v>20</v>
      </c>
    </row>
    <row r="11" spans="1:38" x14ac:dyDescent="0.2">
      <c r="A11" s="22" t="s">
        <v>73</v>
      </c>
      <c r="B11" s="4">
        <f>40+27</f>
        <v>67</v>
      </c>
      <c r="C11" s="4">
        <f>113+86</f>
        <v>199</v>
      </c>
      <c r="D11" s="4">
        <f>105+133</f>
        <v>238</v>
      </c>
      <c r="E11" s="4">
        <f>19+15</f>
        <v>34</v>
      </c>
      <c r="F11" s="4">
        <v>14</v>
      </c>
      <c r="G11" s="4">
        <v>12</v>
      </c>
      <c r="H11" s="4">
        <v>1</v>
      </c>
      <c r="I11" s="4">
        <v>7</v>
      </c>
      <c r="J11" s="9">
        <f>ROUND(I11/B11*162, 0)</f>
        <v>17</v>
      </c>
      <c r="K11" s="4">
        <v>38</v>
      </c>
      <c r="L11" s="4">
        <f>45+36</f>
        <v>81</v>
      </c>
      <c r="M11" s="4">
        <v>80</v>
      </c>
      <c r="N11" s="4">
        <v>75</v>
      </c>
      <c r="O11" s="7">
        <f>E11/C11 - 0.03</f>
        <v>0.14085427135678391</v>
      </c>
      <c r="P11" s="7">
        <f>(K11+E11)/(C11+K11) - 0.03</f>
        <v>0.27379746835443042</v>
      </c>
      <c r="Q11" s="4">
        <v>0</v>
      </c>
      <c r="R11" s="9">
        <f>ROUND(Q11/B11*162, 0)</f>
        <v>0</v>
      </c>
      <c r="S11" s="4" t="s">
        <v>31</v>
      </c>
      <c r="T11" s="4"/>
      <c r="U11" s="10" t="s">
        <v>32</v>
      </c>
      <c r="V11" s="10" t="s">
        <v>7</v>
      </c>
      <c r="W11" s="10">
        <v>1</v>
      </c>
      <c r="X11" s="10"/>
      <c r="Y11" s="10"/>
      <c r="Z11" s="10" t="s">
        <v>42</v>
      </c>
      <c r="AA11" s="11">
        <f>IF(R11=0,8,IF(R11&lt;2,9,IF(R11&lt;3,10,IF(R11&lt;4,11,IF(R11&lt;5,12,IF(R11&lt;7,13,IF(R11&lt;9,14,IF(R11&lt;11,15,IF(R11&lt;16,16,IF(R11&lt;21,17,IF(R11&lt;26,18,IF(R11&lt;31,19,IF(R11&lt;36,20,IF(R11&lt;41,21,IF(R11&lt;46,22,IF(R11&lt;51,23,24))))))))))))))))</f>
        <v>8</v>
      </c>
      <c r="AB11" s="11">
        <f t="shared" si="0"/>
        <v>9</v>
      </c>
      <c r="AC11" s="11">
        <f>IF(O11&lt;0.2,8,IF(O11&lt;0.25,7,IF(O11&lt;0.3,6,IF(O11&lt;0.35,5,4))))</f>
        <v>8</v>
      </c>
      <c r="AD11" s="11">
        <v>3</v>
      </c>
      <c r="AE11" s="11">
        <v>6</v>
      </c>
      <c r="AF11" s="11">
        <v>8</v>
      </c>
      <c r="AG11" s="11">
        <v>13</v>
      </c>
      <c r="AH11" s="11">
        <v>17</v>
      </c>
      <c r="AI11" s="10">
        <v>17</v>
      </c>
      <c r="AJ11" s="11">
        <v>19</v>
      </c>
      <c r="AK11" s="11">
        <v>19</v>
      </c>
      <c r="AL11" s="11">
        <f t="shared" si="1"/>
        <v>20</v>
      </c>
    </row>
    <row r="12" spans="1:38" x14ac:dyDescent="0.2">
      <c r="A12" s="22" t="s">
        <v>74</v>
      </c>
      <c r="B12" s="18">
        <v>129</v>
      </c>
      <c r="C12" s="18">
        <v>437</v>
      </c>
      <c r="D12" s="18">
        <v>478</v>
      </c>
      <c r="E12" s="18">
        <v>128</v>
      </c>
      <c r="F12" s="18">
        <v>103</v>
      </c>
      <c r="G12" s="18">
        <v>20</v>
      </c>
      <c r="H12" s="18">
        <v>3</v>
      </c>
      <c r="I12" s="18">
        <v>2</v>
      </c>
      <c r="J12" s="9">
        <f>ROUND(I12/B12*162, 0)</f>
        <v>3</v>
      </c>
      <c r="K12" s="4">
        <v>28</v>
      </c>
      <c r="L12" s="4">
        <v>54</v>
      </c>
      <c r="M12" s="4">
        <v>207</v>
      </c>
      <c r="N12" s="4">
        <v>96</v>
      </c>
      <c r="O12" s="7">
        <v>0.29299999999999998</v>
      </c>
      <c r="P12" s="7">
        <v>0.33100000000000002</v>
      </c>
      <c r="Q12" s="4">
        <v>8</v>
      </c>
      <c r="R12" s="9">
        <f>ROUND(Q12/B12*162, 0)</f>
        <v>10</v>
      </c>
      <c r="S12" s="4" t="s">
        <v>31</v>
      </c>
      <c r="T12" s="4"/>
      <c r="U12" s="10" t="s">
        <v>32</v>
      </c>
      <c r="V12" s="10" t="s">
        <v>41</v>
      </c>
      <c r="W12" s="10">
        <v>2</v>
      </c>
      <c r="X12" s="10"/>
      <c r="Y12" s="10"/>
      <c r="Z12" s="10" t="s">
        <v>42</v>
      </c>
      <c r="AA12" s="11">
        <f>IF(R12=0,8,IF(R12&lt;2,9,IF(R12&lt;3,10,IF(R12&lt;4,11,IF(R12&lt;5,12,IF(R12&lt;7,13,IF(R12&lt;9,14,IF(R12&lt;11,15,IF(R12&lt;16,16,IF(R12&lt;21,17,IF(R12&lt;26,18,IF(R12&lt;31,19,IF(R12&lt;36,20,IF(R12&lt;41,21,IF(R12&lt;46,22,IF(R12&lt;51,23,24))))))))))))))))</f>
        <v>15</v>
      </c>
      <c r="AB12" s="11">
        <f t="shared" si="0"/>
        <v>10</v>
      </c>
      <c r="AC12" s="11">
        <f>IF(O12&lt;0.2,8,IF(O12&lt;0.25,7,IF(O12&lt;0.3,6,IF(O12&lt;0.35,5,4))))</f>
        <v>6</v>
      </c>
      <c r="AD12" s="11">
        <v>1</v>
      </c>
      <c r="AE12" s="11">
        <v>4</v>
      </c>
      <c r="AF12" s="11">
        <v>6</v>
      </c>
      <c r="AG12" s="11">
        <v>9</v>
      </c>
      <c r="AH12" s="11">
        <v>16</v>
      </c>
      <c r="AI12" s="10">
        <v>17</v>
      </c>
      <c r="AJ12" s="11">
        <v>19</v>
      </c>
      <c r="AK12" s="11">
        <v>20</v>
      </c>
      <c r="AL12" s="11">
        <f t="shared" si="1"/>
        <v>21</v>
      </c>
    </row>
    <row r="13" spans="1:38" x14ac:dyDescent="0.2">
      <c r="A13" s="2" t="s">
        <v>40</v>
      </c>
      <c r="B13" s="3">
        <v>151</v>
      </c>
      <c r="C13" s="3">
        <v>576</v>
      </c>
      <c r="D13" s="3">
        <v>636</v>
      </c>
      <c r="E13" s="3">
        <v>144</v>
      </c>
      <c r="F13" s="3">
        <v>86</v>
      </c>
      <c r="G13" s="3">
        <v>32</v>
      </c>
      <c r="H13" s="3">
        <v>5</v>
      </c>
      <c r="I13" s="3">
        <v>21</v>
      </c>
      <c r="J13" s="3">
        <v>23</v>
      </c>
      <c r="K13" s="3">
        <v>55</v>
      </c>
      <c r="L13" s="3">
        <v>158</v>
      </c>
      <c r="M13" s="3">
        <v>166</v>
      </c>
      <c r="N13" s="3">
        <v>166</v>
      </c>
      <c r="O13" s="8">
        <v>0.25</v>
      </c>
      <c r="P13" s="8">
        <v>0.307</v>
      </c>
      <c r="Q13" s="3">
        <v>4</v>
      </c>
      <c r="R13" s="3">
        <v>4</v>
      </c>
      <c r="S13" s="2" t="s">
        <v>31</v>
      </c>
      <c r="T13" s="4"/>
      <c r="U13" s="2" t="s">
        <v>32</v>
      </c>
      <c r="V13" s="2" t="s">
        <v>41</v>
      </c>
      <c r="W13" s="6">
        <v>1</v>
      </c>
      <c r="X13" s="10"/>
      <c r="Y13" s="10"/>
      <c r="Z13" s="2" t="s">
        <v>42</v>
      </c>
      <c r="AA13" s="6">
        <v>14</v>
      </c>
      <c r="AB13" s="11">
        <f t="shared" si="0"/>
        <v>10</v>
      </c>
      <c r="AC13" s="6">
        <v>6</v>
      </c>
      <c r="AD13" s="6">
        <v>2</v>
      </c>
      <c r="AE13" s="6">
        <v>4</v>
      </c>
      <c r="AF13" s="6">
        <v>6</v>
      </c>
      <c r="AG13" s="6">
        <v>9</v>
      </c>
      <c r="AH13" s="6">
        <v>14</v>
      </c>
      <c r="AI13" s="6">
        <v>14</v>
      </c>
      <c r="AJ13" s="6">
        <v>16</v>
      </c>
      <c r="AK13" s="6">
        <v>18</v>
      </c>
      <c r="AL13" s="11">
        <f t="shared" si="1"/>
        <v>19</v>
      </c>
    </row>
    <row r="14" spans="1:38" x14ac:dyDescent="0.2">
      <c r="A14" s="2" t="s">
        <v>46</v>
      </c>
      <c r="B14" s="3">
        <v>58</v>
      </c>
      <c r="C14" s="3">
        <v>195</v>
      </c>
      <c r="D14" s="3">
        <v>222</v>
      </c>
      <c r="E14" s="3">
        <v>55</v>
      </c>
      <c r="F14" s="3">
        <v>38</v>
      </c>
      <c r="G14" s="3">
        <v>7</v>
      </c>
      <c r="H14" s="3">
        <v>2</v>
      </c>
      <c r="I14" s="3">
        <v>8</v>
      </c>
      <c r="J14" s="3">
        <v>22</v>
      </c>
      <c r="K14" s="3">
        <v>22</v>
      </c>
      <c r="L14" s="3">
        <v>41</v>
      </c>
      <c r="M14" s="3">
        <v>65</v>
      </c>
      <c r="N14" s="3">
        <v>57</v>
      </c>
      <c r="O14" s="8">
        <v>0.28199999999999997</v>
      </c>
      <c r="P14" s="8">
        <v>0.34699999999999998</v>
      </c>
      <c r="Q14" s="3">
        <v>2</v>
      </c>
      <c r="R14" s="3">
        <v>6</v>
      </c>
      <c r="S14" s="2" t="s">
        <v>31</v>
      </c>
      <c r="T14" s="4"/>
      <c r="U14" s="2" t="s">
        <v>32</v>
      </c>
      <c r="V14" s="2" t="s">
        <v>41</v>
      </c>
      <c r="W14" s="6">
        <v>2</v>
      </c>
      <c r="X14" s="10"/>
      <c r="Y14" s="10"/>
      <c r="Z14" s="2" t="s">
        <v>42</v>
      </c>
      <c r="AA14" s="6">
        <v>13</v>
      </c>
      <c r="AB14" s="11">
        <f t="shared" si="0"/>
        <v>11</v>
      </c>
      <c r="AC14" s="6">
        <v>6</v>
      </c>
      <c r="AD14" s="6">
        <v>2</v>
      </c>
      <c r="AE14" s="6">
        <v>4</v>
      </c>
      <c r="AF14" s="6">
        <v>6</v>
      </c>
      <c r="AG14" s="6">
        <v>9</v>
      </c>
      <c r="AH14" s="6">
        <v>15</v>
      </c>
      <c r="AI14" s="6">
        <v>15</v>
      </c>
      <c r="AJ14" s="6">
        <v>17</v>
      </c>
      <c r="AK14" s="6">
        <v>18</v>
      </c>
      <c r="AL14" s="11">
        <f t="shared" si="1"/>
        <v>19</v>
      </c>
    </row>
    <row r="15" spans="1:38" x14ac:dyDescent="0.2">
      <c r="A15" s="2" t="s">
        <v>43</v>
      </c>
      <c r="B15" s="3">
        <v>157</v>
      </c>
      <c r="C15" s="3">
        <v>589</v>
      </c>
      <c r="D15" s="3">
        <v>716</v>
      </c>
      <c r="E15" s="3">
        <v>190</v>
      </c>
      <c r="F15" s="3">
        <v>115</v>
      </c>
      <c r="G15" s="3">
        <v>39</v>
      </c>
      <c r="H15" s="3">
        <v>9</v>
      </c>
      <c r="I15" s="3">
        <v>27</v>
      </c>
      <c r="J15" s="3">
        <v>28</v>
      </c>
      <c r="K15" s="3">
        <v>129</v>
      </c>
      <c r="L15" s="3">
        <v>136</v>
      </c>
      <c r="M15" s="3">
        <v>191</v>
      </c>
      <c r="N15" s="3">
        <v>164</v>
      </c>
      <c r="O15" s="8">
        <v>0.32300000000000001</v>
      </c>
      <c r="P15" s="8">
        <v>0.432</v>
      </c>
      <c r="Q15" s="3">
        <v>33</v>
      </c>
      <c r="R15" s="3">
        <v>34</v>
      </c>
      <c r="S15" s="2" t="s">
        <v>31</v>
      </c>
      <c r="T15" s="3">
        <v>690</v>
      </c>
      <c r="U15" s="2" t="s">
        <v>44</v>
      </c>
      <c r="V15" s="2" t="s">
        <v>45</v>
      </c>
      <c r="W15" s="6">
        <v>3</v>
      </c>
      <c r="X15" s="2" t="s">
        <v>41</v>
      </c>
      <c r="Y15" s="6">
        <v>2</v>
      </c>
      <c r="Z15" s="2" t="s">
        <v>33</v>
      </c>
      <c r="AA15" s="6">
        <v>20</v>
      </c>
      <c r="AB15" s="11">
        <f t="shared" si="0"/>
        <v>14</v>
      </c>
      <c r="AC15" s="6">
        <v>5</v>
      </c>
      <c r="AD15" s="6">
        <v>1</v>
      </c>
      <c r="AE15" s="6">
        <v>3</v>
      </c>
      <c r="AF15" s="6">
        <v>5</v>
      </c>
      <c r="AG15" s="6">
        <v>8</v>
      </c>
      <c r="AH15" s="6">
        <v>12</v>
      </c>
      <c r="AI15" s="6">
        <v>14</v>
      </c>
      <c r="AJ15" s="6">
        <v>16</v>
      </c>
      <c r="AK15" s="6">
        <v>18</v>
      </c>
      <c r="AL15" s="11">
        <f t="shared" si="1"/>
        <v>19</v>
      </c>
    </row>
    <row r="16" spans="1:38" x14ac:dyDescent="0.2">
      <c r="A16" s="2" t="s">
        <v>47</v>
      </c>
      <c r="B16" s="3">
        <v>124</v>
      </c>
      <c r="C16" s="3">
        <v>454</v>
      </c>
      <c r="D16" s="3">
        <v>496</v>
      </c>
      <c r="E16" s="3">
        <v>110</v>
      </c>
      <c r="F16" s="3">
        <v>59</v>
      </c>
      <c r="G16" s="3">
        <v>20</v>
      </c>
      <c r="H16" s="3">
        <v>2</v>
      </c>
      <c r="I16" s="3">
        <v>29</v>
      </c>
      <c r="J16" s="3">
        <v>38</v>
      </c>
      <c r="K16" s="3">
        <v>66</v>
      </c>
      <c r="L16" s="3">
        <v>128</v>
      </c>
      <c r="M16" s="3">
        <v>116</v>
      </c>
      <c r="N16" s="3">
        <v>140</v>
      </c>
      <c r="O16" s="8">
        <v>0.24199999999999999</v>
      </c>
      <c r="P16" s="8">
        <v>0.30599999999999999</v>
      </c>
      <c r="Q16" s="3">
        <v>0</v>
      </c>
      <c r="R16" s="3">
        <v>0</v>
      </c>
      <c r="S16" s="2" t="s">
        <v>31</v>
      </c>
      <c r="T16" s="4"/>
      <c r="U16" s="2" t="s">
        <v>32</v>
      </c>
      <c r="V16" s="2" t="s">
        <v>41</v>
      </c>
      <c r="W16" s="6">
        <v>0</v>
      </c>
      <c r="X16" s="10"/>
      <c r="Y16" s="10"/>
      <c r="Z16" s="2" t="s">
        <v>42</v>
      </c>
      <c r="AA16" s="6">
        <v>8</v>
      </c>
      <c r="AB16" s="11">
        <f t="shared" si="0"/>
        <v>10</v>
      </c>
      <c r="AC16" s="6">
        <v>7</v>
      </c>
      <c r="AD16" s="6">
        <v>2</v>
      </c>
      <c r="AE16" s="6">
        <v>4</v>
      </c>
      <c r="AF16" s="6">
        <v>7</v>
      </c>
      <c r="AG16" s="6">
        <v>11</v>
      </c>
      <c r="AH16" s="6">
        <v>15</v>
      </c>
      <c r="AI16" s="6">
        <v>15</v>
      </c>
      <c r="AJ16" s="6">
        <v>17</v>
      </c>
      <c r="AK16" s="6">
        <v>17</v>
      </c>
      <c r="AL16" s="11">
        <f t="shared" si="1"/>
        <v>18</v>
      </c>
    </row>
    <row r="17" spans="1:38" x14ac:dyDescent="0.2">
      <c r="A17" s="2" t="s">
        <v>57</v>
      </c>
      <c r="B17" s="3">
        <v>25</v>
      </c>
      <c r="C17" s="3">
        <v>72</v>
      </c>
      <c r="D17" s="3">
        <v>82</v>
      </c>
      <c r="E17" s="3">
        <v>19</v>
      </c>
      <c r="F17" s="3">
        <v>13</v>
      </c>
      <c r="G17" s="3">
        <v>4</v>
      </c>
      <c r="H17" s="3">
        <v>0</v>
      </c>
      <c r="I17" s="3">
        <v>2</v>
      </c>
      <c r="J17" s="3">
        <v>13</v>
      </c>
      <c r="K17" s="3">
        <v>6</v>
      </c>
      <c r="L17" s="3">
        <v>21</v>
      </c>
      <c r="M17" s="3">
        <v>23</v>
      </c>
      <c r="N17" s="3">
        <v>14</v>
      </c>
      <c r="O17" s="8">
        <v>0.26400000000000001</v>
      </c>
      <c r="P17" s="8">
        <v>0.313</v>
      </c>
      <c r="Q17" s="3">
        <v>1</v>
      </c>
      <c r="R17" s="3">
        <v>6</v>
      </c>
      <c r="S17" s="2" t="s">
        <v>49</v>
      </c>
      <c r="T17" s="4"/>
      <c r="U17" s="2" t="s">
        <v>32</v>
      </c>
      <c r="V17" s="2" t="s">
        <v>45</v>
      </c>
      <c r="W17" s="6">
        <v>2</v>
      </c>
      <c r="X17" s="10"/>
      <c r="Y17" s="10"/>
      <c r="Z17" s="2" t="s">
        <v>38</v>
      </c>
      <c r="AA17" s="6">
        <v>13</v>
      </c>
      <c r="AB17" s="11">
        <f t="shared" si="0"/>
        <v>10</v>
      </c>
      <c r="AC17" s="6">
        <v>6</v>
      </c>
      <c r="AD17" s="6">
        <v>2</v>
      </c>
      <c r="AE17" s="6">
        <v>5</v>
      </c>
      <c r="AF17" s="6">
        <v>6</v>
      </c>
      <c r="AG17" s="6">
        <v>9</v>
      </c>
      <c r="AH17" s="6">
        <v>16</v>
      </c>
      <c r="AI17" s="6">
        <v>17</v>
      </c>
      <c r="AJ17" s="6">
        <v>19</v>
      </c>
      <c r="AK17" s="6">
        <v>19</v>
      </c>
      <c r="AL17" s="11">
        <f t="shared" si="1"/>
        <v>20</v>
      </c>
    </row>
    <row r="18" spans="1:38" x14ac:dyDescent="0.2">
      <c r="A18" s="2" t="s">
        <v>52</v>
      </c>
      <c r="B18" s="3">
        <v>76</v>
      </c>
      <c r="C18" s="3">
        <v>306</v>
      </c>
      <c r="D18" s="3">
        <v>335</v>
      </c>
      <c r="E18" s="3">
        <v>81</v>
      </c>
      <c r="F18" s="3">
        <v>56</v>
      </c>
      <c r="G18" s="3">
        <v>11</v>
      </c>
      <c r="H18" s="3">
        <v>6</v>
      </c>
      <c r="I18" s="3">
        <v>8</v>
      </c>
      <c r="J18" s="3">
        <v>17</v>
      </c>
      <c r="K18" s="3">
        <v>25</v>
      </c>
      <c r="L18" s="3">
        <v>52</v>
      </c>
      <c r="M18" s="3">
        <v>115</v>
      </c>
      <c r="N18" s="3">
        <v>81</v>
      </c>
      <c r="O18" s="8">
        <v>0.26500000000000001</v>
      </c>
      <c r="P18" s="8">
        <v>0.318</v>
      </c>
      <c r="Q18" s="3">
        <v>5</v>
      </c>
      <c r="R18" s="3">
        <v>11</v>
      </c>
      <c r="S18" s="2" t="s">
        <v>49</v>
      </c>
      <c r="T18" s="4"/>
      <c r="U18" s="2" t="s">
        <v>32</v>
      </c>
      <c r="V18" s="2" t="s">
        <v>53</v>
      </c>
      <c r="W18" s="6">
        <v>3</v>
      </c>
      <c r="X18" s="10"/>
      <c r="Y18" s="10"/>
      <c r="Z18" s="2" t="s">
        <v>42</v>
      </c>
      <c r="AA18" s="6">
        <v>16</v>
      </c>
      <c r="AB18" s="11">
        <f t="shared" si="0"/>
        <v>10</v>
      </c>
      <c r="AC18" s="6">
        <v>6</v>
      </c>
      <c r="AD18" s="6">
        <v>1</v>
      </c>
      <c r="AE18" s="6">
        <v>4</v>
      </c>
      <c r="AF18" s="6">
        <v>6</v>
      </c>
      <c r="AG18" s="6">
        <v>9</v>
      </c>
      <c r="AH18" s="6">
        <v>16</v>
      </c>
      <c r="AI18" s="6">
        <v>16</v>
      </c>
      <c r="AJ18" s="6">
        <v>17</v>
      </c>
      <c r="AK18" s="6">
        <v>19</v>
      </c>
      <c r="AL18" s="11">
        <f t="shared" si="1"/>
        <v>20</v>
      </c>
    </row>
    <row r="19" spans="1:38" x14ac:dyDescent="0.2">
      <c r="A19" s="22" t="s">
        <v>94</v>
      </c>
      <c r="B19" s="4">
        <v>28</v>
      </c>
      <c r="C19" s="4">
        <v>59</v>
      </c>
      <c r="D19" s="4">
        <v>69</v>
      </c>
      <c r="E19" s="4">
        <v>12</v>
      </c>
      <c r="F19" s="4">
        <v>10</v>
      </c>
      <c r="G19" s="4">
        <v>2</v>
      </c>
      <c r="H19" s="4">
        <v>0</v>
      </c>
      <c r="I19" s="4">
        <v>0</v>
      </c>
      <c r="J19" s="9">
        <f>ROUND(I19/B19*162, 0)</f>
        <v>0</v>
      </c>
      <c r="K19" s="4">
        <v>9</v>
      </c>
      <c r="L19" s="4">
        <v>13</v>
      </c>
      <c r="M19" s="4">
        <v>19</v>
      </c>
      <c r="N19" s="4">
        <v>17</v>
      </c>
      <c r="O19" s="7">
        <v>0.20300000000000001</v>
      </c>
      <c r="P19" s="7">
        <v>0.29399999999999998</v>
      </c>
      <c r="Q19" s="4">
        <v>0</v>
      </c>
      <c r="R19" s="9">
        <f>ROUND(Q19/B19*162, 0)</f>
        <v>0</v>
      </c>
      <c r="S19" s="4" t="s">
        <v>49</v>
      </c>
      <c r="T19" s="4">
        <v>10</v>
      </c>
      <c r="U19" s="10" t="s">
        <v>32</v>
      </c>
      <c r="V19" s="10" t="s">
        <v>41</v>
      </c>
      <c r="W19" s="10">
        <v>2</v>
      </c>
      <c r="X19" s="10"/>
      <c r="Y19" s="10"/>
      <c r="Z19" s="10" t="s">
        <v>33</v>
      </c>
      <c r="AA19" s="11">
        <f>IF(R19=0,8,IF(R19&lt;2,9,IF(R19&lt;3,10,IF(R19&lt;4,11,IF(R19&lt;5,12,IF(R19&lt;7,13,IF(R19&lt;9,14,IF(R19&lt;11,15,IF(R19&lt;16,16,IF(R19&lt;21,17,IF(R19&lt;26,18,IF(R19&lt;31,19,IF(R19&lt;36,20,IF(R19&lt;41,21,IF(R19&lt;46,22,IF(R19&lt;51,23,24))))))))))))))))</f>
        <v>8</v>
      </c>
      <c r="AB19" s="11">
        <f t="shared" si="0"/>
        <v>9</v>
      </c>
      <c r="AC19" s="11">
        <f>IF(O19&lt;0.2,8,IF(O19&lt;0.25,7,IF(O19&lt;0.3,6,IF(O19&lt;0.35,5,4))))</f>
        <v>7</v>
      </c>
      <c r="AD19" s="11">
        <v>2</v>
      </c>
      <c r="AE19" s="11">
        <v>5</v>
      </c>
      <c r="AF19" s="11">
        <v>7</v>
      </c>
      <c r="AG19" s="11">
        <v>13</v>
      </c>
      <c r="AH19" s="11">
        <v>20</v>
      </c>
      <c r="AI19" s="10">
        <v>20</v>
      </c>
      <c r="AJ19" s="11">
        <v>21</v>
      </c>
      <c r="AK19" s="11">
        <v>21</v>
      </c>
      <c r="AL19" s="11">
        <f t="shared" si="1"/>
        <v>22</v>
      </c>
    </row>
    <row r="20" spans="1:38" x14ac:dyDescent="0.2">
      <c r="A20" s="2" t="s">
        <v>59</v>
      </c>
      <c r="B20" s="3">
        <v>149</v>
      </c>
      <c r="C20" s="3">
        <v>562</v>
      </c>
      <c r="D20" s="3">
        <v>622</v>
      </c>
      <c r="E20" s="3">
        <v>152</v>
      </c>
      <c r="F20" s="3">
        <v>83</v>
      </c>
      <c r="G20" s="3">
        <v>35</v>
      </c>
      <c r="H20" s="3">
        <v>4</v>
      </c>
      <c r="I20" s="3">
        <v>30</v>
      </c>
      <c r="J20" s="3">
        <v>33</v>
      </c>
      <c r="K20" s="3">
        <v>60</v>
      </c>
      <c r="L20" s="3">
        <v>151</v>
      </c>
      <c r="M20" s="3">
        <v>164</v>
      </c>
      <c r="N20" s="3">
        <v>166</v>
      </c>
      <c r="O20" s="8">
        <v>0.27</v>
      </c>
      <c r="P20" s="8">
        <v>0.33400000000000002</v>
      </c>
      <c r="Q20" s="3">
        <v>5</v>
      </c>
      <c r="R20" s="3">
        <v>5</v>
      </c>
      <c r="S20" s="2" t="s">
        <v>49</v>
      </c>
      <c r="T20" s="4"/>
      <c r="U20" s="2" t="s">
        <v>32</v>
      </c>
      <c r="V20" s="2" t="s">
        <v>5</v>
      </c>
      <c r="W20" s="6">
        <v>0</v>
      </c>
      <c r="X20" s="2" t="s">
        <v>41</v>
      </c>
      <c r="Y20" s="6">
        <v>0</v>
      </c>
      <c r="Z20" s="2" t="s">
        <v>33</v>
      </c>
      <c r="AA20" s="6">
        <v>13</v>
      </c>
      <c r="AB20" s="11">
        <f t="shared" si="0"/>
        <v>10</v>
      </c>
      <c r="AC20" s="6">
        <v>6</v>
      </c>
      <c r="AD20" s="6">
        <v>2</v>
      </c>
      <c r="AE20" s="6">
        <v>4</v>
      </c>
      <c r="AF20" s="6">
        <v>6</v>
      </c>
      <c r="AG20" s="6">
        <v>9</v>
      </c>
      <c r="AH20" s="6">
        <v>14</v>
      </c>
      <c r="AI20" s="6">
        <v>15</v>
      </c>
      <c r="AJ20" s="6">
        <v>17</v>
      </c>
      <c r="AK20" s="6">
        <v>18</v>
      </c>
      <c r="AL20" s="11">
        <f t="shared" si="1"/>
        <v>18</v>
      </c>
    </row>
    <row r="21" spans="1:38" x14ac:dyDescent="0.2">
      <c r="A21" s="2" t="s">
        <v>55</v>
      </c>
      <c r="B21" s="3">
        <v>113</v>
      </c>
      <c r="C21" s="3">
        <v>384</v>
      </c>
      <c r="D21" s="3">
        <v>427</v>
      </c>
      <c r="E21" s="3">
        <v>97</v>
      </c>
      <c r="F21" s="3">
        <v>73</v>
      </c>
      <c r="G21" s="3">
        <v>18</v>
      </c>
      <c r="H21" s="3">
        <v>2</v>
      </c>
      <c r="I21" s="3">
        <v>4</v>
      </c>
      <c r="J21" s="3">
        <v>6</v>
      </c>
      <c r="K21" s="3">
        <v>39</v>
      </c>
      <c r="L21" s="3">
        <v>72</v>
      </c>
      <c r="M21" s="3">
        <v>159</v>
      </c>
      <c r="N21" s="3">
        <v>84</v>
      </c>
      <c r="O21" s="8">
        <v>0.253</v>
      </c>
      <c r="P21" s="8">
        <v>0.31900000000000001</v>
      </c>
      <c r="Q21" s="3">
        <v>2</v>
      </c>
      <c r="R21" s="3">
        <v>3</v>
      </c>
      <c r="S21" s="2" t="s">
        <v>49</v>
      </c>
      <c r="T21" s="4"/>
      <c r="U21" s="2" t="s">
        <v>32</v>
      </c>
      <c r="V21" s="2" t="s">
        <v>56</v>
      </c>
      <c r="W21" s="6">
        <v>1</v>
      </c>
      <c r="X21" s="2" t="s">
        <v>6</v>
      </c>
      <c r="Y21" s="6">
        <v>2</v>
      </c>
      <c r="Z21" s="2" t="s">
        <v>42</v>
      </c>
      <c r="AA21" s="6">
        <v>11</v>
      </c>
      <c r="AB21" s="11">
        <f t="shared" si="0"/>
        <v>10</v>
      </c>
      <c r="AC21" s="6">
        <v>6</v>
      </c>
      <c r="AD21" s="6">
        <v>1</v>
      </c>
      <c r="AE21" s="6">
        <v>4</v>
      </c>
      <c r="AF21" s="6">
        <v>6</v>
      </c>
      <c r="AG21" s="6">
        <v>10</v>
      </c>
      <c r="AH21" s="6">
        <v>17</v>
      </c>
      <c r="AI21" s="6">
        <v>17</v>
      </c>
      <c r="AJ21" s="6">
        <v>19</v>
      </c>
      <c r="AK21" s="6">
        <v>20</v>
      </c>
      <c r="AL21" s="11">
        <f t="shared" si="1"/>
        <v>21</v>
      </c>
    </row>
    <row r="22" spans="1:38" x14ac:dyDescent="0.2">
      <c r="A22" s="22" t="s">
        <v>93</v>
      </c>
      <c r="B22" s="4">
        <v>110</v>
      </c>
      <c r="C22" s="4">
        <v>392</v>
      </c>
      <c r="D22" s="4">
        <v>431</v>
      </c>
      <c r="E22" s="4">
        <v>87</v>
      </c>
      <c r="F22" s="4">
        <v>61</v>
      </c>
      <c r="G22" s="4">
        <v>11</v>
      </c>
      <c r="H22" s="4">
        <v>0</v>
      </c>
      <c r="I22" s="4">
        <v>15</v>
      </c>
      <c r="J22" s="9">
        <f>ROUND(I22/B22*162, 0)</f>
        <v>22</v>
      </c>
      <c r="K22" s="4">
        <v>41</v>
      </c>
      <c r="L22" s="4">
        <v>104</v>
      </c>
      <c r="M22" s="4">
        <v>126</v>
      </c>
      <c r="N22" s="4">
        <v>108</v>
      </c>
      <c r="O22" s="7">
        <v>0.222</v>
      </c>
      <c r="P22" s="7">
        <v>0.28799999999999998</v>
      </c>
      <c r="Q22" s="4">
        <v>2</v>
      </c>
      <c r="R22" s="9">
        <f>ROUND(Q22/B22*162, 0)</f>
        <v>3</v>
      </c>
      <c r="S22" s="4" t="s">
        <v>49</v>
      </c>
      <c r="T22" s="4"/>
      <c r="U22" s="10" t="s">
        <v>32</v>
      </c>
      <c r="V22" s="10" t="s">
        <v>32</v>
      </c>
      <c r="W22" s="10">
        <v>6</v>
      </c>
      <c r="X22" s="10"/>
      <c r="Y22" s="10"/>
      <c r="Z22" s="10" t="s">
        <v>33</v>
      </c>
      <c r="AA22" s="11">
        <f>IF(R22=0,8,IF(R22&lt;2,9,IF(R22&lt;3,10,IF(R22&lt;4,11,IF(R22&lt;5,12,IF(R22&lt;7,13,IF(R22&lt;9,14,IF(R22&lt;11,15,IF(R22&lt;16,16,IF(R22&lt;21,17,IF(R22&lt;26,18,IF(R22&lt;31,19,IF(R22&lt;36,20,IF(R22&lt;41,21,IF(R22&lt;46,22,IF(R22&lt;51,23,24))))))))))))))))</f>
        <v>11</v>
      </c>
      <c r="AB22" s="11">
        <f t="shared" si="0"/>
        <v>9</v>
      </c>
      <c r="AC22" s="11">
        <f>IF(O22&lt;0.2,8,IF(O22&lt;0.25,7,IF(O22&lt;0.3,6,IF(O22&lt;0.35,5,4))))</f>
        <v>7</v>
      </c>
      <c r="AD22" s="11">
        <v>2</v>
      </c>
      <c r="AE22" s="11">
        <v>5</v>
      </c>
      <c r="AF22" s="11">
        <v>7</v>
      </c>
      <c r="AG22" s="11">
        <v>11</v>
      </c>
      <c r="AH22" s="11">
        <v>17</v>
      </c>
      <c r="AI22" s="10">
        <v>17</v>
      </c>
      <c r="AJ22" s="11">
        <v>18</v>
      </c>
      <c r="AK22" s="11">
        <v>18</v>
      </c>
      <c r="AL22" s="11">
        <f t="shared" si="1"/>
        <v>19</v>
      </c>
    </row>
    <row r="23" spans="1:38" x14ac:dyDescent="0.2">
      <c r="A23" s="2" t="s">
        <v>50</v>
      </c>
      <c r="B23" s="3">
        <v>131</v>
      </c>
      <c r="C23" s="3">
        <v>454</v>
      </c>
      <c r="D23" s="3">
        <v>521</v>
      </c>
      <c r="E23" s="3">
        <v>108</v>
      </c>
      <c r="F23" s="3">
        <v>69</v>
      </c>
      <c r="G23" s="3">
        <v>19</v>
      </c>
      <c r="H23" s="3">
        <v>0</v>
      </c>
      <c r="I23" s="3">
        <v>20</v>
      </c>
      <c r="J23" s="3">
        <v>25</v>
      </c>
      <c r="K23" s="3">
        <v>67</v>
      </c>
      <c r="L23" s="3">
        <v>119</v>
      </c>
      <c r="M23" s="3">
        <v>117</v>
      </c>
      <c r="N23" s="3">
        <v>153</v>
      </c>
      <c r="O23" s="8">
        <v>0.23799999999999999</v>
      </c>
      <c r="P23" s="8">
        <v>0.33400000000000002</v>
      </c>
      <c r="Q23" s="3">
        <v>0</v>
      </c>
      <c r="R23" s="3">
        <v>0</v>
      </c>
      <c r="S23" s="2" t="s">
        <v>49</v>
      </c>
      <c r="T23" s="4"/>
      <c r="U23" s="2" t="s">
        <v>32</v>
      </c>
      <c r="V23" s="2" t="s">
        <v>5</v>
      </c>
      <c r="W23" s="6">
        <v>0</v>
      </c>
      <c r="X23" s="10"/>
      <c r="Y23" s="10"/>
      <c r="Z23" s="2" t="s">
        <v>38</v>
      </c>
      <c r="AA23" s="6">
        <v>8</v>
      </c>
      <c r="AB23" s="11">
        <f t="shared" si="0"/>
        <v>10</v>
      </c>
      <c r="AC23" s="6">
        <v>7</v>
      </c>
      <c r="AD23" s="6">
        <v>2</v>
      </c>
      <c r="AE23" s="6">
        <v>4</v>
      </c>
      <c r="AF23" s="6">
        <v>7</v>
      </c>
      <c r="AG23" s="6">
        <v>12</v>
      </c>
      <c r="AH23" s="6">
        <v>16</v>
      </c>
      <c r="AI23" s="6">
        <v>16</v>
      </c>
      <c r="AJ23" s="6">
        <v>18</v>
      </c>
      <c r="AK23" s="6">
        <v>18</v>
      </c>
      <c r="AL23" s="11">
        <f t="shared" si="1"/>
        <v>19</v>
      </c>
    </row>
    <row r="24" spans="1:38" x14ac:dyDescent="0.2">
      <c r="A24" s="2" t="s">
        <v>54</v>
      </c>
      <c r="B24" s="3">
        <v>160</v>
      </c>
      <c r="C24" s="3">
        <v>615</v>
      </c>
      <c r="D24" s="3">
        <v>695</v>
      </c>
      <c r="E24" s="3">
        <v>160</v>
      </c>
      <c r="F24" s="3">
        <v>104</v>
      </c>
      <c r="G24" s="3">
        <v>32</v>
      </c>
      <c r="H24" s="3">
        <v>2</v>
      </c>
      <c r="I24" s="3">
        <v>22</v>
      </c>
      <c r="J24" s="3">
        <v>22</v>
      </c>
      <c r="K24" s="3">
        <v>76</v>
      </c>
      <c r="L24" s="3">
        <v>122</v>
      </c>
      <c r="M24" s="3">
        <v>170</v>
      </c>
      <c r="N24" s="3">
        <v>223</v>
      </c>
      <c r="O24" s="8">
        <v>0.26</v>
      </c>
      <c r="P24" s="8">
        <v>0.33800000000000002</v>
      </c>
      <c r="Q24" s="3">
        <v>9</v>
      </c>
      <c r="R24" s="3">
        <v>9</v>
      </c>
      <c r="S24" s="2" t="s">
        <v>49</v>
      </c>
      <c r="T24" s="4"/>
      <c r="U24" s="2" t="s">
        <v>32</v>
      </c>
      <c r="V24" s="2" t="s">
        <v>7</v>
      </c>
      <c r="W24" s="6">
        <v>1</v>
      </c>
      <c r="X24" s="10"/>
      <c r="Y24" s="10"/>
      <c r="Z24" s="2" t="s">
        <v>42</v>
      </c>
      <c r="AA24" s="6">
        <v>15</v>
      </c>
      <c r="AB24" s="11">
        <f t="shared" si="0"/>
        <v>10</v>
      </c>
      <c r="AC24" s="6">
        <v>6</v>
      </c>
      <c r="AD24" s="6">
        <v>1</v>
      </c>
      <c r="AE24" s="6">
        <v>3</v>
      </c>
      <c r="AF24" s="6">
        <v>6</v>
      </c>
      <c r="AG24" s="6">
        <v>10</v>
      </c>
      <c r="AH24" s="6">
        <v>15</v>
      </c>
      <c r="AI24" s="6">
        <v>15</v>
      </c>
      <c r="AJ24" s="6">
        <v>17</v>
      </c>
      <c r="AK24" s="6">
        <v>18</v>
      </c>
      <c r="AL24" s="11">
        <f t="shared" si="1"/>
        <v>19</v>
      </c>
    </row>
    <row r="25" spans="1:38" x14ac:dyDescent="0.2">
      <c r="A25" s="2" t="s">
        <v>58</v>
      </c>
      <c r="B25" s="3">
        <v>85</v>
      </c>
      <c r="C25" s="3">
        <v>293</v>
      </c>
      <c r="D25" s="3">
        <v>333</v>
      </c>
      <c r="E25" s="3">
        <v>71</v>
      </c>
      <c r="F25" s="3">
        <v>48</v>
      </c>
      <c r="G25" s="3">
        <v>13</v>
      </c>
      <c r="H25" s="3">
        <v>4</v>
      </c>
      <c r="I25" s="3">
        <v>6</v>
      </c>
      <c r="J25" s="3">
        <v>11</v>
      </c>
      <c r="K25" s="3">
        <v>45</v>
      </c>
      <c r="L25" s="3">
        <v>56</v>
      </c>
      <c r="M25" s="3">
        <v>113</v>
      </c>
      <c r="N25" s="3">
        <v>76</v>
      </c>
      <c r="O25" s="8">
        <v>0.24199999999999999</v>
      </c>
      <c r="P25" s="8">
        <v>0.33300000000000002</v>
      </c>
      <c r="Q25" s="3">
        <v>0</v>
      </c>
      <c r="R25" s="3">
        <v>0</v>
      </c>
      <c r="S25" s="2" t="s">
        <v>49</v>
      </c>
      <c r="T25" s="4"/>
      <c r="U25" s="2" t="s">
        <v>32</v>
      </c>
      <c r="V25" s="2" t="s">
        <v>5</v>
      </c>
      <c r="W25" s="6">
        <v>0</v>
      </c>
      <c r="X25" s="2" t="s">
        <v>41</v>
      </c>
      <c r="Y25" s="6">
        <v>1</v>
      </c>
      <c r="Z25" s="2" t="s">
        <v>42</v>
      </c>
      <c r="AA25" s="6">
        <v>8</v>
      </c>
      <c r="AB25" s="11">
        <f t="shared" si="0"/>
        <v>10</v>
      </c>
      <c r="AC25" s="6">
        <v>7</v>
      </c>
      <c r="AD25" s="6">
        <v>2</v>
      </c>
      <c r="AE25" s="6">
        <v>5</v>
      </c>
      <c r="AF25" s="6">
        <v>7</v>
      </c>
      <c r="AG25" s="6">
        <v>12</v>
      </c>
      <c r="AH25" s="6">
        <v>17</v>
      </c>
      <c r="AI25" s="6">
        <v>17</v>
      </c>
      <c r="AJ25" s="6">
        <v>18</v>
      </c>
      <c r="AK25" s="6">
        <v>19</v>
      </c>
      <c r="AL25" s="11">
        <f t="shared" si="1"/>
        <v>20</v>
      </c>
    </row>
    <row r="26" spans="1:38" x14ac:dyDescent="0.2">
      <c r="A26" s="22" t="s">
        <v>90</v>
      </c>
      <c r="B26" s="4">
        <v>132</v>
      </c>
      <c r="C26" s="4">
        <v>406</v>
      </c>
      <c r="D26" s="4">
        <v>468</v>
      </c>
      <c r="E26" s="4">
        <v>96</v>
      </c>
      <c r="F26" s="4">
        <v>58</v>
      </c>
      <c r="G26" s="4">
        <v>23</v>
      </c>
      <c r="H26" s="4">
        <v>3</v>
      </c>
      <c r="I26" s="4">
        <v>12</v>
      </c>
      <c r="J26" s="9">
        <f>ROUND(I26/B26*162, 0)</f>
        <v>15</v>
      </c>
      <c r="K26" s="4">
        <v>59</v>
      </c>
      <c r="L26" s="4">
        <v>118</v>
      </c>
      <c r="M26" s="4">
        <v>117</v>
      </c>
      <c r="N26" s="4">
        <v>106</v>
      </c>
      <c r="O26" s="7">
        <v>0.23599999999999999</v>
      </c>
      <c r="P26" s="7">
        <v>0.32300000000000001</v>
      </c>
      <c r="Q26" s="4">
        <v>13</v>
      </c>
      <c r="R26" s="9">
        <f>ROUND(Q26/B26*162, 0)</f>
        <v>16</v>
      </c>
      <c r="S26" s="4" t="s">
        <v>49</v>
      </c>
      <c r="T26" s="4"/>
      <c r="U26" s="10" t="s">
        <v>32</v>
      </c>
      <c r="V26" s="10" t="s">
        <v>56</v>
      </c>
      <c r="W26" s="10">
        <v>2</v>
      </c>
      <c r="X26" s="10"/>
      <c r="Y26" s="10"/>
      <c r="Z26" s="10" t="s">
        <v>42</v>
      </c>
      <c r="AA26" s="11">
        <f>IF(R26=0,8,IF(R26&lt;2,9,IF(R26&lt;3,10,IF(R26&lt;4,11,IF(R26&lt;5,12,IF(R26&lt;7,13,IF(R26&lt;9,14,IF(R26&lt;11,15,IF(R26&lt;16,16,IF(R26&lt;21,17,IF(R26&lt;26,18,IF(R26&lt;31,19,IF(R26&lt;36,20,IF(R26&lt;41,21,IF(R26&lt;46,22,IF(R26&lt;51,23,24))))))))))))))))</f>
        <v>17</v>
      </c>
      <c r="AB26" s="11">
        <f t="shared" si="0"/>
        <v>10</v>
      </c>
      <c r="AC26" s="11">
        <f>IF(O26&lt;0.2,8,IF(O26&lt;0.25,7,IF(O26&lt;0.3,6,IF(O26&lt;0.35,5,4))))</f>
        <v>7</v>
      </c>
      <c r="AD26" s="11">
        <v>3</v>
      </c>
      <c r="AE26" s="11">
        <v>5</v>
      </c>
      <c r="AF26" s="11">
        <v>7</v>
      </c>
      <c r="AG26" s="11">
        <v>11</v>
      </c>
      <c r="AH26" s="11">
        <v>14</v>
      </c>
      <c r="AI26" s="10">
        <v>16</v>
      </c>
      <c r="AJ26" s="11">
        <v>18</v>
      </c>
      <c r="AK26" s="11">
        <v>19</v>
      </c>
      <c r="AL26" s="11">
        <f t="shared" si="1"/>
        <v>20</v>
      </c>
    </row>
    <row r="27" spans="1:38" x14ac:dyDescent="0.2">
      <c r="A27" s="2" t="s">
        <v>48</v>
      </c>
      <c r="B27" s="3">
        <v>52</v>
      </c>
      <c r="C27" s="3">
        <v>173</v>
      </c>
      <c r="D27" s="3">
        <v>193</v>
      </c>
      <c r="E27" s="3">
        <v>37</v>
      </c>
      <c r="F27" s="3">
        <v>27</v>
      </c>
      <c r="G27" s="3">
        <v>5</v>
      </c>
      <c r="H27" s="3">
        <v>0</v>
      </c>
      <c r="I27" s="3">
        <v>5</v>
      </c>
      <c r="J27" s="3">
        <v>16</v>
      </c>
      <c r="K27" s="3">
        <v>19</v>
      </c>
      <c r="L27" s="3">
        <v>49</v>
      </c>
      <c r="M27" s="3">
        <v>53</v>
      </c>
      <c r="N27" s="3">
        <v>48</v>
      </c>
      <c r="O27" s="8">
        <v>0.214</v>
      </c>
      <c r="P27" s="8">
        <v>0.28999999999999998</v>
      </c>
      <c r="Q27" s="3">
        <v>1</v>
      </c>
      <c r="R27" s="3">
        <v>3</v>
      </c>
      <c r="S27" s="2" t="s">
        <v>49</v>
      </c>
      <c r="T27" s="4"/>
      <c r="U27" s="2" t="s">
        <v>32</v>
      </c>
      <c r="V27" s="2" t="s">
        <v>32</v>
      </c>
      <c r="W27" s="6">
        <v>4</v>
      </c>
      <c r="X27" s="10"/>
      <c r="Y27" s="10"/>
      <c r="Z27" s="2" t="s">
        <v>33</v>
      </c>
      <c r="AA27" s="6">
        <v>11</v>
      </c>
      <c r="AB27" s="11">
        <f t="shared" si="0"/>
        <v>9</v>
      </c>
      <c r="AC27" s="6">
        <v>7</v>
      </c>
      <c r="AD27" s="6">
        <v>2</v>
      </c>
      <c r="AE27" s="6">
        <v>4</v>
      </c>
      <c r="AF27" s="6">
        <v>7</v>
      </c>
      <c r="AG27" s="6">
        <v>11</v>
      </c>
      <c r="AH27" s="6">
        <v>18</v>
      </c>
      <c r="AI27" s="6">
        <v>18</v>
      </c>
      <c r="AJ27" s="6">
        <v>19</v>
      </c>
      <c r="AK27" s="6">
        <v>19</v>
      </c>
      <c r="AL27" s="11">
        <f t="shared" si="1"/>
        <v>20</v>
      </c>
    </row>
    <row r="28" spans="1:38" x14ac:dyDescent="0.2">
      <c r="A28" s="2" t="s">
        <v>51</v>
      </c>
      <c r="B28" s="3">
        <v>160</v>
      </c>
      <c r="C28" s="3">
        <v>605</v>
      </c>
      <c r="D28" s="3">
        <v>681</v>
      </c>
      <c r="E28" s="3">
        <v>190</v>
      </c>
      <c r="F28" s="3">
        <v>122</v>
      </c>
      <c r="G28" s="3">
        <v>41</v>
      </c>
      <c r="H28" s="3">
        <v>0</v>
      </c>
      <c r="I28" s="3">
        <v>27</v>
      </c>
      <c r="J28" s="3">
        <v>27</v>
      </c>
      <c r="K28" s="3">
        <v>87</v>
      </c>
      <c r="L28" s="3">
        <v>85</v>
      </c>
      <c r="M28" s="3">
        <v>232</v>
      </c>
      <c r="N28" s="3">
        <v>156</v>
      </c>
      <c r="O28" s="8">
        <v>0.314</v>
      </c>
      <c r="P28" s="8">
        <v>0.38300000000000001</v>
      </c>
      <c r="Q28" s="3">
        <v>7</v>
      </c>
      <c r="R28" s="3">
        <v>7</v>
      </c>
      <c r="S28" s="2" t="s">
        <v>49</v>
      </c>
      <c r="T28" s="4"/>
      <c r="U28" s="2" t="s">
        <v>44</v>
      </c>
      <c r="V28" s="2" t="s">
        <v>6</v>
      </c>
      <c r="W28" s="6">
        <v>4</v>
      </c>
      <c r="X28" s="10"/>
      <c r="Y28" s="10"/>
      <c r="Z28" s="2" t="s">
        <v>42</v>
      </c>
      <c r="AA28" s="6">
        <v>14</v>
      </c>
      <c r="AB28" s="11">
        <f t="shared" si="0"/>
        <v>12</v>
      </c>
      <c r="AC28" s="6">
        <v>5</v>
      </c>
      <c r="AD28" s="6">
        <v>1</v>
      </c>
      <c r="AE28" s="6">
        <v>3</v>
      </c>
      <c r="AF28" s="6">
        <v>5</v>
      </c>
      <c r="AG28" s="6">
        <v>9</v>
      </c>
      <c r="AH28" s="6">
        <v>15</v>
      </c>
      <c r="AI28" s="6">
        <v>16</v>
      </c>
      <c r="AJ28" s="6">
        <v>18</v>
      </c>
      <c r="AK28" s="6">
        <v>18</v>
      </c>
      <c r="AL28" s="11">
        <f t="shared" si="1"/>
        <v>19</v>
      </c>
    </row>
    <row r="29" spans="1:38" x14ac:dyDescent="0.2">
      <c r="A29" s="22" t="s">
        <v>91</v>
      </c>
      <c r="B29" s="18">
        <v>93</v>
      </c>
      <c r="C29" s="18">
        <v>375</v>
      </c>
      <c r="D29" s="18">
        <v>411</v>
      </c>
      <c r="E29" s="18">
        <v>104</v>
      </c>
      <c r="F29" s="18">
        <v>66</v>
      </c>
      <c r="G29" s="18">
        <v>23</v>
      </c>
      <c r="H29" s="18">
        <v>4</v>
      </c>
      <c r="I29" s="18">
        <v>11</v>
      </c>
      <c r="J29" s="9">
        <f>ROUND(I29/B29*162, 0)</f>
        <v>19</v>
      </c>
      <c r="K29" s="4">
        <v>28</v>
      </c>
      <c r="L29" s="4">
        <v>87</v>
      </c>
      <c r="M29" s="4">
        <v>90</v>
      </c>
      <c r="N29" s="4">
        <v>90</v>
      </c>
      <c r="O29" s="7">
        <f>0.277-0.03</f>
        <v>0.24700000000000003</v>
      </c>
      <c r="P29" s="7">
        <v>0.30099999999999999</v>
      </c>
      <c r="Q29" s="4">
        <v>8</v>
      </c>
      <c r="R29" s="9">
        <f>ROUND(Q29/B29*162, 0)</f>
        <v>14</v>
      </c>
      <c r="S29" s="4" t="s">
        <v>49</v>
      </c>
      <c r="T29" s="4"/>
      <c r="U29" s="10" t="s">
        <v>32</v>
      </c>
      <c r="V29" s="10" t="s">
        <v>41</v>
      </c>
      <c r="W29" s="10">
        <v>1</v>
      </c>
      <c r="X29" s="10"/>
      <c r="Y29" s="10"/>
      <c r="Z29" s="10" t="s">
        <v>33</v>
      </c>
      <c r="AA29" s="11">
        <f>IF(R29=0,8,IF(R29&lt;2,9,IF(R29&lt;3,10,IF(R29&lt;4,11,IF(R29&lt;5,12,IF(R29&lt;7,13,IF(R29&lt;9,14,IF(R29&lt;11,15,IF(R29&lt;16,16,IF(R29&lt;21,17,IF(R29&lt;26,18,IF(R29&lt;31,19,IF(R29&lt;36,20,IF(R29&lt;41,21,IF(R29&lt;46,22,IF(R29&lt;51,23,24))))))))))))))))</f>
        <v>16</v>
      </c>
      <c r="AB29" s="11">
        <f t="shared" si="0"/>
        <v>10</v>
      </c>
      <c r="AC29" s="11">
        <f>IF(O29&lt;0.2,8,IF(O29&lt;0.25,7,IF(O29&lt;0.3,6,IF(O29&lt;0.35,5,4))))</f>
        <v>7</v>
      </c>
      <c r="AD29" s="11">
        <v>3</v>
      </c>
      <c r="AE29" s="11">
        <v>5</v>
      </c>
      <c r="AF29" s="11">
        <v>7</v>
      </c>
      <c r="AG29" s="11">
        <v>9</v>
      </c>
      <c r="AH29" s="11">
        <v>14</v>
      </c>
      <c r="AI29" s="10">
        <v>15</v>
      </c>
      <c r="AJ29" s="11">
        <v>17</v>
      </c>
      <c r="AK29" s="11">
        <v>19</v>
      </c>
      <c r="AL29" s="11">
        <f t="shared" si="1"/>
        <v>20</v>
      </c>
    </row>
    <row r="30" spans="1:38" x14ac:dyDescent="0.2">
      <c r="A30" s="22" t="s">
        <v>92</v>
      </c>
      <c r="B30" s="4">
        <v>48</v>
      </c>
      <c r="C30" s="4">
        <v>139</v>
      </c>
      <c r="D30" s="4">
        <v>150</v>
      </c>
      <c r="E30" s="4">
        <v>44</v>
      </c>
      <c r="F30" s="4">
        <v>38</v>
      </c>
      <c r="G30" s="4">
        <v>5</v>
      </c>
      <c r="H30" s="4">
        <v>1</v>
      </c>
      <c r="I30" s="4">
        <v>0</v>
      </c>
      <c r="J30" s="9">
        <f>ROUND(I30/B30*162, 0)</f>
        <v>0</v>
      </c>
      <c r="K30" s="4">
        <v>10</v>
      </c>
      <c r="L30" s="4">
        <v>11</v>
      </c>
      <c r="M30" s="4">
        <v>63</v>
      </c>
      <c r="N30" s="4">
        <v>33</v>
      </c>
      <c r="O30" s="7">
        <v>0.317</v>
      </c>
      <c r="P30" s="7">
        <v>0.36</v>
      </c>
      <c r="Q30" s="4">
        <v>0</v>
      </c>
      <c r="R30" s="9">
        <f>ROUND(Q30/B30*162, 0)</f>
        <v>0</v>
      </c>
      <c r="S30" s="4" t="s">
        <v>49</v>
      </c>
      <c r="T30" s="4"/>
      <c r="U30" s="10" t="s">
        <v>32</v>
      </c>
      <c r="V30" s="10" t="s">
        <v>41</v>
      </c>
      <c r="W30" s="10">
        <v>1</v>
      </c>
      <c r="X30" s="10" t="s">
        <v>53</v>
      </c>
      <c r="Y30" s="10">
        <v>4</v>
      </c>
      <c r="Z30" s="10" t="s">
        <v>33</v>
      </c>
      <c r="AA30" s="11">
        <f>IF(R30=0,8,IF(R30&lt;2,9,IF(R30&lt;3,10,IF(R30&lt;4,11,IF(R30&lt;5,12,IF(R30&lt;7,13,IF(R30&lt;9,14,IF(R30&lt;11,15,IF(R30&lt;16,16,IF(R30&lt;21,17,IF(R30&lt;26,18,IF(R30&lt;31,19,IF(R30&lt;36,20,IF(R30&lt;41,21,IF(R30&lt;46,22,IF(R30&lt;51,23,24))))))))))))))))</f>
        <v>8</v>
      </c>
      <c r="AB30" s="11">
        <f t="shared" si="0"/>
        <v>11</v>
      </c>
      <c r="AC30" s="11">
        <f>IF(O30&lt;0.2,8,IF(O30&lt;0.25,7,IF(O30&lt;0.3,6,IF(O30&lt;0.35,5,4))))</f>
        <v>5</v>
      </c>
      <c r="AD30" s="11">
        <v>0</v>
      </c>
      <c r="AE30" s="11">
        <v>3</v>
      </c>
      <c r="AF30" s="11">
        <v>5</v>
      </c>
      <c r="AG30" s="11">
        <v>8</v>
      </c>
      <c r="AH30" s="11">
        <v>19</v>
      </c>
      <c r="AI30" s="10">
        <v>19</v>
      </c>
      <c r="AJ30" s="11">
        <v>21</v>
      </c>
      <c r="AK30" s="11">
        <f>ROUND(H30/($K30+$E30)*($AL30-$AC30-1), 0)</f>
        <v>0</v>
      </c>
      <c r="AL30" s="11">
        <f t="shared" si="1"/>
        <v>22</v>
      </c>
    </row>
    <row r="31" spans="1:38" x14ac:dyDescent="0.2">
      <c r="A31" s="22" t="s">
        <v>105</v>
      </c>
      <c r="B31" s="4">
        <v>152</v>
      </c>
      <c r="C31" s="4">
        <v>626</v>
      </c>
      <c r="D31" s="4">
        <v>672</v>
      </c>
      <c r="E31" s="4">
        <v>177</v>
      </c>
      <c r="F31" s="4">
        <v>139</v>
      </c>
      <c r="G31" s="4">
        <v>31</v>
      </c>
      <c r="H31" s="4">
        <v>2</v>
      </c>
      <c r="I31" s="4">
        <v>5</v>
      </c>
      <c r="J31" s="9">
        <f t="shared" ref="J31:J38" si="2">ROUND(I31/B31*162, 0)</f>
        <v>5</v>
      </c>
      <c r="K31" s="4">
        <v>39</v>
      </c>
      <c r="L31" s="4">
        <v>85</v>
      </c>
      <c r="M31" s="4">
        <v>268</v>
      </c>
      <c r="N31" s="4">
        <v>154</v>
      </c>
      <c r="O31" s="7">
        <v>0.28299999999999997</v>
      </c>
      <c r="P31" s="7">
        <v>0.316</v>
      </c>
      <c r="Q31" s="4">
        <v>35</v>
      </c>
      <c r="R31" s="9">
        <f t="shared" ref="R31:R37" si="3">ROUND(Q31/B31*162, 0)</f>
        <v>37</v>
      </c>
      <c r="S31" s="4" t="s">
        <v>117</v>
      </c>
      <c r="T31" s="4"/>
      <c r="U31" s="10" t="s">
        <v>32</v>
      </c>
      <c r="V31" s="10" t="s">
        <v>6</v>
      </c>
      <c r="W31" s="10">
        <v>3</v>
      </c>
      <c r="X31" s="10"/>
      <c r="Y31" s="10"/>
      <c r="Z31" s="10" t="s">
        <v>33</v>
      </c>
      <c r="AA31" s="11">
        <f t="shared" ref="AA31:AA38" si="4">IF(R31=0,8,IF(R31&lt;2,9,IF(R31&lt;3,10,IF(R31&lt;4,11,IF(R31&lt;5,12,IF(R31&lt;7,13,IF(R31&lt;9,14,IF(R31&lt;11,15,IF(R31&lt;16,16,IF(R31&lt;21,17,IF(R31&lt;26,18,IF(R31&lt;31,19,IF(R31&lt;36,20,IF(R31&lt;41,21,IF(R31&lt;46,22,IF(R31&lt;51,23,24))))))))))))))))</f>
        <v>21</v>
      </c>
      <c r="AB31" s="11">
        <f t="shared" si="0"/>
        <v>10</v>
      </c>
      <c r="AC31" s="11">
        <f t="shared" ref="AC31:AC38" si="5">IF(O31&lt;0.2,8,IF(O31&lt;0.25,7,IF(O31&lt;0.3,6,IF(O31&lt;0.35,5,4))))</f>
        <v>6</v>
      </c>
      <c r="AD31" s="11">
        <f t="shared" ref="AD31:AD34" si="6">ROUND(L31/($L31+$M31+$N31)*$AC31, 0)</f>
        <v>1</v>
      </c>
      <c r="AE31" s="11">
        <v>4</v>
      </c>
      <c r="AF31" s="11">
        <v>6</v>
      </c>
      <c r="AG31" s="11">
        <v>9</v>
      </c>
      <c r="AH31" s="11">
        <v>15</v>
      </c>
      <c r="AI31" s="10">
        <v>17</v>
      </c>
      <c r="AJ31" s="11">
        <v>19</v>
      </c>
      <c r="AK31" s="11">
        <v>20</v>
      </c>
      <c r="AL31" s="11">
        <f t="shared" si="1"/>
        <v>21</v>
      </c>
    </row>
    <row r="32" spans="1:38" x14ac:dyDescent="0.2">
      <c r="A32" s="22" t="s">
        <v>106</v>
      </c>
      <c r="B32" s="4">
        <v>152</v>
      </c>
      <c r="C32" s="4">
        <v>543</v>
      </c>
      <c r="D32" s="4">
        <v>589</v>
      </c>
      <c r="E32" s="4">
        <v>131</v>
      </c>
      <c r="F32" s="4">
        <v>85</v>
      </c>
      <c r="G32" s="4">
        <v>25</v>
      </c>
      <c r="H32" s="4">
        <v>0</v>
      </c>
      <c r="I32" s="4">
        <v>21</v>
      </c>
      <c r="J32" s="9">
        <f t="shared" si="2"/>
        <v>22</v>
      </c>
      <c r="K32" s="4">
        <v>38</v>
      </c>
      <c r="L32" s="4">
        <v>96</v>
      </c>
      <c r="M32" s="4">
        <v>191</v>
      </c>
      <c r="N32" s="4">
        <v>178</v>
      </c>
      <c r="O32" s="7">
        <v>0.24099999999999999</v>
      </c>
      <c r="P32" s="7">
        <v>0.28599999999999998</v>
      </c>
      <c r="Q32" s="4">
        <v>0</v>
      </c>
      <c r="R32" s="9">
        <f t="shared" si="3"/>
        <v>0</v>
      </c>
      <c r="S32" s="4" t="s">
        <v>117</v>
      </c>
      <c r="T32" s="4"/>
      <c r="U32" s="10" t="s">
        <v>32</v>
      </c>
      <c r="V32" s="10" t="s">
        <v>7</v>
      </c>
      <c r="W32" s="10">
        <v>0</v>
      </c>
      <c r="X32" s="10"/>
      <c r="Y32" s="10"/>
      <c r="Z32" s="10" t="s">
        <v>33</v>
      </c>
      <c r="AA32" s="11">
        <f t="shared" si="4"/>
        <v>8</v>
      </c>
      <c r="AB32" s="11">
        <f t="shared" si="0"/>
        <v>9</v>
      </c>
      <c r="AC32" s="11">
        <f t="shared" si="5"/>
        <v>7</v>
      </c>
      <c r="AD32" s="11">
        <f t="shared" si="6"/>
        <v>1</v>
      </c>
      <c r="AE32" s="11">
        <v>4</v>
      </c>
      <c r="AF32" s="11">
        <v>7</v>
      </c>
      <c r="AG32" s="11">
        <v>10</v>
      </c>
      <c r="AH32" s="11">
        <v>16</v>
      </c>
      <c r="AI32" s="10">
        <v>16</v>
      </c>
      <c r="AJ32" s="11">
        <v>17</v>
      </c>
      <c r="AK32" s="11">
        <v>17</v>
      </c>
      <c r="AL32" s="11">
        <f t="shared" si="1"/>
        <v>19</v>
      </c>
    </row>
    <row r="33" spans="1:38" x14ac:dyDescent="0.2">
      <c r="A33" s="22" t="s">
        <v>107</v>
      </c>
      <c r="B33" s="4">
        <v>58</v>
      </c>
      <c r="C33" s="4">
        <v>210</v>
      </c>
      <c r="D33" s="4">
        <v>241</v>
      </c>
      <c r="E33" s="4">
        <v>51</v>
      </c>
      <c r="F33" s="4">
        <v>39</v>
      </c>
      <c r="G33" s="4">
        <v>9</v>
      </c>
      <c r="H33" s="4">
        <v>2</v>
      </c>
      <c r="I33" s="4">
        <v>1</v>
      </c>
      <c r="J33" s="9">
        <f t="shared" si="2"/>
        <v>3</v>
      </c>
      <c r="K33" s="4">
        <v>25</v>
      </c>
      <c r="L33" s="4">
        <v>71</v>
      </c>
      <c r="M33" s="4">
        <v>84</v>
      </c>
      <c r="N33" s="4">
        <v>18</v>
      </c>
      <c r="O33" s="7">
        <v>0.24299999999999999</v>
      </c>
      <c r="P33" s="7">
        <v>0.32100000000000001</v>
      </c>
      <c r="Q33" s="4">
        <v>18</v>
      </c>
      <c r="R33" s="9">
        <f t="shared" si="3"/>
        <v>50</v>
      </c>
      <c r="S33" s="4" t="s">
        <v>117</v>
      </c>
      <c r="T33" s="4"/>
      <c r="U33" s="10" t="s">
        <v>32</v>
      </c>
      <c r="V33" s="10" t="s">
        <v>37</v>
      </c>
      <c r="W33" s="10">
        <v>1</v>
      </c>
      <c r="X33" s="10"/>
      <c r="Y33" s="10"/>
      <c r="Z33" s="10" t="s">
        <v>38</v>
      </c>
      <c r="AA33" s="11">
        <f t="shared" si="4"/>
        <v>23</v>
      </c>
      <c r="AB33" s="11">
        <f t="shared" si="0"/>
        <v>10</v>
      </c>
      <c r="AC33" s="11">
        <f t="shared" si="5"/>
        <v>7</v>
      </c>
      <c r="AD33" s="11">
        <v>3</v>
      </c>
      <c r="AE33" s="11">
        <v>6</v>
      </c>
      <c r="AF33" s="11">
        <v>7</v>
      </c>
      <c r="AG33" s="11">
        <v>11</v>
      </c>
      <c r="AH33" s="11">
        <v>15</v>
      </c>
      <c r="AI33" s="10">
        <v>17</v>
      </c>
      <c r="AJ33" s="11">
        <v>19</v>
      </c>
      <c r="AK33" s="11">
        <v>20</v>
      </c>
      <c r="AL33" s="11">
        <f t="shared" si="1"/>
        <v>21</v>
      </c>
    </row>
    <row r="34" spans="1:38" x14ac:dyDescent="0.2">
      <c r="A34" s="22" t="s">
        <v>108</v>
      </c>
      <c r="B34" s="4">
        <v>119</v>
      </c>
      <c r="C34" s="4">
        <v>415</v>
      </c>
      <c r="D34" s="4">
        <v>492</v>
      </c>
      <c r="E34" s="4">
        <v>109</v>
      </c>
      <c r="F34" s="4">
        <v>76</v>
      </c>
      <c r="G34" s="4">
        <v>18</v>
      </c>
      <c r="H34" s="4">
        <v>3</v>
      </c>
      <c r="I34" s="4">
        <v>12</v>
      </c>
      <c r="J34" s="9">
        <f t="shared" si="2"/>
        <v>16</v>
      </c>
      <c r="K34" s="4">
        <v>72</v>
      </c>
      <c r="L34" s="4">
        <v>105</v>
      </c>
      <c r="M34" s="4">
        <v>130</v>
      </c>
      <c r="N34" s="4">
        <v>106</v>
      </c>
      <c r="O34" s="7">
        <v>0.26300000000000001</v>
      </c>
      <c r="P34" s="7">
        <v>0.36899999999999999</v>
      </c>
      <c r="Q34" s="4">
        <v>19</v>
      </c>
      <c r="R34" s="9">
        <f t="shared" si="3"/>
        <v>26</v>
      </c>
      <c r="S34" s="4" t="s">
        <v>117</v>
      </c>
      <c r="T34" s="4"/>
      <c r="U34" s="10" t="s">
        <v>32</v>
      </c>
      <c r="V34" s="10" t="s">
        <v>45</v>
      </c>
      <c r="W34" s="10">
        <v>2</v>
      </c>
      <c r="X34" s="10"/>
      <c r="Y34" s="10"/>
      <c r="Z34" s="10" t="s">
        <v>38</v>
      </c>
      <c r="AA34" s="11">
        <f t="shared" si="4"/>
        <v>19</v>
      </c>
      <c r="AB34" s="11">
        <f t="shared" si="0"/>
        <v>12</v>
      </c>
      <c r="AC34" s="11">
        <f t="shared" si="5"/>
        <v>6</v>
      </c>
      <c r="AD34" s="11">
        <f t="shared" si="6"/>
        <v>2</v>
      </c>
      <c r="AE34" s="11">
        <v>4</v>
      </c>
      <c r="AF34" s="11">
        <v>6</v>
      </c>
      <c r="AG34" s="11">
        <v>11</v>
      </c>
      <c r="AH34" s="11">
        <v>16</v>
      </c>
      <c r="AI34" s="10">
        <v>17</v>
      </c>
      <c r="AJ34" s="11">
        <v>18</v>
      </c>
      <c r="AK34" s="11">
        <v>19</v>
      </c>
      <c r="AL34" s="11">
        <f t="shared" si="1"/>
        <v>20</v>
      </c>
    </row>
    <row r="35" spans="1:38" x14ac:dyDescent="0.2">
      <c r="A35" s="22" t="s">
        <v>109</v>
      </c>
      <c r="B35" s="4">
        <v>148</v>
      </c>
      <c r="C35" s="4">
        <v>506</v>
      </c>
      <c r="D35" s="4">
        <v>585</v>
      </c>
      <c r="E35" s="4">
        <v>113</v>
      </c>
      <c r="F35" s="4">
        <v>58</v>
      </c>
      <c r="G35" s="4">
        <v>24</v>
      </c>
      <c r="H35" s="4">
        <v>2</v>
      </c>
      <c r="I35" s="4">
        <v>29</v>
      </c>
      <c r="J35" s="9">
        <f t="shared" si="2"/>
        <v>32</v>
      </c>
      <c r="K35" s="4">
        <v>74</v>
      </c>
      <c r="L35" s="4">
        <v>212</v>
      </c>
      <c r="M35" s="4">
        <v>92</v>
      </c>
      <c r="N35" s="4">
        <v>140</v>
      </c>
      <c r="O35" s="7">
        <v>0.223</v>
      </c>
      <c r="P35" s="7">
        <v>0.32</v>
      </c>
      <c r="Q35" s="4">
        <v>2</v>
      </c>
      <c r="R35" s="9">
        <f t="shared" si="3"/>
        <v>2</v>
      </c>
      <c r="S35" s="4" t="s">
        <v>117</v>
      </c>
      <c r="T35" s="4"/>
      <c r="U35" s="10" t="s">
        <v>32</v>
      </c>
      <c r="V35" s="10" t="s">
        <v>5</v>
      </c>
      <c r="W35" s="10">
        <v>0</v>
      </c>
      <c r="X35" s="10" t="s">
        <v>41</v>
      </c>
      <c r="Y35" s="10">
        <v>0</v>
      </c>
      <c r="Z35" s="10" t="s">
        <v>33</v>
      </c>
      <c r="AA35" s="11">
        <f t="shared" si="4"/>
        <v>10</v>
      </c>
      <c r="AB35" s="11">
        <f t="shared" si="0"/>
        <v>10</v>
      </c>
      <c r="AC35" s="11">
        <f t="shared" si="5"/>
        <v>7</v>
      </c>
      <c r="AD35" s="11">
        <v>4</v>
      </c>
      <c r="AE35" s="11">
        <v>5</v>
      </c>
      <c r="AF35" s="11">
        <v>7</v>
      </c>
      <c r="AG35" s="11">
        <v>11</v>
      </c>
      <c r="AH35" s="11">
        <v>15</v>
      </c>
      <c r="AI35" s="10">
        <v>15</v>
      </c>
      <c r="AJ35" s="11">
        <v>17</v>
      </c>
      <c r="AK35" s="11">
        <v>17</v>
      </c>
      <c r="AL35" s="11">
        <f t="shared" si="1"/>
        <v>18</v>
      </c>
    </row>
    <row r="36" spans="1:38" x14ac:dyDescent="0.2">
      <c r="A36" s="22" t="s">
        <v>110</v>
      </c>
      <c r="B36" s="4">
        <v>120</v>
      </c>
      <c r="C36" s="4">
        <v>435</v>
      </c>
      <c r="D36" s="4">
        <v>491</v>
      </c>
      <c r="E36" s="4">
        <v>120</v>
      </c>
      <c r="F36" s="4">
        <v>66</v>
      </c>
      <c r="G36" s="4">
        <v>35</v>
      </c>
      <c r="H36" s="4">
        <v>1</v>
      </c>
      <c r="I36" s="4">
        <v>18</v>
      </c>
      <c r="J36" s="9">
        <f t="shared" si="2"/>
        <v>24</v>
      </c>
      <c r="K36" s="4">
        <v>55</v>
      </c>
      <c r="L36" s="4">
        <v>130</v>
      </c>
      <c r="M36" s="4">
        <v>122</v>
      </c>
      <c r="N36" s="4">
        <v>109</v>
      </c>
      <c r="O36" s="7">
        <v>0.27600000000000002</v>
      </c>
      <c r="P36" s="7">
        <v>0.35</v>
      </c>
      <c r="Q36" s="4">
        <v>2</v>
      </c>
      <c r="R36" s="9">
        <f t="shared" si="3"/>
        <v>3</v>
      </c>
      <c r="S36" s="4" t="s">
        <v>117</v>
      </c>
      <c r="T36" s="4"/>
      <c r="U36" s="10" t="s">
        <v>44</v>
      </c>
      <c r="V36" s="10" t="s">
        <v>32</v>
      </c>
      <c r="W36" s="10">
        <v>7</v>
      </c>
      <c r="X36" s="10"/>
      <c r="Y36" s="10"/>
      <c r="Z36" s="10" t="s">
        <v>42</v>
      </c>
      <c r="AA36" s="11">
        <f t="shared" si="4"/>
        <v>11</v>
      </c>
      <c r="AB36" s="11">
        <f t="shared" si="0"/>
        <v>11</v>
      </c>
      <c r="AC36" s="11">
        <f t="shared" si="5"/>
        <v>6</v>
      </c>
      <c r="AD36" s="11">
        <v>2</v>
      </c>
      <c r="AE36" s="11">
        <v>4</v>
      </c>
      <c r="AF36" s="11">
        <v>6</v>
      </c>
      <c r="AG36" s="11">
        <v>10</v>
      </c>
      <c r="AH36" s="11">
        <v>15</v>
      </c>
      <c r="AI36" s="10">
        <v>15</v>
      </c>
      <c r="AJ36" s="11">
        <v>18</v>
      </c>
      <c r="AK36" s="11">
        <v>18</v>
      </c>
      <c r="AL36" s="11">
        <f t="shared" si="1"/>
        <v>19</v>
      </c>
    </row>
    <row r="37" spans="1:38" x14ac:dyDescent="0.2">
      <c r="A37" s="22" t="s">
        <v>111</v>
      </c>
      <c r="B37" s="4">
        <v>126</v>
      </c>
      <c r="C37" s="4">
        <v>288</v>
      </c>
      <c r="D37" s="4">
        <v>318</v>
      </c>
      <c r="E37" s="4">
        <v>65</v>
      </c>
      <c r="F37" s="4">
        <v>39</v>
      </c>
      <c r="G37" s="4">
        <v>17</v>
      </c>
      <c r="H37" s="4">
        <v>0</v>
      </c>
      <c r="I37" s="4">
        <v>9</v>
      </c>
      <c r="J37" s="9">
        <f t="shared" si="2"/>
        <v>12</v>
      </c>
      <c r="K37" s="4">
        <v>30</v>
      </c>
      <c r="L37" s="4">
        <v>79</v>
      </c>
      <c r="M37" s="4">
        <v>88</v>
      </c>
      <c r="N37" s="4">
        <v>76</v>
      </c>
      <c r="O37" s="7">
        <v>0.22600000000000001</v>
      </c>
      <c r="P37" s="7">
        <v>0.29699999999999999</v>
      </c>
      <c r="Q37" s="4">
        <v>3</v>
      </c>
      <c r="R37" s="9">
        <f t="shared" si="3"/>
        <v>4</v>
      </c>
      <c r="S37" s="4" t="s">
        <v>117</v>
      </c>
      <c r="T37" s="4"/>
      <c r="U37" s="10" t="s">
        <v>32</v>
      </c>
      <c r="V37" s="10" t="s">
        <v>118</v>
      </c>
      <c r="W37" s="10">
        <v>0</v>
      </c>
      <c r="X37" s="10" t="s">
        <v>41</v>
      </c>
      <c r="Y37" s="10">
        <v>1</v>
      </c>
      <c r="Z37" s="10" t="s">
        <v>33</v>
      </c>
      <c r="AA37" s="11">
        <f t="shared" si="4"/>
        <v>12</v>
      </c>
      <c r="AB37" s="11">
        <f t="shared" si="0"/>
        <v>9</v>
      </c>
      <c r="AC37" s="11">
        <f t="shared" si="5"/>
        <v>7</v>
      </c>
      <c r="AD37" s="11">
        <v>2</v>
      </c>
      <c r="AE37" s="11">
        <v>5</v>
      </c>
      <c r="AF37" s="11">
        <v>7</v>
      </c>
      <c r="AG37" s="11">
        <v>11</v>
      </c>
      <c r="AH37" s="11">
        <v>17</v>
      </c>
      <c r="AI37" s="10">
        <v>17</v>
      </c>
      <c r="AJ37" s="11">
        <v>19</v>
      </c>
      <c r="AK37" s="11">
        <v>19</v>
      </c>
      <c r="AL37" s="11">
        <f t="shared" si="1"/>
        <v>20</v>
      </c>
    </row>
    <row r="38" spans="1:38" x14ac:dyDescent="0.2">
      <c r="A38" s="22" t="s">
        <v>112</v>
      </c>
      <c r="B38" s="4">
        <v>57</v>
      </c>
      <c r="C38" s="4">
        <v>185</v>
      </c>
      <c r="D38" s="4">
        <v>195</v>
      </c>
      <c r="E38" s="4">
        <v>51</v>
      </c>
      <c r="F38" s="4">
        <v>41</v>
      </c>
      <c r="G38" s="4">
        <v>5</v>
      </c>
      <c r="H38" s="4">
        <v>2</v>
      </c>
      <c r="I38" s="4">
        <v>3</v>
      </c>
      <c r="J38" s="9">
        <f t="shared" si="2"/>
        <v>9</v>
      </c>
      <c r="K38" s="4">
        <v>10</v>
      </c>
      <c r="L38" s="4">
        <v>39</v>
      </c>
      <c r="M38" s="4">
        <v>74</v>
      </c>
      <c r="N38" s="4">
        <v>35</v>
      </c>
      <c r="O38" s="7">
        <v>0.27600000000000002</v>
      </c>
      <c r="P38" s="7">
        <v>0.313</v>
      </c>
      <c r="Q38" s="4">
        <v>1</v>
      </c>
      <c r="R38" s="9">
        <f t="shared" ref="R38" si="7">ROUND(Q38/B38*162, 0)</f>
        <v>3</v>
      </c>
      <c r="S38" s="4" t="s">
        <v>117</v>
      </c>
      <c r="T38" s="4"/>
      <c r="U38" s="10" t="s">
        <v>32</v>
      </c>
      <c r="V38" s="10" t="s">
        <v>56</v>
      </c>
      <c r="W38" s="10">
        <v>2</v>
      </c>
      <c r="X38" s="10"/>
      <c r="Y38" s="10"/>
      <c r="Z38" s="10" t="s">
        <v>42</v>
      </c>
      <c r="AA38" s="11">
        <f t="shared" si="4"/>
        <v>11</v>
      </c>
      <c r="AB38" s="11">
        <f t="shared" si="0"/>
        <v>10</v>
      </c>
      <c r="AC38" s="11">
        <f t="shared" si="5"/>
        <v>6</v>
      </c>
      <c r="AD38" s="11">
        <v>2</v>
      </c>
      <c r="AE38" s="11">
        <v>5</v>
      </c>
      <c r="AF38" s="11">
        <v>6</v>
      </c>
      <c r="AG38" s="11">
        <v>9</v>
      </c>
      <c r="AH38" s="11">
        <v>18</v>
      </c>
      <c r="AI38" s="10">
        <v>18</v>
      </c>
      <c r="AJ38" s="11">
        <v>19</v>
      </c>
      <c r="AK38" s="11">
        <v>20</v>
      </c>
      <c r="AL38" s="11">
        <f t="shared" si="1"/>
        <v>21</v>
      </c>
    </row>
    <row r="39" spans="1:38" x14ac:dyDescent="0.2">
      <c r="A39" s="22" t="s">
        <v>113</v>
      </c>
      <c r="B39" s="4">
        <v>62</v>
      </c>
      <c r="C39" s="4">
        <v>219</v>
      </c>
      <c r="D39" s="4">
        <v>266</v>
      </c>
      <c r="E39" s="4">
        <v>68</v>
      </c>
      <c r="F39" s="4">
        <v>39</v>
      </c>
      <c r="G39" s="4">
        <v>7</v>
      </c>
      <c r="H39" s="4">
        <v>4</v>
      </c>
      <c r="I39" s="4">
        <v>18</v>
      </c>
      <c r="J39" s="9">
        <f t="shared" ref="J39:J43" si="8">ROUND(I39/B39*162, 0)</f>
        <v>47</v>
      </c>
      <c r="K39" s="4">
        <v>45</v>
      </c>
      <c r="L39" s="4">
        <v>65</v>
      </c>
      <c r="M39" s="4"/>
      <c r="N39" s="4"/>
      <c r="O39" s="7">
        <v>0.28100000000000003</v>
      </c>
      <c r="P39" s="7">
        <v>0.39500000000000002</v>
      </c>
      <c r="Q39" s="4">
        <v>22</v>
      </c>
      <c r="R39" s="9">
        <f t="shared" ref="R39:R45" si="9">ROUND(Q39/B39*162, 0)</f>
        <v>57</v>
      </c>
      <c r="S39" s="4" t="s">
        <v>117</v>
      </c>
      <c r="T39" s="4"/>
      <c r="U39" s="10" t="s">
        <v>32</v>
      </c>
      <c r="V39" s="10" t="s">
        <v>41</v>
      </c>
      <c r="W39" s="10">
        <v>0</v>
      </c>
      <c r="X39" s="10"/>
      <c r="Y39" s="10"/>
      <c r="Z39" s="10" t="s">
        <v>33</v>
      </c>
      <c r="AA39" s="11">
        <f t="shared" ref="AA39:AA45" si="10">IF(R39=0,8,IF(R39&lt;2,9,IF(R39&lt;3,10,IF(R39&lt;4,11,IF(R39&lt;5,12,IF(R39&lt;7,13,IF(R39&lt;9,14,IF(R39&lt;11,15,IF(R39&lt;16,16,IF(R39&lt;21,17,IF(R39&lt;26,18,IF(R39&lt;31,19,IF(R39&lt;36,20,IF(R39&lt;41,21,IF(R39&lt;46,22,IF(R39&lt;51,23,24))))))))))))))))</f>
        <v>24</v>
      </c>
      <c r="AB39" s="11">
        <v>10</v>
      </c>
      <c r="AC39" s="11">
        <f t="shared" ref="AC39:AC45" si="11">IF(O39&lt;0.2,8,IF(O39&lt;0.25,7,IF(O39&lt;0.3,6,IF(O39&lt;0.35,5,4))))</f>
        <v>6</v>
      </c>
      <c r="AD39" s="11">
        <v>1</v>
      </c>
      <c r="AE39" s="11">
        <v>4</v>
      </c>
      <c r="AF39" s="11">
        <v>6</v>
      </c>
      <c r="AG39" s="11">
        <v>10</v>
      </c>
      <c r="AH39" s="11">
        <v>14</v>
      </c>
      <c r="AI39" s="10">
        <v>15</v>
      </c>
      <c r="AJ39" s="11">
        <v>17</v>
      </c>
      <c r="AK39" s="11">
        <v>18</v>
      </c>
      <c r="AL39" s="11">
        <v>19</v>
      </c>
    </row>
    <row r="40" spans="1:38" x14ac:dyDescent="0.2">
      <c r="A40" s="22" t="s">
        <v>208</v>
      </c>
      <c r="B40" s="4">
        <v>52</v>
      </c>
      <c r="C40" s="4">
        <v>134</v>
      </c>
      <c r="D40" s="4">
        <v>146</v>
      </c>
      <c r="E40" s="4">
        <v>28</v>
      </c>
      <c r="F40" s="4">
        <v>15</v>
      </c>
      <c r="G40" s="4">
        <v>9</v>
      </c>
      <c r="H40" s="4">
        <v>0</v>
      </c>
      <c r="I40" s="4">
        <v>4</v>
      </c>
      <c r="J40" s="9">
        <f t="shared" si="8"/>
        <v>12</v>
      </c>
      <c r="K40" s="4">
        <v>11</v>
      </c>
      <c r="L40" s="4">
        <v>45</v>
      </c>
      <c r="M40" s="4">
        <v>38</v>
      </c>
      <c r="N40" s="4">
        <v>30</v>
      </c>
      <c r="O40" s="7">
        <v>0.20899999999999999</v>
      </c>
      <c r="P40" s="7">
        <v>0.26700000000000002</v>
      </c>
      <c r="Q40" s="4">
        <v>2</v>
      </c>
      <c r="R40" s="9">
        <f t="shared" si="9"/>
        <v>6</v>
      </c>
      <c r="S40" s="4" t="s">
        <v>117</v>
      </c>
      <c r="T40" s="4"/>
      <c r="U40" s="10" t="s">
        <v>32</v>
      </c>
      <c r="V40" s="10" t="s">
        <v>41</v>
      </c>
      <c r="W40" s="10">
        <v>1</v>
      </c>
      <c r="X40" s="10" t="s">
        <v>5</v>
      </c>
      <c r="Y40" s="10">
        <v>0</v>
      </c>
      <c r="Z40" s="10" t="s">
        <v>42</v>
      </c>
      <c r="AA40" s="11">
        <f t="shared" si="10"/>
        <v>13</v>
      </c>
      <c r="AB40" s="11">
        <f t="shared" si="0"/>
        <v>9</v>
      </c>
      <c r="AC40" s="11">
        <f t="shared" si="11"/>
        <v>7</v>
      </c>
      <c r="AD40" s="11">
        <v>3</v>
      </c>
      <c r="AE40" s="11">
        <v>5</v>
      </c>
      <c r="AF40" s="11">
        <v>7</v>
      </c>
      <c r="AG40" s="11">
        <v>10</v>
      </c>
      <c r="AH40" s="11">
        <v>16</v>
      </c>
      <c r="AI40" s="10">
        <v>16</v>
      </c>
      <c r="AJ40" s="11">
        <v>19</v>
      </c>
      <c r="AK40" s="11">
        <v>19</v>
      </c>
      <c r="AL40" s="11">
        <f t="shared" si="1"/>
        <v>20</v>
      </c>
    </row>
    <row r="41" spans="1:38" x14ac:dyDescent="0.2">
      <c r="A41" s="22" t="s">
        <v>114</v>
      </c>
      <c r="B41" s="4">
        <v>47</v>
      </c>
      <c r="C41" s="4">
        <v>170</v>
      </c>
      <c r="D41" s="4">
        <v>184</v>
      </c>
      <c r="E41" s="4">
        <v>48</v>
      </c>
      <c r="F41" s="4">
        <v>38</v>
      </c>
      <c r="G41" s="4">
        <v>7</v>
      </c>
      <c r="H41" s="4">
        <v>2</v>
      </c>
      <c r="I41" s="4">
        <v>1</v>
      </c>
      <c r="J41" s="9">
        <f t="shared" si="8"/>
        <v>3</v>
      </c>
      <c r="K41" s="4">
        <v>13</v>
      </c>
      <c r="L41" s="4">
        <v>35</v>
      </c>
      <c r="M41" s="4">
        <v>84</v>
      </c>
      <c r="N41" s="4">
        <v>25</v>
      </c>
      <c r="O41" s="7">
        <v>0.28199999999999997</v>
      </c>
      <c r="P41" s="7">
        <v>0.33200000000000002</v>
      </c>
      <c r="Q41" s="4">
        <v>7</v>
      </c>
      <c r="R41" s="9">
        <f t="shared" si="9"/>
        <v>24</v>
      </c>
      <c r="S41" s="4" t="s">
        <v>117</v>
      </c>
      <c r="T41" s="4"/>
      <c r="U41" s="10" t="s">
        <v>32</v>
      </c>
      <c r="V41" s="10" t="s">
        <v>56</v>
      </c>
      <c r="W41" s="10">
        <v>1</v>
      </c>
      <c r="X41" s="10"/>
      <c r="Y41" s="10"/>
      <c r="Z41" s="10" t="s">
        <v>33</v>
      </c>
      <c r="AA41" s="11">
        <f t="shared" si="10"/>
        <v>18</v>
      </c>
      <c r="AB41" s="11">
        <f t="shared" si="0"/>
        <v>10</v>
      </c>
      <c r="AC41" s="11">
        <f t="shared" si="11"/>
        <v>6</v>
      </c>
      <c r="AD41" s="11">
        <f t="shared" ref="AD41" si="12">ROUND(L41/($L41+$M41+$N41)*$AC41, 0)</f>
        <v>1</v>
      </c>
      <c r="AE41" s="11">
        <v>5</v>
      </c>
      <c r="AF41" s="11">
        <v>6</v>
      </c>
      <c r="AG41" s="11">
        <v>9</v>
      </c>
      <c r="AH41" s="11">
        <v>17</v>
      </c>
      <c r="AI41" s="10">
        <v>17</v>
      </c>
      <c r="AJ41" s="11">
        <v>19</v>
      </c>
      <c r="AK41" s="11">
        <v>20</v>
      </c>
      <c r="AL41" s="11">
        <f t="shared" si="1"/>
        <v>21</v>
      </c>
    </row>
    <row r="42" spans="1:38" x14ac:dyDescent="0.2">
      <c r="A42" s="22" t="s">
        <v>115</v>
      </c>
      <c r="B42" s="4">
        <v>72</v>
      </c>
      <c r="C42" s="4">
        <v>204</v>
      </c>
      <c r="D42" s="4">
        <v>222</v>
      </c>
      <c r="E42" s="4">
        <v>45</v>
      </c>
      <c r="F42" s="4">
        <v>33</v>
      </c>
      <c r="G42" s="4">
        <v>8</v>
      </c>
      <c r="H42" s="4">
        <v>0</v>
      </c>
      <c r="I42" s="4">
        <v>4</v>
      </c>
      <c r="J42" s="9">
        <f t="shared" si="8"/>
        <v>9</v>
      </c>
      <c r="K42" s="4">
        <v>9</v>
      </c>
      <c r="L42" s="4">
        <v>37</v>
      </c>
      <c r="M42" s="4">
        <v>89</v>
      </c>
      <c r="N42" s="4">
        <v>50</v>
      </c>
      <c r="O42" s="7">
        <v>0.221</v>
      </c>
      <c r="P42" s="7">
        <v>0.252</v>
      </c>
      <c r="Q42" s="4">
        <v>6</v>
      </c>
      <c r="R42" s="9">
        <f t="shared" si="9"/>
        <v>14</v>
      </c>
      <c r="S42" s="4" t="s">
        <v>117</v>
      </c>
      <c r="T42" s="4"/>
      <c r="U42" s="10" t="s">
        <v>32</v>
      </c>
      <c r="V42" s="10" t="s">
        <v>53</v>
      </c>
      <c r="W42" s="10">
        <v>2</v>
      </c>
      <c r="X42" s="10"/>
      <c r="Y42" s="10"/>
      <c r="Z42" s="10" t="s">
        <v>38</v>
      </c>
      <c r="AA42" s="11">
        <f t="shared" si="10"/>
        <v>16</v>
      </c>
      <c r="AB42" s="11">
        <f t="shared" si="0"/>
        <v>9</v>
      </c>
      <c r="AC42" s="11">
        <f t="shared" si="11"/>
        <v>7</v>
      </c>
      <c r="AD42" s="11">
        <v>1</v>
      </c>
      <c r="AE42" s="11">
        <v>5</v>
      </c>
      <c r="AF42" s="11">
        <v>7</v>
      </c>
      <c r="AG42" s="11">
        <v>9</v>
      </c>
      <c r="AH42" s="11">
        <v>17</v>
      </c>
      <c r="AI42" s="10">
        <v>18</v>
      </c>
      <c r="AJ42" s="11">
        <v>20</v>
      </c>
      <c r="AK42" s="11">
        <v>20</v>
      </c>
      <c r="AL42" s="11">
        <f t="shared" si="1"/>
        <v>21</v>
      </c>
    </row>
    <row r="43" spans="1:38" x14ac:dyDescent="0.2">
      <c r="A43" s="22" t="s">
        <v>116</v>
      </c>
      <c r="B43" s="4">
        <v>64</v>
      </c>
      <c r="C43" s="4">
        <v>191</v>
      </c>
      <c r="D43" s="4">
        <v>210</v>
      </c>
      <c r="E43" s="4">
        <v>43</v>
      </c>
      <c r="F43" s="4">
        <v>31</v>
      </c>
      <c r="G43" s="4">
        <v>5</v>
      </c>
      <c r="H43" s="4">
        <v>0</v>
      </c>
      <c r="I43" s="4">
        <v>7</v>
      </c>
      <c r="J43" s="9">
        <f t="shared" si="8"/>
        <v>18</v>
      </c>
      <c r="K43" s="4">
        <v>18</v>
      </c>
      <c r="L43" s="4">
        <v>60</v>
      </c>
      <c r="M43" s="4">
        <v>58</v>
      </c>
      <c r="N43" s="4">
        <v>48</v>
      </c>
      <c r="O43" s="7">
        <v>0.22500000000000001</v>
      </c>
      <c r="P43" s="7">
        <v>0.28699999999999998</v>
      </c>
      <c r="Q43" s="4">
        <v>0</v>
      </c>
      <c r="R43" s="9">
        <f t="shared" si="9"/>
        <v>0</v>
      </c>
      <c r="S43" s="4" t="s">
        <v>117</v>
      </c>
      <c r="T43" s="4"/>
      <c r="U43" s="10" t="s">
        <v>32</v>
      </c>
      <c r="V43" s="10" t="s">
        <v>32</v>
      </c>
      <c r="W43" s="10">
        <v>6</v>
      </c>
      <c r="X43" s="10"/>
      <c r="Y43" s="10"/>
      <c r="Z43" s="10" t="s">
        <v>38</v>
      </c>
      <c r="AA43" s="11">
        <f t="shared" si="10"/>
        <v>8</v>
      </c>
      <c r="AB43" s="11">
        <f t="shared" si="0"/>
        <v>9</v>
      </c>
      <c r="AC43" s="11">
        <f t="shared" si="11"/>
        <v>7</v>
      </c>
      <c r="AD43" s="11">
        <v>3</v>
      </c>
      <c r="AE43" s="11">
        <v>5</v>
      </c>
      <c r="AF43" s="11">
        <v>7</v>
      </c>
      <c r="AG43" s="11">
        <v>11</v>
      </c>
      <c r="AH43" s="11">
        <v>17</v>
      </c>
      <c r="AI43" s="10">
        <v>17</v>
      </c>
      <c r="AJ43" s="11">
        <v>19</v>
      </c>
      <c r="AK43" s="11">
        <v>19</v>
      </c>
      <c r="AL43" s="11">
        <f t="shared" si="1"/>
        <v>20</v>
      </c>
    </row>
    <row r="44" spans="1:38" x14ac:dyDescent="0.2">
      <c r="A44" s="22" t="s">
        <v>230</v>
      </c>
      <c r="B44" s="4">
        <v>63</v>
      </c>
      <c r="C44" s="4">
        <v>257</v>
      </c>
      <c r="D44" s="4">
        <v>288</v>
      </c>
      <c r="E44" s="4">
        <v>69</v>
      </c>
      <c r="F44" s="4">
        <v>51</v>
      </c>
      <c r="G44" s="4">
        <v>14</v>
      </c>
      <c r="H44" s="4">
        <v>0</v>
      </c>
      <c r="I44" s="4">
        <v>4</v>
      </c>
      <c r="J44" s="9">
        <f>ROUND(I44/B44*162, 0)</f>
        <v>10</v>
      </c>
      <c r="K44" s="4">
        <v>25</v>
      </c>
      <c r="L44" s="4">
        <v>70</v>
      </c>
      <c r="M44" s="4">
        <v>88</v>
      </c>
      <c r="N44" s="4">
        <v>55</v>
      </c>
      <c r="O44" s="7">
        <v>0.26800000000000002</v>
      </c>
      <c r="P44" s="7">
        <v>0.33200000000000002</v>
      </c>
      <c r="Q44" s="4">
        <v>6</v>
      </c>
      <c r="R44" s="9">
        <f>ROUND(Q44/B44*162, 0)</f>
        <v>15</v>
      </c>
      <c r="S44" s="4" t="s">
        <v>117</v>
      </c>
      <c r="T44" s="4"/>
      <c r="U44" s="10" t="s">
        <v>32</v>
      </c>
      <c r="V44" s="10" t="s">
        <v>56</v>
      </c>
      <c r="W44" s="10">
        <v>2</v>
      </c>
      <c r="X44" s="10"/>
      <c r="Y44" s="10"/>
      <c r="Z44" s="10" t="s">
        <v>38</v>
      </c>
      <c r="AA44" s="11">
        <f>IF(R44=0,8,IF(R44&lt;2,9,IF(R44&lt;3,10,IF(R44&lt;4,11,IF(R44&lt;5,12,IF(R44&lt;7,13,IF(R44&lt;9,14,IF(R44&lt;11,15,IF(R44&lt;16,16,IF(R44&lt;21,17,IF(R44&lt;26,18,IF(R44&lt;31,19,IF(R44&lt;36,20,IF(R44&lt;41,21,IF(R44&lt;46,22,IF(R44&lt;51,23,24))))))))))))))))</f>
        <v>16</v>
      </c>
      <c r="AB44" s="11">
        <f>IF(P44&lt;0.3,9,IF(P44&lt;0.34,10,IF(P44&lt;0.365,11,IF(P44&lt;0.39,12,IF(P44&lt;0.43,13,IF(P44&lt;0.475,14,IF(P44&lt;0.5,15,16)))))))</f>
        <v>10</v>
      </c>
      <c r="AC44" s="11">
        <f>IF(O44&lt;0.2,8,IF(O44&lt;0.25,7,IF(O44&lt;0.3,6,IF(O44&lt;0.35,5,4))))</f>
        <v>6</v>
      </c>
      <c r="AD44" s="11">
        <v>2</v>
      </c>
      <c r="AE44" s="11">
        <v>4</v>
      </c>
      <c r="AF44" s="11">
        <v>6</v>
      </c>
      <c r="AG44" s="11">
        <v>9</v>
      </c>
      <c r="AH44" s="11">
        <v>16</v>
      </c>
      <c r="AI44" s="10">
        <v>17</v>
      </c>
      <c r="AJ44" s="11">
        <v>19</v>
      </c>
      <c r="AK44" s="11">
        <v>19</v>
      </c>
      <c r="AL44" s="11">
        <f>IF(J44&lt;3,22,IF(J44&lt;10,21,IF(J44&lt;20,20,IF(J44&lt;30,19,IF(J44&lt;50,18,17)))))</f>
        <v>20</v>
      </c>
    </row>
    <row r="45" spans="1:38" x14ac:dyDescent="0.2">
      <c r="A45" s="22" t="s">
        <v>130</v>
      </c>
      <c r="B45" s="4">
        <v>158</v>
      </c>
      <c r="C45" s="4">
        <v>579</v>
      </c>
      <c r="D45" s="4">
        <v>668</v>
      </c>
      <c r="E45" s="4">
        <v>174</v>
      </c>
      <c r="F45" s="4">
        <v>110</v>
      </c>
      <c r="G45" s="4">
        <v>37</v>
      </c>
      <c r="H45" s="4">
        <v>3</v>
      </c>
      <c r="I45" s="4">
        <v>24</v>
      </c>
      <c r="J45" s="9">
        <f t="shared" ref="J45:J55" si="13">ROUND(I45/B45*162, 0)</f>
        <v>25</v>
      </c>
      <c r="K45" s="4">
        <v>84</v>
      </c>
      <c r="L45" s="4">
        <v>110</v>
      </c>
      <c r="M45" s="4">
        <v>208</v>
      </c>
      <c r="N45" s="4">
        <v>169</v>
      </c>
      <c r="O45" s="7">
        <v>0.30099999999999999</v>
      </c>
      <c r="P45" s="7">
        <v>0.38400000000000001</v>
      </c>
      <c r="Q45" s="4">
        <v>5</v>
      </c>
      <c r="R45" s="9">
        <f t="shared" si="9"/>
        <v>5</v>
      </c>
      <c r="S45" s="4" t="s">
        <v>129</v>
      </c>
      <c r="T45" s="4"/>
      <c r="U45" s="10" t="s">
        <v>44</v>
      </c>
      <c r="V45" s="10" t="s">
        <v>7</v>
      </c>
      <c r="W45" s="10">
        <v>2</v>
      </c>
      <c r="X45" s="10"/>
      <c r="Y45" s="10"/>
      <c r="Z45" s="10" t="s">
        <v>33</v>
      </c>
      <c r="AA45" s="11">
        <f t="shared" si="10"/>
        <v>13</v>
      </c>
      <c r="AB45" s="11">
        <f t="shared" si="0"/>
        <v>12</v>
      </c>
      <c r="AC45" s="11">
        <f t="shared" si="11"/>
        <v>5</v>
      </c>
      <c r="AD45" s="11">
        <v>1</v>
      </c>
      <c r="AE45" s="11">
        <v>3</v>
      </c>
      <c r="AF45" s="11">
        <v>5</v>
      </c>
      <c r="AG45" s="11">
        <v>9</v>
      </c>
      <c r="AH45" s="11">
        <v>15</v>
      </c>
      <c r="AI45" s="10">
        <v>15</v>
      </c>
      <c r="AJ45" s="11">
        <v>17</v>
      </c>
      <c r="AK45" s="11">
        <v>18</v>
      </c>
      <c r="AL45" s="11">
        <f t="shared" si="1"/>
        <v>19</v>
      </c>
    </row>
    <row r="46" spans="1:38" x14ac:dyDescent="0.2">
      <c r="A46" s="22" t="s">
        <v>131</v>
      </c>
      <c r="B46" s="4">
        <v>145</v>
      </c>
      <c r="C46" s="4">
        <v>446</v>
      </c>
      <c r="D46" s="4">
        <v>505</v>
      </c>
      <c r="E46" s="4">
        <v>114</v>
      </c>
      <c r="F46" s="4">
        <v>58</v>
      </c>
      <c r="G46" s="4">
        <v>23</v>
      </c>
      <c r="H46" s="4">
        <v>3</v>
      </c>
      <c r="I46" s="4">
        <v>30</v>
      </c>
      <c r="J46" s="9">
        <f t="shared" si="13"/>
        <v>34</v>
      </c>
      <c r="K46" s="4">
        <v>59</v>
      </c>
      <c r="L46" s="4">
        <v>140</v>
      </c>
      <c r="M46" s="4">
        <v>93</v>
      </c>
      <c r="N46" s="4">
        <v>160</v>
      </c>
      <c r="O46" s="7">
        <v>0.25600000000000001</v>
      </c>
      <c r="P46" s="7">
        <v>0.33700000000000002</v>
      </c>
      <c r="Q46" s="4">
        <v>4</v>
      </c>
      <c r="R46" s="9">
        <f t="shared" ref="R46:R55" si="14">ROUND(Q46/B46*162, 0)</f>
        <v>4</v>
      </c>
      <c r="S46" s="4" t="s">
        <v>129</v>
      </c>
      <c r="T46" s="4"/>
      <c r="U46" s="10" t="s">
        <v>32</v>
      </c>
      <c r="V46" s="10" t="s">
        <v>5</v>
      </c>
      <c r="W46" s="10">
        <v>0</v>
      </c>
      <c r="X46" s="10" t="s">
        <v>41</v>
      </c>
      <c r="Y46" s="10">
        <v>1</v>
      </c>
      <c r="Z46" s="10" t="s">
        <v>42</v>
      </c>
      <c r="AA46" s="11">
        <f t="shared" ref="AA46:AA55" si="15">IF(R46=0,8,IF(R46&lt;2,9,IF(R46&lt;3,10,IF(R46&lt;4,11,IF(R46&lt;5,12,IF(R46&lt;7,13,IF(R46&lt;9,14,IF(R46&lt;11,15,IF(R46&lt;16,16,IF(R46&lt;21,17,IF(R46&lt;26,18,IF(R46&lt;31,19,IF(R46&lt;36,20,IF(R46&lt;41,21,IF(R46&lt;46,22,IF(R46&lt;51,23,24))))))))))))))))</f>
        <v>12</v>
      </c>
      <c r="AB46" s="11">
        <f t="shared" ref="AB46:AB55" si="16">IF(P46&lt;0.3,9,IF(P46&lt;0.34,10,IF(P46&lt;0.365,11,IF(P46&lt;0.39,12,IF(P46&lt;0.43,13,IF(P46&lt;0.475,14,IF(P46&lt;0.5,15,16)))))))</f>
        <v>10</v>
      </c>
      <c r="AC46" s="11">
        <f t="shared" ref="AC46:AC55" si="17">IF(O46&lt;0.2,8,IF(O46&lt;0.25,7,IF(O46&lt;0.3,6,IF(O46&lt;0.35,5,4))))</f>
        <v>6</v>
      </c>
      <c r="AD46" s="11">
        <v>2</v>
      </c>
      <c r="AE46" s="11">
        <v>3</v>
      </c>
      <c r="AF46" s="11">
        <v>6</v>
      </c>
      <c r="AG46" s="11">
        <v>10</v>
      </c>
      <c r="AH46" s="11">
        <v>15</v>
      </c>
      <c r="AI46" s="10">
        <v>15</v>
      </c>
      <c r="AJ46" s="11">
        <v>16</v>
      </c>
      <c r="AK46" s="11">
        <v>17</v>
      </c>
      <c r="AL46" s="11">
        <f t="shared" ref="AL46:AL55" si="18">IF(J46&lt;3,22,IF(J46&lt;10,21,IF(J46&lt;20,20,IF(J46&lt;30,19,IF(J46&lt;50,18,17)))))</f>
        <v>18</v>
      </c>
    </row>
    <row r="47" spans="1:38" x14ac:dyDescent="0.2">
      <c r="A47" s="22" t="s">
        <v>132</v>
      </c>
      <c r="B47" s="4">
        <v>154</v>
      </c>
      <c r="C47" s="4">
        <v>603</v>
      </c>
      <c r="D47" s="4">
        <v>662</v>
      </c>
      <c r="E47" s="4">
        <v>175</v>
      </c>
      <c r="F47" s="4">
        <v>113</v>
      </c>
      <c r="G47" s="4">
        <v>45</v>
      </c>
      <c r="H47" s="4">
        <v>2</v>
      </c>
      <c r="I47" s="4">
        <v>15</v>
      </c>
      <c r="J47" s="9">
        <f t="shared" si="13"/>
        <v>16</v>
      </c>
      <c r="K47" s="4">
        <v>55</v>
      </c>
      <c r="L47" s="4">
        <v>91</v>
      </c>
      <c r="M47" s="4">
        <v>171</v>
      </c>
      <c r="N47" s="4">
        <v>221</v>
      </c>
      <c r="O47" s="7">
        <v>0.28999999999999998</v>
      </c>
      <c r="P47" s="7">
        <v>0.34399999999999997</v>
      </c>
      <c r="Q47" s="4">
        <v>1</v>
      </c>
      <c r="R47" s="9">
        <f t="shared" si="14"/>
        <v>1</v>
      </c>
      <c r="S47" s="4" t="s">
        <v>129</v>
      </c>
      <c r="T47" s="4"/>
      <c r="U47" s="10" t="s">
        <v>32</v>
      </c>
      <c r="V47" s="10" t="s">
        <v>53</v>
      </c>
      <c r="W47" s="10">
        <v>2</v>
      </c>
      <c r="X47" s="10"/>
      <c r="Y47" s="10"/>
      <c r="Z47" s="10" t="s">
        <v>38</v>
      </c>
      <c r="AA47" s="11">
        <f t="shared" si="15"/>
        <v>9</v>
      </c>
      <c r="AB47" s="11">
        <f t="shared" si="16"/>
        <v>11</v>
      </c>
      <c r="AC47" s="11">
        <f t="shared" si="17"/>
        <v>6</v>
      </c>
      <c r="AD47" s="11">
        <v>1</v>
      </c>
      <c r="AE47" s="11">
        <v>3</v>
      </c>
      <c r="AF47" s="11">
        <v>6</v>
      </c>
      <c r="AG47" s="11">
        <v>9</v>
      </c>
      <c r="AH47" s="11">
        <v>15</v>
      </c>
      <c r="AI47" s="10">
        <v>15</v>
      </c>
      <c r="AJ47" s="11">
        <v>18</v>
      </c>
      <c r="AK47" s="11">
        <v>19</v>
      </c>
      <c r="AL47" s="11">
        <f t="shared" si="18"/>
        <v>20</v>
      </c>
    </row>
    <row r="48" spans="1:38" x14ac:dyDescent="0.2">
      <c r="A48" s="31" t="s">
        <v>133</v>
      </c>
      <c r="B48" s="4">
        <v>135</v>
      </c>
      <c r="C48" s="4">
        <v>529</v>
      </c>
      <c r="D48" s="4">
        <v>574</v>
      </c>
      <c r="E48" s="4">
        <v>127</v>
      </c>
      <c r="F48" s="4">
        <v>76</v>
      </c>
      <c r="G48" s="4">
        <v>21</v>
      </c>
      <c r="H48" s="4">
        <v>4</v>
      </c>
      <c r="I48" s="4">
        <v>26</v>
      </c>
      <c r="J48" s="9">
        <f t="shared" si="13"/>
        <v>31</v>
      </c>
      <c r="K48" s="4">
        <v>47</v>
      </c>
      <c r="L48" s="4">
        <v>137</v>
      </c>
      <c r="M48" s="4">
        <v>149</v>
      </c>
      <c r="N48" s="4">
        <v>180</v>
      </c>
      <c r="O48" s="7">
        <v>0.24</v>
      </c>
      <c r="P48" s="7">
        <v>0.29399999999999998</v>
      </c>
      <c r="Q48" s="4">
        <v>7</v>
      </c>
      <c r="R48" s="9">
        <f t="shared" si="14"/>
        <v>8</v>
      </c>
      <c r="S48" s="4" t="s">
        <v>129</v>
      </c>
      <c r="T48" s="4"/>
      <c r="U48" s="10" t="s">
        <v>32</v>
      </c>
      <c r="V48" s="10" t="s">
        <v>56</v>
      </c>
      <c r="W48" s="10">
        <v>2</v>
      </c>
      <c r="X48" s="10"/>
      <c r="Y48" s="10"/>
      <c r="Z48" s="10" t="s">
        <v>33</v>
      </c>
      <c r="AA48" s="11">
        <f t="shared" si="15"/>
        <v>14</v>
      </c>
      <c r="AB48" s="11">
        <f t="shared" si="16"/>
        <v>9</v>
      </c>
      <c r="AC48" s="11">
        <f t="shared" si="17"/>
        <v>7</v>
      </c>
      <c r="AD48" s="11">
        <v>2</v>
      </c>
      <c r="AE48" s="11">
        <v>4</v>
      </c>
      <c r="AF48" s="11">
        <v>7</v>
      </c>
      <c r="AG48" s="11">
        <v>10</v>
      </c>
      <c r="AH48" s="11">
        <v>14</v>
      </c>
      <c r="AI48" s="10">
        <v>15</v>
      </c>
      <c r="AJ48" s="11">
        <v>16</v>
      </c>
      <c r="AK48" s="11">
        <v>17</v>
      </c>
      <c r="AL48" s="11">
        <f t="shared" si="18"/>
        <v>18</v>
      </c>
    </row>
    <row r="49" spans="1:38" x14ac:dyDescent="0.2">
      <c r="A49" s="31" t="s">
        <v>144</v>
      </c>
      <c r="B49" s="4">
        <v>114</v>
      </c>
      <c r="C49" s="4">
        <v>385</v>
      </c>
      <c r="D49" s="4">
        <v>441</v>
      </c>
      <c r="E49" s="4">
        <v>87</v>
      </c>
      <c r="F49" s="4">
        <v>54</v>
      </c>
      <c r="G49" s="4">
        <v>19</v>
      </c>
      <c r="H49" s="4">
        <v>2</v>
      </c>
      <c r="I49" s="4">
        <v>12</v>
      </c>
      <c r="J49" s="9">
        <f t="shared" si="13"/>
        <v>17</v>
      </c>
      <c r="K49" s="4">
        <v>49</v>
      </c>
      <c r="L49" s="4">
        <v>86</v>
      </c>
      <c r="M49" s="4">
        <v>108</v>
      </c>
      <c r="N49" s="4">
        <v>135</v>
      </c>
      <c r="O49" s="7">
        <v>0.22600000000000001</v>
      </c>
      <c r="P49" s="7">
        <v>0.307</v>
      </c>
      <c r="Q49" s="4">
        <v>9</v>
      </c>
      <c r="R49" s="9">
        <f t="shared" si="14"/>
        <v>13</v>
      </c>
      <c r="S49" s="4" t="s">
        <v>129</v>
      </c>
      <c r="T49" s="4"/>
      <c r="U49" s="10" t="s">
        <v>32</v>
      </c>
      <c r="V49" s="10" t="s">
        <v>41</v>
      </c>
      <c r="W49" s="10">
        <v>2</v>
      </c>
      <c r="X49" s="10"/>
      <c r="Y49" s="10"/>
      <c r="Z49" s="10" t="s">
        <v>42</v>
      </c>
      <c r="AA49" s="11">
        <f t="shared" si="15"/>
        <v>16</v>
      </c>
      <c r="AB49" s="11">
        <f t="shared" si="16"/>
        <v>10</v>
      </c>
      <c r="AC49" s="11">
        <f t="shared" si="17"/>
        <v>7</v>
      </c>
      <c r="AD49" s="11">
        <v>2</v>
      </c>
      <c r="AE49" s="11">
        <v>4</v>
      </c>
      <c r="AF49" s="11">
        <v>7</v>
      </c>
      <c r="AG49" s="11">
        <v>11</v>
      </c>
      <c r="AH49" s="11">
        <v>15</v>
      </c>
      <c r="AI49" s="10">
        <v>16</v>
      </c>
      <c r="AJ49" s="11">
        <v>18</v>
      </c>
      <c r="AK49" s="11">
        <v>19</v>
      </c>
      <c r="AL49" s="11">
        <f t="shared" si="18"/>
        <v>20</v>
      </c>
    </row>
    <row r="50" spans="1:38" x14ac:dyDescent="0.2">
      <c r="A50" s="31" t="s">
        <v>145</v>
      </c>
      <c r="B50" s="4">
        <v>136</v>
      </c>
      <c r="C50" s="4">
        <v>453</v>
      </c>
      <c r="D50" s="4">
        <v>516</v>
      </c>
      <c r="E50" s="4">
        <v>117</v>
      </c>
      <c r="F50" s="4">
        <v>87</v>
      </c>
      <c r="G50" s="4">
        <v>20</v>
      </c>
      <c r="H50" s="4">
        <v>0</v>
      </c>
      <c r="I50" s="4">
        <v>10</v>
      </c>
      <c r="J50" s="9">
        <f t="shared" si="13"/>
        <v>12</v>
      </c>
      <c r="K50" s="4">
        <v>56</v>
      </c>
      <c r="L50" s="4">
        <v>47</v>
      </c>
      <c r="M50" s="4">
        <v>164</v>
      </c>
      <c r="N50" s="4">
        <v>146</v>
      </c>
      <c r="O50" s="7">
        <v>0.25800000000000001</v>
      </c>
      <c r="P50" s="7">
        <v>0.33300000000000002</v>
      </c>
      <c r="Q50" s="4">
        <v>0</v>
      </c>
      <c r="R50" s="9">
        <f t="shared" si="14"/>
        <v>0</v>
      </c>
      <c r="S50" s="4" t="s">
        <v>129</v>
      </c>
      <c r="T50" s="4"/>
      <c r="U50" s="10" t="s">
        <v>32</v>
      </c>
      <c r="V50" s="10" t="s">
        <v>7</v>
      </c>
      <c r="W50" s="10">
        <v>1</v>
      </c>
      <c r="X50" s="10" t="s">
        <v>6</v>
      </c>
      <c r="Y50" s="10">
        <v>3</v>
      </c>
      <c r="Z50" s="10" t="s">
        <v>38</v>
      </c>
      <c r="AA50" s="11">
        <f t="shared" si="15"/>
        <v>8</v>
      </c>
      <c r="AB50" s="11">
        <f t="shared" si="16"/>
        <v>10</v>
      </c>
      <c r="AC50" s="11">
        <f t="shared" si="17"/>
        <v>6</v>
      </c>
      <c r="AD50" s="11">
        <v>1</v>
      </c>
      <c r="AE50" s="11">
        <v>4</v>
      </c>
      <c r="AF50" s="11">
        <v>6</v>
      </c>
      <c r="AG50" s="11">
        <v>10</v>
      </c>
      <c r="AH50" s="11">
        <v>17</v>
      </c>
      <c r="AI50" s="10">
        <v>17</v>
      </c>
      <c r="AJ50" s="11">
        <v>19</v>
      </c>
      <c r="AK50" s="11">
        <v>19</v>
      </c>
      <c r="AL50" s="11">
        <f t="shared" si="18"/>
        <v>20</v>
      </c>
    </row>
    <row r="51" spans="1:38" x14ac:dyDescent="0.2">
      <c r="A51" s="31" t="s">
        <v>146</v>
      </c>
      <c r="B51" s="4">
        <v>98</v>
      </c>
      <c r="C51" s="4">
        <v>264</v>
      </c>
      <c r="D51" s="4">
        <v>308</v>
      </c>
      <c r="E51" s="4">
        <v>65</v>
      </c>
      <c r="F51" s="4">
        <v>40</v>
      </c>
      <c r="G51" s="4">
        <v>16</v>
      </c>
      <c r="H51" s="4">
        <v>0</v>
      </c>
      <c r="I51" s="4">
        <v>9</v>
      </c>
      <c r="J51" s="9">
        <f t="shared" si="13"/>
        <v>15</v>
      </c>
      <c r="K51" s="4">
        <v>42</v>
      </c>
      <c r="L51" s="4">
        <v>71</v>
      </c>
      <c r="M51" s="4">
        <v>69</v>
      </c>
      <c r="N51" s="4">
        <v>84</v>
      </c>
      <c r="O51" s="7">
        <v>0.246</v>
      </c>
      <c r="P51" s="7">
        <v>0.34499999999999997</v>
      </c>
      <c r="Q51" s="4">
        <v>5</v>
      </c>
      <c r="R51" s="9">
        <f t="shared" si="14"/>
        <v>8</v>
      </c>
      <c r="S51" s="4" t="s">
        <v>129</v>
      </c>
      <c r="T51" s="4"/>
      <c r="U51" s="10" t="s">
        <v>32</v>
      </c>
      <c r="V51" s="10" t="s">
        <v>32</v>
      </c>
      <c r="W51" s="10">
        <v>6</v>
      </c>
      <c r="X51" s="10"/>
      <c r="Y51" s="10"/>
      <c r="Z51" s="10" t="s">
        <v>33</v>
      </c>
      <c r="AA51" s="11">
        <f t="shared" si="15"/>
        <v>14</v>
      </c>
      <c r="AB51" s="11">
        <f t="shared" si="16"/>
        <v>11</v>
      </c>
      <c r="AC51" s="11">
        <f t="shared" si="17"/>
        <v>7</v>
      </c>
      <c r="AD51" s="11">
        <v>2</v>
      </c>
      <c r="AE51" s="11">
        <v>4</v>
      </c>
      <c r="AF51" s="11">
        <v>7</v>
      </c>
      <c r="AG51" s="11">
        <v>12</v>
      </c>
      <c r="AH51" s="11">
        <v>17</v>
      </c>
      <c r="AI51" s="10">
        <v>17</v>
      </c>
      <c r="AJ51" s="11">
        <v>19</v>
      </c>
      <c r="AK51" s="11">
        <v>19</v>
      </c>
      <c r="AL51" s="11">
        <f t="shared" si="18"/>
        <v>20</v>
      </c>
    </row>
    <row r="52" spans="1:38" x14ac:dyDescent="0.2">
      <c r="A52" s="31" t="s">
        <v>147</v>
      </c>
      <c r="B52" s="4">
        <v>70</v>
      </c>
      <c r="C52" s="4">
        <v>207</v>
      </c>
      <c r="D52" s="4">
        <v>249</v>
      </c>
      <c r="E52" s="4">
        <v>56</v>
      </c>
      <c r="F52" s="4">
        <v>41</v>
      </c>
      <c r="G52" s="4">
        <v>12</v>
      </c>
      <c r="H52" s="4">
        <v>0</v>
      </c>
      <c r="I52" s="4">
        <v>3</v>
      </c>
      <c r="J52" s="9">
        <f t="shared" si="13"/>
        <v>7</v>
      </c>
      <c r="K52" s="4">
        <v>40</v>
      </c>
      <c r="L52" s="4">
        <v>45</v>
      </c>
      <c r="M52" s="4">
        <v>65</v>
      </c>
      <c r="N52" s="4">
        <v>56</v>
      </c>
      <c r="O52" s="7">
        <v>0.27100000000000002</v>
      </c>
      <c r="P52" s="7">
        <v>0.38700000000000001</v>
      </c>
      <c r="Q52" s="4">
        <v>2</v>
      </c>
      <c r="R52" s="9">
        <f t="shared" si="14"/>
        <v>5</v>
      </c>
      <c r="S52" s="4" t="s">
        <v>129</v>
      </c>
      <c r="T52" s="4"/>
      <c r="U52" s="10" t="s">
        <v>32</v>
      </c>
      <c r="V52" s="10" t="s">
        <v>32</v>
      </c>
      <c r="W52" s="10">
        <v>3</v>
      </c>
      <c r="X52" s="10"/>
      <c r="Y52" s="10"/>
      <c r="Z52" s="10" t="s">
        <v>42</v>
      </c>
      <c r="AA52" s="11">
        <f t="shared" si="15"/>
        <v>13</v>
      </c>
      <c r="AB52" s="11">
        <f t="shared" si="16"/>
        <v>12</v>
      </c>
      <c r="AC52" s="11">
        <f t="shared" si="17"/>
        <v>6</v>
      </c>
      <c r="AD52" s="11">
        <v>2</v>
      </c>
      <c r="AE52" s="11">
        <v>4</v>
      </c>
      <c r="AF52" s="11">
        <v>6</v>
      </c>
      <c r="AG52" s="11">
        <v>12</v>
      </c>
      <c r="AH52" s="11">
        <v>18</v>
      </c>
      <c r="AI52" s="10">
        <v>18</v>
      </c>
      <c r="AJ52" s="11">
        <v>20</v>
      </c>
      <c r="AK52" s="11">
        <v>20</v>
      </c>
      <c r="AL52" s="11">
        <f t="shared" si="18"/>
        <v>21</v>
      </c>
    </row>
    <row r="53" spans="1:38" x14ac:dyDescent="0.2">
      <c r="A53" s="31" t="s">
        <v>148</v>
      </c>
      <c r="B53" s="4">
        <v>131</v>
      </c>
      <c r="C53" s="4">
        <v>513</v>
      </c>
      <c r="D53" s="4">
        <v>584</v>
      </c>
      <c r="E53" s="4">
        <v>134</v>
      </c>
      <c r="F53" s="4">
        <v>87</v>
      </c>
      <c r="G53" s="4">
        <v>22</v>
      </c>
      <c r="H53" s="4">
        <v>3</v>
      </c>
      <c r="I53" s="4">
        <v>22</v>
      </c>
      <c r="J53" s="9">
        <f t="shared" si="13"/>
        <v>27</v>
      </c>
      <c r="K53" s="4">
        <v>64</v>
      </c>
      <c r="L53" s="4">
        <v>65</v>
      </c>
      <c r="M53" s="4">
        <v>183</v>
      </c>
      <c r="N53" s="4">
        <v>178</v>
      </c>
      <c r="O53" s="7">
        <v>0.26100000000000001</v>
      </c>
      <c r="P53" s="7">
        <v>0.33500000000000002</v>
      </c>
      <c r="Q53" s="4">
        <v>21</v>
      </c>
      <c r="R53" s="9">
        <f t="shared" si="14"/>
        <v>26</v>
      </c>
      <c r="S53" s="4" t="s">
        <v>129</v>
      </c>
      <c r="T53" s="4"/>
      <c r="U53" s="10" t="s">
        <v>32</v>
      </c>
      <c r="V53" s="10" t="s">
        <v>45</v>
      </c>
      <c r="W53" s="10">
        <v>3</v>
      </c>
      <c r="X53" s="10"/>
      <c r="Y53" s="10"/>
      <c r="Z53" s="10" t="s">
        <v>38</v>
      </c>
      <c r="AA53" s="11">
        <f t="shared" si="15"/>
        <v>19</v>
      </c>
      <c r="AB53" s="11">
        <f t="shared" si="16"/>
        <v>10</v>
      </c>
      <c r="AC53" s="11">
        <f t="shared" si="17"/>
        <v>6</v>
      </c>
      <c r="AD53" s="11">
        <v>0</v>
      </c>
      <c r="AE53" s="11">
        <v>3</v>
      </c>
      <c r="AF53" s="11">
        <v>6</v>
      </c>
      <c r="AG53" s="11">
        <v>10</v>
      </c>
      <c r="AH53" s="11">
        <v>14</v>
      </c>
      <c r="AI53" s="10">
        <v>15</v>
      </c>
      <c r="AJ53" s="11">
        <v>16</v>
      </c>
      <c r="AK53" s="11">
        <v>18</v>
      </c>
      <c r="AL53" s="11">
        <f t="shared" si="18"/>
        <v>19</v>
      </c>
    </row>
    <row r="54" spans="1:38" x14ac:dyDescent="0.2">
      <c r="A54" s="31" t="s">
        <v>149</v>
      </c>
      <c r="B54" s="4">
        <v>106</v>
      </c>
      <c r="C54" s="4">
        <v>246</v>
      </c>
      <c r="D54" s="4">
        <v>287</v>
      </c>
      <c r="E54" s="4">
        <v>69</v>
      </c>
      <c r="F54" s="4">
        <v>51</v>
      </c>
      <c r="G54" s="4">
        <v>12</v>
      </c>
      <c r="H54" s="4">
        <v>4</v>
      </c>
      <c r="I54" s="4">
        <v>2</v>
      </c>
      <c r="J54" s="9">
        <f t="shared" si="13"/>
        <v>3</v>
      </c>
      <c r="K54" s="4">
        <v>39</v>
      </c>
      <c r="L54" s="4">
        <v>46</v>
      </c>
      <c r="M54" s="4">
        <v>97</v>
      </c>
      <c r="N54" s="4">
        <v>60</v>
      </c>
      <c r="O54" s="7">
        <v>0.28000000000000003</v>
      </c>
      <c r="P54" s="7">
        <v>0.373</v>
      </c>
      <c r="Q54" s="4">
        <v>24</v>
      </c>
      <c r="R54" s="9">
        <f t="shared" si="14"/>
        <v>37</v>
      </c>
      <c r="S54" s="4" t="s">
        <v>129</v>
      </c>
      <c r="T54" s="4"/>
      <c r="U54" s="10" t="s">
        <v>32</v>
      </c>
      <c r="V54" s="10" t="s">
        <v>56</v>
      </c>
      <c r="W54" s="10">
        <v>2</v>
      </c>
      <c r="X54" s="10"/>
      <c r="Y54" s="10"/>
      <c r="Z54" s="10" t="s">
        <v>33</v>
      </c>
      <c r="AA54" s="11">
        <f t="shared" si="15"/>
        <v>21</v>
      </c>
      <c r="AB54" s="11">
        <f t="shared" si="16"/>
        <v>12</v>
      </c>
      <c r="AC54" s="11">
        <f t="shared" si="17"/>
        <v>6</v>
      </c>
      <c r="AD54" s="11">
        <v>1</v>
      </c>
      <c r="AE54" s="11">
        <v>4</v>
      </c>
      <c r="AF54" s="11">
        <v>6</v>
      </c>
      <c r="AG54" s="11">
        <v>10</v>
      </c>
      <c r="AH54" s="11">
        <v>16</v>
      </c>
      <c r="AI54" s="10">
        <v>17</v>
      </c>
      <c r="AJ54" s="11">
        <v>18</v>
      </c>
      <c r="AK54" s="11">
        <v>20</v>
      </c>
      <c r="AL54" s="11">
        <f t="shared" si="18"/>
        <v>21</v>
      </c>
    </row>
    <row r="55" spans="1:38" x14ac:dyDescent="0.2">
      <c r="A55" s="31" t="s">
        <v>170</v>
      </c>
      <c r="B55" s="4">
        <v>130</v>
      </c>
      <c r="C55" s="4">
        <v>368</v>
      </c>
      <c r="D55" s="4">
        <v>410</v>
      </c>
      <c r="E55" s="4">
        <v>98</v>
      </c>
      <c r="F55" s="4">
        <v>69</v>
      </c>
      <c r="G55" s="4">
        <v>24</v>
      </c>
      <c r="H55" s="4">
        <v>3</v>
      </c>
      <c r="I55" s="4">
        <v>2</v>
      </c>
      <c r="J55" s="9">
        <f t="shared" si="13"/>
        <v>2</v>
      </c>
      <c r="K55" s="4">
        <v>34</v>
      </c>
      <c r="L55" s="4">
        <v>51</v>
      </c>
      <c r="M55" s="4">
        <v>111</v>
      </c>
      <c r="N55" s="4">
        <v>125</v>
      </c>
      <c r="O55" s="7">
        <v>0.26600000000000001</v>
      </c>
      <c r="P55" s="7">
        <v>0.32200000000000001</v>
      </c>
      <c r="Q55" s="4">
        <v>10</v>
      </c>
      <c r="R55" s="9">
        <f t="shared" si="14"/>
        <v>12</v>
      </c>
      <c r="S55" s="4" t="s">
        <v>129</v>
      </c>
      <c r="T55" s="4"/>
      <c r="U55" s="10" t="s">
        <v>32</v>
      </c>
      <c r="V55" s="10" t="s">
        <v>53</v>
      </c>
      <c r="W55" s="10">
        <v>2</v>
      </c>
      <c r="X55" s="10"/>
      <c r="Y55" s="10"/>
      <c r="Z55" s="10" t="s">
        <v>42</v>
      </c>
      <c r="AA55" s="11">
        <f t="shared" si="15"/>
        <v>16</v>
      </c>
      <c r="AB55" s="11">
        <f t="shared" si="16"/>
        <v>10</v>
      </c>
      <c r="AC55" s="11">
        <f t="shared" si="17"/>
        <v>6</v>
      </c>
      <c r="AD55" s="11">
        <v>1</v>
      </c>
      <c r="AE55" s="11">
        <v>3</v>
      </c>
      <c r="AF55" s="11">
        <v>6</v>
      </c>
      <c r="AG55" s="11">
        <v>10</v>
      </c>
      <c r="AH55" s="11">
        <v>17</v>
      </c>
      <c r="AI55" s="10">
        <v>17</v>
      </c>
      <c r="AJ55" s="11">
        <v>20</v>
      </c>
      <c r="AK55" s="11">
        <v>21</v>
      </c>
      <c r="AL55" s="11">
        <f t="shared" si="18"/>
        <v>22</v>
      </c>
    </row>
    <row r="56" spans="1:38" x14ac:dyDescent="0.2">
      <c r="A56" s="31" t="s">
        <v>171</v>
      </c>
      <c r="B56" s="4">
        <v>116</v>
      </c>
      <c r="C56" s="4">
        <v>294</v>
      </c>
      <c r="D56" s="4">
        <v>335</v>
      </c>
      <c r="E56" s="4">
        <v>75</v>
      </c>
      <c r="F56" s="4">
        <v>58</v>
      </c>
      <c r="G56" s="4">
        <v>15</v>
      </c>
      <c r="H56" s="4">
        <v>0</v>
      </c>
      <c r="I56" s="4">
        <v>2</v>
      </c>
      <c r="J56" s="9">
        <f t="shared" ref="J56:J58" si="19">ROUND(I56/B56*162, 0)</f>
        <v>3</v>
      </c>
      <c r="K56" s="4">
        <v>33</v>
      </c>
      <c r="L56" s="4">
        <v>67</v>
      </c>
      <c r="M56" s="4">
        <v>88</v>
      </c>
      <c r="N56" s="4">
        <v>67</v>
      </c>
      <c r="O56" s="7">
        <v>0.255</v>
      </c>
      <c r="P56" s="7">
        <v>0.32100000000000001</v>
      </c>
      <c r="Q56" s="4">
        <v>3</v>
      </c>
      <c r="R56" s="9">
        <f t="shared" ref="R56:R58" si="20">ROUND(Q56/B56*162, 0)</f>
        <v>4</v>
      </c>
      <c r="S56" s="4" t="s">
        <v>129</v>
      </c>
      <c r="T56" s="4"/>
      <c r="U56" s="10" t="s">
        <v>32</v>
      </c>
      <c r="V56" s="10" t="s">
        <v>53</v>
      </c>
      <c r="W56" s="10">
        <v>3</v>
      </c>
      <c r="X56" s="10" t="s">
        <v>7</v>
      </c>
      <c r="Y56" s="10">
        <v>1</v>
      </c>
      <c r="Z56" s="10" t="s">
        <v>38</v>
      </c>
      <c r="AA56" s="11">
        <f t="shared" ref="AA56:AA58" si="21">IF(R56=0,8,IF(R56&lt;2,9,IF(R56&lt;3,10,IF(R56&lt;4,11,IF(R56&lt;5,12,IF(R56&lt;7,13,IF(R56&lt;9,14,IF(R56&lt;11,15,IF(R56&lt;16,16,IF(R56&lt;21,17,IF(R56&lt;26,18,IF(R56&lt;31,19,IF(R56&lt;36,20,IF(R56&lt;41,21,IF(R56&lt;46,22,IF(R56&lt;51,23,24))))))))))))))))</f>
        <v>12</v>
      </c>
      <c r="AB56" s="11">
        <f t="shared" ref="AB56:AB58" si="22">IF(P56&lt;0.3,9,IF(P56&lt;0.34,10,IF(P56&lt;0.365,11,IF(P56&lt;0.39,12,IF(P56&lt;0.43,13,IF(P56&lt;0.475,14,IF(P56&lt;0.5,15,16)))))))</f>
        <v>10</v>
      </c>
      <c r="AC56" s="11">
        <f t="shared" ref="AC56:AC58" si="23">IF(O56&lt;0.2,8,IF(O56&lt;0.25,7,IF(O56&lt;0.3,6,IF(O56&lt;0.35,5,4))))</f>
        <v>6</v>
      </c>
      <c r="AD56" s="11">
        <v>2</v>
      </c>
      <c r="AE56" s="11">
        <v>4</v>
      </c>
      <c r="AF56" s="11">
        <v>6</v>
      </c>
      <c r="AG56" s="11">
        <v>10</v>
      </c>
      <c r="AH56" s="11">
        <v>18</v>
      </c>
      <c r="AI56" s="10">
        <v>18</v>
      </c>
      <c r="AJ56" s="11">
        <v>20</v>
      </c>
      <c r="AK56" s="11">
        <v>20</v>
      </c>
      <c r="AL56" s="11">
        <f t="shared" ref="AL56:AL58" si="24">IF(J56&lt;3,22,IF(J56&lt;10,21,IF(J56&lt;20,20,IF(J56&lt;30,19,IF(J56&lt;50,18,17)))))</f>
        <v>21</v>
      </c>
    </row>
    <row r="57" spans="1:38" x14ac:dyDescent="0.2">
      <c r="A57" s="22" t="s">
        <v>172</v>
      </c>
      <c r="B57" s="4">
        <v>37</v>
      </c>
      <c r="C57" s="4">
        <v>104</v>
      </c>
      <c r="D57" s="4">
        <v>120</v>
      </c>
      <c r="E57" s="4">
        <v>28</v>
      </c>
      <c r="F57" s="4">
        <v>23</v>
      </c>
      <c r="G57" s="4">
        <v>2</v>
      </c>
      <c r="H57" s="4">
        <v>0</v>
      </c>
      <c r="I57" s="4">
        <v>3</v>
      </c>
      <c r="J57" s="9">
        <f t="shared" si="19"/>
        <v>13</v>
      </c>
      <c r="K57" s="4">
        <v>14</v>
      </c>
      <c r="L57" s="4">
        <v>18</v>
      </c>
      <c r="M57" s="4">
        <v>36</v>
      </c>
      <c r="N57" s="4">
        <v>32</v>
      </c>
      <c r="O57" s="7">
        <v>0.26900000000000002</v>
      </c>
      <c r="P57" s="7">
        <v>0.35</v>
      </c>
      <c r="Q57" s="4">
        <v>0</v>
      </c>
      <c r="R57" s="9">
        <f t="shared" si="20"/>
        <v>0</v>
      </c>
      <c r="S57" s="4" t="s">
        <v>129</v>
      </c>
      <c r="T57" s="4"/>
      <c r="U57" s="10" t="s">
        <v>32</v>
      </c>
      <c r="V57" s="10" t="s">
        <v>5</v>
      </c>
      <c r="W57" s="10">
        <v>1</v>
      </c>
      <c r="X57" s="10"/>
      <c r="Y57" s="10"/>
      <c r="Z57" s="10" t="s">
        <v>42</v>
      </c>
      <c r="AA57" s="11">
        <f t="shared" si="21"/>
        <v>8</v>
      </c>
      <c r="AB57" s="11">
        <f t="shared" si="22"/>
        <v>11</v>
      </c>
      <c r="AC57" s="11">
        <f t="shared" si="23"/>
        <v>6</v>
      </c>
      <c r="AD57" s="11">
        <v>1</v>
      </c>
      <c r="AE57" s="11">
        <v>4</v>
      </c>
      <c r="AF57" s="11">
        <v>6</v>
      </c>
      <c r="AG57" s="11">
        <v>10</v>
      </c>
      <c r="AH57" s="11">
        <v>17</v>
      </c>
      <c r="AI57" s="10">
        <v>17</v>
      </c>
      <c r="AJ57" s="11">
        <v>19</v>
      </c>
      <c r="AK57" s="11">
        <v>19</v>
      </c>
      <c r="AL57" s="11">
        <f t="shared" si="24"/>
        <v>20</v>
      </c>
    </row>
    <row r="58" spans="1:38" x14ac:dyDescent="0.2">
      <c r="A58" s="22" t="s">
        <v>173</v>
      </c>
      <c r="B58" s="4">
        <v>119</v>
      </c>
      <c r="C58" s="4">
        <v>176</v>
      </c>
      <c r="D58" s="4">
        <v>200</v>
      </c>
      <c r="E58" s="4">
        <v>35</v>
      </c>
      <c r="F58" s="4">
        <v>30</v>
      </c>
      <c r="G58" s="4">
        <v>0</v>
      </c>
      <c r="H58" s="4">
        <v>3</v>
      </c>
      <c r="I58" s="4">
        <v>2</v>
      </c>
      <c r="J58" s="9">
        <f t="shared" si="19"/>
        <v>3</v>
      </c>
      <c r="K58" s="4">
        <v>18</v>
      </c>
      <c r="L58" s="4">
        <v>28</v>
      </c>
      <c r="M58" s="4">
        <v>76</v>
      </c>
      <c r="N58" s="4">
        <v>37</v>
      </c>
      <c r="O58" s="7">
        <v>0.19900000000000001</v>
      </c>
      <c r="P58" s="7">
        <v>0.27</v>
      </c>
      <c r="Q58" s="4">
        <v>8</v>
      </c>
      <c r="R58" s="9">
        <f t="shared" si="20"/>
        <v>11</v>
      </c>
      <c r="S58" s="4" t="s">
        <v>129</v>
      </c>
      <c r="T58" s="4">
        <v>10</v>
      </c>
      <c r="U58" s="10" t="s">
        <v>32</v>
      </c>
      <c r="V58" s="10" t="s">
        <v>56</v>
      </c>
      <c r="W58" s="10">
        <v>2</v>
      </c>
      <c r="X58" s="10"/>
      <c r="Y58" s="10"/>
      <c r="Z58" s="10" t="s">
        <v>42</v>
      </c>
      <c r="AA58" s="11">
        <f t="shared" si="21"/>
        <v>16</v>
      </c>
      <c r="AB58" s="11">
        <f t="shared" si="22"/>
        <v>9</v>
      </c>
      <c r="AC58" s="11">
        <f t="shared" si="23"/>
        <v>8</v>
      </c>
      <c r="AD58" s="11">
        <v>2</v>
      </c>
      <c r="AE58" s="11">
        <v>6</v>
      </c>
      <c r="AF58" s="11">
        <v>8</v>
      </c>
      <c r="AG58" s="11">
        <v>12</v>
      </c>
      <c r="AH58" s="11">
        <v>19</v>
      </c>
      <c r="AI58" s="10">
        <v>19</v>
      </c>
      <c r="AJ58" s="11">
        <v>19</v>
      </c>
      <c r="AK58" s="11">
        <v>20</v>
      </c>
      <c r="AL58" s="11">
        <f t="shared" si="24"/>
        <v>21</v>
      </c>
    </row>
    <row r="59" spans="1:38" x14ac:dyDescent="0.2">
      <c r="A59" s="21" t="s">
        <v>184</v>
      </c>
      <c r="B59" s="4">
        <v>118</v>
      </c>
      <c r="C59" s="4">
        <v>452</v>
      </c>
      <c r="D59" s="4">
        <v>528</v>
      </c>
      <c r="E59" s="4">
        <v>117</v>
      </c>
      <c r="F59" s="4">
        <v>65</v>
      </c>
      <c r="G59" s="4">
        <v>24</v>
      </c>
      <c r="H59" s="4">
        <v>0</v>
      </c>
      <c r="I59" s="4">
        <v>28</v>
      </c>
      <c r="J59" s="9">
        <f t="shared" ref="J59:J121" si="25">ROUND(I59/B59*162, 0)</f>
        <v>38</v>
      </c>
      <c r="K59" s="4">
        <v>74</v>
      </c>
      <c r="L59" s="4">
        <v>84</v>
      </c>
      <c r="M59" s="4">
        <v>153</v>
      </c>
      <c r="N59" s="4">
        <v>159</v>
      </c>
      <c r="O59" s="7">
        <v>0.25900000000000001</v>
      </c>
      <c r="P59" s="7">
        <v>0.35799999999999998</v>
      </c>
      <c r="Q59" s="4">
        <v>7</v>
      </c>
      <c r="R59" s="9">
        <f t="shared" ref="R59:R121" si="26">ROUND(Q59/B59*162, 0)</f>
        <v>10</v>
      </c>
      <c r="S59" s="4" t="s">
        <v>150</v>
      </c>
      <c r="T59" s="4"/>
      <c r="U59" s="10" t="s">
        <v>44</v>
      </c>
      <c r="V59" s="10" t="s">
        <v>41</v>
      </c>
      <c r="W59" s="10">
        <v>2</v>
      </c>
      <c r="X59" s="10"/>
      <c r="Y59" s="10"/>
      <c r="Z59" s="10" t="s">
        <v>33</v>
      </c>
      <c r="AA59" s="11">
        <f t="shared" ref="AA59:AA121" si="27">IF(R59=0,8,IF(R59&lt;2,9,IF(R59&lt;3,10,IF(R59&lt;4,11,IF(R59&lt;5,12,IF(R59&lt;7,13,IF(R59&lt;9,14,IF(R59&lt;11,15,IF(R59&lt;16,16,IF(R59&lt;21,17,IF(R59&lt;26,18,IF(R59&lt;31,19,IF(R59&lt;36,20,IF(R59&lt;41,21,IF(R59&lt;46,22,IF(R59&lt;51,23,24))))))))))))))))</f>
        <v>15</v>
      </c>
      <c r="AB59" s="11">
        <f t="shared" ref="AB59:AB121" si="28">IF(P59&lt;0.3,9,IF(P59&lt;0.34,10,IF(P59&lt;0.365,11,IF(P59&lt;0.39,12,IF(P59&lt;0.43,13,IF(P59&lt;0.475,14,IF(P59&lt;0.5,15,16)))))))</f>
        <v>11</v>
      </c>
      <c r="AC59" s="11">
        <f t="shared" ref="AC59:AC121" si="29">IF(O59&lt;0.2,8,IF(O59&lt;0.25,7,IF(O59&lt;0.3,6,IF(O59&lt;0.35,5,4))))</f>
        <v>6</v>
      </c>
      <c r="AD59" s="11">
        <v>1</v>
      </c>
      <c r="AE59" s="11">
        <v>3</v>
      </c>
      <c r="AF59" s="11">
        <v>6</v>
      </c>
      <c r="AG59" s="11">
        <v>10</v>
      </c>
      <c r="AH59" s="11">
        <v>14</v>
      </c>
      <c r="AI59" s="10">
        <v>15</v>
      </c>
      <c r="AJ59" s="11">
        <v>17</v>
      </c>
      <c r="AK59" s="11">
        <v>17</v>
      </c>
      <c r="AL59" s="11">
        <f t="shared" ref="AL59:AL121" si="30">IF(J59&lt;3,22,IF(J59&lt;10,21,IF(J59&lt;20,20,IF(J59&lt;30,19,IF(J59&lt;50,18,17)))))</f>
        <v>18</v>
      </c>
    </row>
    <row r="60" spans="1:38" x14ac:dyDescent="0.2">
      <c r="A60" s="21" t="s">
        <v>185</v>
      </c>
      <c r="B60" s="4">
        <v>142</v>
      </c>
      <c r="C60" s="4">
        <v>530</v>
      </c>
      <c r="D60" s="4">
        <v>621</v>
      </c>
      <c r="E60" s="4">
        <v>144</v>
      </c>
      <c r="F60" s="4">
        <v>78</v>
      </c>
      <c r="G60" s="4">
        <v>29</v>
      </c>
      <c r="H60" s="4">
        <v>1</v>
      </c>
      <c r="I60" s="4">
        <v>36</v>
      </c>
      <c r="J60" s="9">
        <f t="shared" si="25"/>
        <v>41</v>
      </c>
      <c r="K60" s="4">
        <v>93</v>
      </c>
      <c r="L60" s="4">
        <v>62</v>
      </c>
      <c r="M60" s="4">
        <v>166</v>
      </c>
      <c r="N60" s="4">
        <v>205</v>
      </c>
      <c r="O60" s="7">
        <v>0.27200000000000002</v>
      </c>
      <c r="P60" s="7">
        <v>0.37</v>
      </c>
      <c r="Q60" s="4">
        <v>7</v>
      </c>
      <c r="R60" s="9">
        <f t="shared" si="26"/>
        <v>8</v>
      </c>
      <c r="S60" s="4" t="s">
        <v>150</v>
      </c>
      <c r="T60" s="4"/>
      <c r="U60" s="10" t="s">
        <v>44</v>
      </c>
      <c r="V60" s="10" t="s">
        <v>5</v>
      </c>
      <c r="W60" s="10">
        <v>0</v>
      </c>
      <c r="X60" s="10" t="s">
        <v>7</v>
      </c>
      <c r="Y60" s="10">
        <v>1</v>
      </c>
      <c r="Z60" s="10" t="s">
        <v>33</v>
      </c>
      <c r="AA60" s="11">
        <f t="shared" si="27"/>
        <v>14</v>
      </c>
      <c r="AB60" s="11">
        <f t="shared" si="28"/>
        <v>12</v>
      </c>
      <c r="AC60" s="11">
        <f t="shared" si="29"/>
        <v>6</v>
      </c>
      <c r="AD60" s="11">
        <v>1</v>
      </c>
      <c r="AE60" s="11">
        <v>3</v>
      </c>
      <c r="AF60" s="11">
        <v>6</v>
      </c>
      <c r="AG60" s="11">
        <v>10</v>
      </c>
      <c r="AH60" s="11">
        <v>14</v>
      </c>
      <c r="AI60" s="10">
        <v>15</v>
      </c>
      <c r="AJ60" s="11">
        <v>17</v>
      </c>
      <c r="AK60" s="11">
        <v>17</v>
      </c>
      <c r="AL60" s="11">
        <f t="shared" si="30"/>
        <v>18</v>
      </c>
    </row>
    <row r="61" spans="1:38" x14ac:dyDescent="0.2">
      <c r="A61" s="21" t="s">
        <v>186</v>
      </c>
      <c r="B61" s="4">
        <v>88</v>
      </c>
      <c r="C61" s="4">
        <v>344</v>
      </c>
      <c r="D61" s="4">
        <v>372</v>
      </c>
      <c r="E61" s="4">
        <v>96</v>
      </c>
      <c r="F61" s="4">
        <v>76</v>
      </c>
      <c r="G61" s="4">
        <v>15</v>
      </c>
      <c r="H61" s="4">
        <v>2</v>
      </c>
      <c r="I61" s="4">
        <v>3</v>
      </c>
      <c r="J61" s="9">
        <f t="shared" si="25"/>
        <v>6</v>
      </c>
      <c r="K61" s="4">
        <v>23</v>
      </c>
      <c r="L61" s="4">
        <v>47</v>
      </c>
      <c r="M61" s="4">
        <v>139</v>
      </c>
      <c r="N61" s="4">
        <v>94</v>
      </c>
      <c r="O61" s="7">
        <v>0.27900000000000003</v>
      </c>
      <c r="P61" s="7">
        <v>0.32200000000000001</v>
      </c>
      <c r="Q61" s="4">
        <v>2</v>
      </c>
      <c r="R61" s="9">
        <f t="shared" si="26"/>
        <v>4</v>
      </c>
      <c r="S61" s="4" t="s">
        <v>150</v>
      </c>
      <c r="T61" s="4"/>
      <c r="U61" s="10" t="s">
        <v>32</v>
      </c>
      <c r="V61" s="10" t="s">
        <v>41</v>
      </c>
      <c r="W61" s="10">
        <v>2</v>
      </c>
      <c r="X61" s="10"/>
      <c r="Y61" s="10"/>
      <c r="Z61" s="10" t="s">
        <v>38</v>
      </c>
      <c r="AA61" s="11">
        <f t="shared" si="27"/>
        <v>12</v>
      </c>
      <c r="AB61" s="11">
        <f t="shared" si="28"/>
        <v>10</v>
      </c>
      <c r="AC61" s="11">
        <f t="shared" si="29"/>
        <v>6</v>
      </c>
      <c r="AD61" s="11">
        <v>1</v>
      </c>
      <c r="AE61" s="11">
        <v>4</v>
      </c>
      <c r="AF61" s="11">
        <v>6</v>
      </c>
      <c r="AG61" s="11">
        <v>9</v>
      </c>
      <c r="AH61" s="11">
        <v>17</v>
      </c>
      <c r="AI61" s="10">
        <v>17</v>
      </c>
      <c r="AJ61" s="11">
        <v>19</v>
      </c>
      <c r="AK61" s="11">
        <v>20</v>
      </c>
      <c r="AL61" s="11">
        <f t="shared" si="30"/>
        <v>21</v>
      </c>
    </row>
    <row r="62" spans="1:38" x14ac:dyDescent="0.2">
      <c r="A62" s="21" t="s">
        <v>187</v>
      </c>
      <c r="B62" s="4">
        <v>107</v>
      </c>
      <c r="C62" s="4">
        <v>401</v>
      </c>
      <c r="D62" s="4">
        <v>442</v>
      </c>
      <c r="E62" s="4">
        <v>102</v>
      </c>
      <c r="F62" s="4">
        <v>70</v>
      </c>
      <c r="G62" s="4">
        <v>18</v>
      </c>
      <c r="H62" s="4">
        <v>3</v>
      </c>
      <c r="I62" s="4">
        <v>11</v>
      </c>
      <c r="J62" s="9">
        <f t="shared" si="25"/>
        <v>17</v>
      </c>
      <c r="K62" s="4">
        <v>38</v>
      </c>
      <c r="L62" s="4">
        <v>68</v>
      </c>
      <c r="M62" s="4">
        <v>162</v>
      </c>
      <c r="N62" s="4">
        <v>114</v>
      </c>
      <c r="O62" s="7">
        <v>0.254</v>
      </c>
      <c r="P62" s="7">
        <v>0.315</v>
      </c>
      <c r="Q62" s="4">
        <v>9</v>
      </c>
      <c r="R62" s="9">
        <f t="shared" si="26"/>
        <v>14</v>
      </c>
      <c r="S62" s="4" t="s">
        <v>150</v>
      </c>
      <c r="T62" s="4"/>
      <c r="U62" s="10" t="s">
        <v>32</v>
      </c>
      <c r="V62" s="10" t="s">
        <v>7</v>
      </c>
      <c r="W62" s="10">
        <v>2</v>
      </c>
      <c r="X62" s="10"/>
      <c r="Y62" s="10"/>
      <c r="Z62" s="10" t="s">
        <v>33</v>
      </c>
      <c r="AA62" s="11">
        <f t="shared" si="27"/>
        <v>16</v>
      </c>
      <c r="AB62" s="11">
        <f t="shared" si="28"/>
        <v>10</v>
      </c>
      <c r="AC62" s="11">
        <f t="shared" si="29"/>
        <v>6</v>
      </c>
      <c r="AD62" s="11">
        <v>1</v>
      </c>
      <c r="AE62" s="11">
        <v>4</v>
      </c>
      <c r="AF62" s="11">
        <v>6</v>
      </c>
      <c r="AG62" s="11">
        <v>10</v>
      </c>
      <c r="AH62" s="11">
        <v>16</v>
      </c>
      <c r="AI62" s="10">
        <v>16</v>
      </c>
      <c r="AJ62" s="11">
        <v>18</v>
      </c>
      <c r="AK62" s="11">
        <v>19</v>
      </c>
      <c r="AL62" s="11">
        <f t="shared" si="30"/>
        <v>20</v>
      </c>
    </row>
    <row r="63" spans="1:38" x14ac:dyDescent="0.2">
      <c r="A63" s="21" t="s">
        <v>195</v>
      </c>
      <c r="B63" s="4">
        <v>89</v>
      </c>
      <c r="C63" s="4">
        <v>240</v>
      </c>
      <c r="D63" s="4">
        <v>266</v>
      </c>
      <c r="E63" s="4">
        <v>72</v>
      </c>
      <c r="F63" s="4">
        <v>52</v>
      </c>
      <c r="G63" s="4">
        <v>7</v>
      </c>
      <c r="H63" s="4">
        <v>0</v>
      </c>
      <c r="I63" s="4">
        <v>13</v>
      </c>
      <c r="J63" s="9">
        <f t="shared" si="25"/>
        <v>24</v>
      </c>
      <c r="K63" s="4">
        <v>26</v>
      </c>
      <c r="L63" s="4">
        <v>36</v>
      </c>
      <c r="M63" s="4">
        <v>84</v>
      </c>
      <c r="N63" s="4">
        <v>69</v>
      </c>
      <c r="O63" s="7">
        <v>0.3</v>
      </c>
      <c r="P63" s="7">
        <v>0.36499999999999999</v>
      </c>
      <c r="Q63" s="4">
        <v>0</v>
      </c>
      <c r="R63" s="9">
        <f t="shared" si="26"/>
        <v>0</v>
      </c>
      <c r="S63" s="4" t="s">
        <v>150</v>
      </c>
      <c r="T63" s="4"/>
      <c r="U63" s="10" t="s">
        <v>32</v>
      </c>
      <c r="V63" s="10" t="s">
        <v>32</v>
      </c>
      <c r="W63" s="10">
        <v>5</v>
      </c>
      <c r="X63" s="10"/>
      <c r="Y63" s="10"/>
      <c r="Z63" s="10" t="s">
        <v>38</v>
      </c>
      <c r="AA63" s="11">
        <f t="shared" si="27"/>
        <v>8</v>
      </c>
      <c r="AB63" s="11">
        <f t="shared" si="28"/>
        <v>12</v>
      </c>
      <c r="AC63" s="11">
        <f t="shared" si="29"/>
        <v>5</v>
      </c>
      <c r="AD63" s="11">
        <v>1</v>
      </c>
      <c r="AE63" s="11">
        <v>3</v>
      </c>
      <c r="AF63" s="11">
        <v>5</v>
      </c>
      <c r="AG63" s="11">
        <v>9</v>
      </c>
      <c r="AH63" s="11">
        <v>17</v>
      </c>
      <c r="AI63" s="10">
        <v>17</v>
      </c>
      <c r="AJ63" s="11">
        <v>18</v>
      </c>
      <c r="AK63" s="11">
        <v>18</v>
      </c>
      <c r="AL63" s="11">
        <f t="shared" si="30"/>
        <v>19</v>
      </c>
    </row>
    <row r="64" spans="1:38" x14ac:dyDescent="0.2">
      <c r="A64" s="21" t="s">
        <v>188</v>
      </c>
      <c r="B64" s="4">
        <v>93</v>
      </c>
      <c r="C64" s="4">
        <v>382</v>
      </c>
      <c r="D64" s="4">
        <v>419</v>
      </c>
      <c r="E64" s="4">
        <v>113</v>
      </c>
      <c r="F64" s="4">
        <v>83</v>
      </c>
      <c r="G64" s="4">
        <v>20</v>
      </c>
      <c r="H64" s="4">
        <v>0</v>
      </c>
      <c r="I64" s="4">
        <v>10</v>
      </c>
      <c r="J64" s="9">
        <f t="shared" si="25"/>
        <v>17</v>
      </c>
      <c r="K64" s="4">
        <v>37</v>
      </c>
      <c r="L64" s="4">
        <v>47</v>
      </c>
      <c r="M64" s="4">
        <v>153</v>
      </c>
      <c r="N64" s="4">
        <v>111</v>
      </c>
      <c r="O64" s="7">
        <v>0.29599999999999999</v>
      </c>
      <c r="P64" s="7">
        <v>0.35299999999999998</v>
      </c>
      <c r="Q64" s="4">
        <v>15</v>
      </c>
      <c r="R64" s="9">
        <f t="shared" si="26"/>
        <v>26</v>
      </c>
      <c r="S64" s="4" t="s">
        <v>150</v>
      </c>
      <c r="T64" s="4"/>
      <c r="U64" s="10" t="s">
        <v>32</v>
      </c>
      <c r="V64" s="10" t="s">
        <v>37</v>
      </c>
      <c r="W64" s="10">
        <v>2</v>
      </c>
      <c r="X64" s="10"/>
      <c r="Y64" s="10"/>
      <c r="Z64" s="10" t="s">
        <v>38</v>
      </c>
      <c r="AA64" s="11">
        <f t="shared" si="27"/>
        <v>19</v>
      </c>
      <c r="AB64" s="11">
        <f t="shared" si="28"/>
        <v>11</v>
      </c>
      <c r="AC64" s="11">
        <f t="shared" si="29"/>
        <v>6</v>
      </c>
      <c r="AD64" s="11">
        <v>1</v>
      </c>
      <c r="AE64" s="11">
        <v>4</v>
      </c>
      <c r="AF64" s="11">
        <v>6</v>
      </c>
      <c r="AG64" s="11">
        <v>9</v>
      </c>
      <c r="AH64" s="11">
        <v>16</v>
      </c>
      <c r="AI64" s="10">
        <v>17</v>
      </c>
      <c r="AJ64" s="11">
        <v>19</v>
      </c>
      <c r="AK64" s="11">
        <v>19</v>
      </c>
      <c r="AL64" s="11">
        <f t="shared" si="30"/>
        <v>20</v>
      </c>
    </row>
    <row r="65" spans="1:38" x14ac:dyDescent="0.2">
      <c r="A65" s="21" t="s">
        <v>189</v>
      </c>
      <c r="B65" s="4">
        <v>124</v>
      </c>
      <c r="C65" s="4">
        <v>348</v>
      </c>
      <c r="D65" s="4">
        <v>385</v>
      </c>
      <c r="E65" s="4">
        <v>79</v>
      </c>
      <c r="F65" s="4">
        <v>48</v>
      </c>
      <c r="G65" s="4">
        <v>12</v>
      </c>
      <c r="H65" s="4">
        <v>1</v>
      </c>
      <c r="I65" s="4">
        <v>18</v>
      </c>
      <c r="J65" s="9">
        <f t="shared" si="25"/>
        <v>24</v>
      </c>
      <c r="K65" s="4">
        <v>38</v>
      </c>
      <c r="L65" s="4">
        <v>138</v>
      </c>
      <c r="M65" s="4">
        <v>96</v>
      </c>
      <c r="N65" s="4">
        <v>78</v>
      </c>
      <c r="O65" s="7">
        <v>0.22700000000000001</v>
      </c>
      <c r="P65" s="7">
        <v>0.29599999999999999</v>
      </c>
      <c r="Q65" s="4">
        <v>0</v>
      </c>
      <c r="R65" s="9">
        <f t="shared" si="26"/>
        <v>0</v>
      </c>
      <c r="S65" s="4" t="s">
        <v>150</v>
      </c>
      <c r="T65" s="4"/>
      <c r="U65" s="10" t="s">
        <v>32</v>
      </c>
      <c r="V65" s="10" t="s">
        <v>7</v>
      </c>
      <c r="W65" s="10">
        <v>0</v>
      </c>
      <c r="X65" s="10"/>
      <c r="Y65" s="10"/>
      <c r="Z65" s="10" t="s">
        <v>42</v>
      </c>
      <c r="AA65" s="11">
        <f t="shared" si="27"/>
        <v>8</v>
      </c>
      <c r="AB65" s="11">
        <f t="shared" si="28"/>
        <v>9</v>
      </c>
      <c r="AC65" s="11">
        <f t="shared" si="29"/>
        <v>7</v>
      </c>
      <c r="AD65" s="11">
        <v>3</v>
      </c>
      <c r="AE65" s="11">
        <v>5</v>
      </c>
      <c r="AF65" s="11">
        <v>7</v>
      </c>
      <c r="AG65" s="11">
        <v>11</v>
      </c>
      <c r="AH65" s="11">
        <v>16</v>
      </c>
      <c r="AI65" s="10">
        <v>16</v>
      </c>
      <c r="AJ65" s="11">
        <v>18</v>
      </c>
      <c r="AK65" s="11">
        <v>18</v>
      </c>
      <c r="AL65" s="11">
        <f t="shared" si="30"/>
        <v>19</v>
      </c>
    </row>
    <row r="66" spans="1:38" x14ac:dyDescent="0.2">
      <c r="A66" s="21" t="s">
        <v>190</v>
      </c>
      <c r="B66" s="4">
        <v>118</v>
      </c>
      <c r="C66" s="4">
        <v>417</v>
      </c>
      <c r="D66" s="4">
        <v>458</v>
      </c>
      <c r="E66" s="4">
        <v>115</v>
      </c>
      <c r="F66" s="4">
        <v>66</v>
      </c>
      <c r="G66" s="4">
        <v>26</v>
      </c>
      <c r="H66" s="4">
        <v>1</v>
      </c>
      <c r="I66" s="4">
        <v>22</v>
      </c>
      <c r="J66" s="9">
        <f t="shared" si="25"/>
        <v>30</v>
      </c>
      <c r="K66" s="4">
        <v>40</v>
      </c>
      <c r="L66" s="4">
        <v>135</v>
      </c>
      <c r="M66" s="4">
        <v>93</v>
      </c>
      <c r="N66" s="4">
        <v>127</v>
      </c>
      <c r="O66" s="7">
        <v>0.27600000000000002</v>
      </c>
      <c r="P66" s="7">
        <v>0.33800000000000002</v>
      </c>
      <c r="Q66" s="4">
        <v>0</v>
      </c>
      <c r="R66" s="9">
        <f t="shared" si="26"/>
        <v>0</v>
      </c>
      <c r="S66" s="4" t="s">
        <v>150</v>
      </c>
      <c r="T66" s="4"/>
      <c r="U66" s="10" t="s">
        <v>32</v>
      </c>
      <c r="V66" s="10" t="s">
        <v>45</v>
      </c>
      <c r="W66" s="10">
        <v>2</v>
      </c>
      <c r="X66" s="10"/>
      <c r="Y66" s="10"/>
      <c r="Z66" s="10" t="s">
        <v>42</v>
      </c>
      <c r="AA66" s="11">
        <f t="shared" si="27"/>
        <v>8</v>
      </c>
      <c r="AB66" s="11">
        <f t="shared" si="28"/>
        <v>10</v>
      </c>
      <c r="AC66" s="11">
        <f t="shared" si="29"/>
        <v>6</v>
      </c>
      <c r="AD66" s="11">
        <v>2</v>
      </c>
      <c r="AE66" s="11">
        <v>4</v>
      </c>
      <c r="AF66" s="11">
        <v>6</v>
      </c>
      <c r="AG66" s="11">
        <v>9</v>
      </c>
      <c r="AH66" s="11">
        <v>15</v>
      </c>
      <c r="AI66" s="10">
        <v>15</v>
      </c>
      <c r="AJ66" s="11">
        <v>17</v>
      </c>
      <c r="AK66" s="11">
        <v>17</v>
      </c>
      <c r="AL66" s="11">
        <f t="shared" si="30"/>
        <v>18</v>
      </c>
    </row>
    <row r="67" spans="1:38" x14ac:dyDescent="0.2">
      <c r="A67" s="21" t="s">
        <v>191</v>
      </c>
      <c r="B67" s="4">
        <v>143</v>
      </c>
      <c r="C67" s="4">
        <v>465</v>
      </c>
      <c r="D67" s="4">
        <v>521</v>
      </c>
      <c r="E67" s="4">
        <v>134</v>
      </c>
      <c r="F67" s="4">
        <v>84</v>
      </c>
      <c r="G67" s="4">
        <v>26</v>
      </c>
      <c r="H67" s="4">
        <v>1</v>
      </c>
      <c r="I67" s="4">
        <v>23</v>
      </c>
      <c r="J67" s="9">
        <f t="shared" si="25"/>
        <v>26</v>
      </c>
      <c r="K67" s="4">
        <v>57</v>
      </c>
      <c r="L67" s="4">
        <v>103</v>
      </c>
      <c r="M67" s="4">
        <v>168</v>
      </c>
      <c r="N67" s="4">
        <v>120</v>
      </c>
      <c r="O67" s="7">
        <v>0.28799999999999998</v>
      </c>
      <c r="P67" s="7">
        <v>0.35699999999999998</v>
      </c>
      <c r="Q67" s="4">
        <v>1</v>
      </c>
      <c r="R67" s="9">
        <f t="shared" si="26"/>
        <v>1</v>
      </c>
      <c r="S67" s="4" t="s">
        <v>150</v>
      </c>
      <c r="T67" s="4"/>
      <c r="U67" s="10" t="s">
        <v>32</v>
      </c>
      <c r="V67" s="10" t="s">
        <v>5</v>
      </c>
      <c r="W67" s="10">
        <v>0</v>
      </c>
      <c r="X67" s="10"/>
      <c r="Y67" s="10"/>
      <c r="Z67" s="10" t="s">
        <v>42</v>
      </c>
      <c r="AA67" s="11">
        <f t="shared" si="27"/>
        <v>9</v>
      </c>
      <c r="AB67" s="11">
        <f t="shared" si="28"/>
        <v>11</v>
      </c>
      <c r="AC67" s="11">
        <f t="shared" si="29"/>
        <v>6</v>
      </c>
      <c r="AD67" s="11">
        <v>1</v>
      </c>
      <c r="AE67" s="11">
        <v>4</v>
      </c>
      <c r="AF67" s="11">
        <v>6</v>
      </c>
      <c r="AG67" s="11">
        <v>10</v>
      </c>
      <c r="AH67" s="11">
        <v>16</v>
      </c>
      <c r="AI67" s="10">
        <v>16</v>
      </c>
      <c r="AJ67" s="11">
        <v>18</v>
      </c>
      <c r="AK67" s="11">
        <v>18</v>
      </c>
      <c r="AL67" s="11">
        <f t="shared" si="30"/>
        <v>19</v>
      </c>
    </row>
    <row r="68" spans="1:38" x14ac:dyDescent="0.2">
      <c r="A68" s="22" t="s">
        <v>192</v>
      </c>
      <c r="B68" s="4">
        <v>29</v>
      </c>
      <c r="C68" s="4">
        <v>71</v>
      </c>
      <c r="D68" s="4">
        <v>76</v>
      </c>
      <c r="E68" s="4">
        <v>13</v>
      </c>
      <c r="F68" s="4">
        <v>8</v>
      </c>
      <c r="G68" s="4">
        <v>3</v>
      </c>
      <c r="H68" s="4">
        <v>0</v>
      </c>
      <c r="I68" s="4">
        <v>2</v>
      </c>
      <c r="J68" s="9">
        <f t="shared" si="25"/>
        <v>11</v>
      </c>
      <c r="K68" s="4">
        <v>4</v>
      </c>
      <c r="L68" s="4">
        <v>17</v>
      </c>
      <c r="M68" s="4">
        <v>28</v>
      </c>
      <c r="N68" s="4">
        <v>19</v>
      </c>
      <c r="O68" s="7">
        <v>0.183</v>
      </c>
      <c r="P68" s="7">
        <v>0.22700000000000001</v>
      </c>
      <c r="Q68" s="4">
        <v>1</v>
      </c>
      <c r="R68" s="9">
        <f t="shared" si="26"/>
        <v>6</v>
      </c>
      <c r="S68" s="4" t="s">
        <v>150</v>
      </c>
      <c r="T68" s="4">
        <v>20</v>
      </c>
      <c r="U68" s="10" t="s">
        <v>32</v>
      </c>
      <c r="V68" s="10" t="s">
        <v>6</v>
      </c>
      <c r="W68" s="10">
        <v>3</v>
      </c>
      <c r="X68" s="10"/>
      <c r="Y68" s="10"/>
      <c r="Z68" s="10" t="s">
        <v>33</v>
      </c>
      <c r="AA68" s="11">
        <f t="shared" si="27"/>
        <v>13</v>
      </c>
      <c r="AB68" s="11">
        <f t="shared" si="28"/>
        <v>9</v>
      </c>
      <c r="AC68" s="11">
        <f t="shared" si="29"/>
        <v>8</v>
      </c>
      <c r="AD68" s="11">
        <v>2</v>
      </c>
      <c r="AE68" s="11">
        <v>6</v>
      </c>
      <c r="AF68" s="11">
        <v>8</v>
      </c>
      <c r="AG68" s="11">
        <v>11</v>
      </c>
      <c r="AH68" s="11">
        <v>16</v>
      </c>
      <c r="AI68" s="10">
        <v>17</v>
      </c>
      <c r="AJ68" s="11">
        <v>19</v>
      </c>
      <c r="AK68" s="11">
        <v>19</v>
      </c>
      <c r="AL68" s="11">
        <f t="shared" si="30"/>
        <v>20</v>
      </c>
    </row>
    <row r="69" spans="1:38" x14ac:dyDescent="0.2">
      <c r="A69" s="22" t="s">
        <v>193</v>
      </c>
      <c r="B69" s="4">
        <v>34</v>
      </c>
      <c r="C69" s="4">
        <v>119</v>
      </c>
      <c r="D69" s="4">
        <v>121</v>
      </c>
      <c r="E69" s="4">
        <v>30</v>
      </c>
      <c r="F69" s="4">
        <v>23</v>
      </c>
      <c r="G69" s="4">
        <v>5</v>
      </c>
      <c r="H69" s="4">
        <v>0</v>
      </c>
      <c r="I69" s="4">
        <v>2</v>
      </c>
      <c r="J69" s="9">
        <f t="shared" si="25"/>
        <v>10</v>
      </c>
      <c r="K69" s="4">
        <v>2</v>
      </c>
      <c r="L69" s="4">
        <v>28</v>
      </c>
      <c r="M69" s="4">
        <v>50</v>
      </c>
      <c r="N69" s="4">
        <v>22</v>
      </c>
      <c r="O69" s="7">
        <v>0.252</v>
      </c>
      <c r="P69" s="7">
        <v>0.26400000000000001</v>
      </c>
      <c r="Q69" s="4">
        <v>0</v>
      </c>
      <c r="R69" s="9">
        <f t="shared" si="26"/>
        <v>0</v>
      </c>
      <c r="S69" s="4" t="s">
        <v>150</v>
      </c>
      <c r="T69" s="4"/>
      <c r="U69" s="10" t="s">
        <v>32</v>
      </c>
      <c r="V69" s="10" t="s">
        <v>6</v>
      </c>
      <c r="W69" s="10">
        <v>3</v>
      </c>
      <c r="X69" s="10"/>
      <c r="Y69" s="10"/>
      <c r="Z69" s="10" t="s">
        <v>42</v>
      </c>
      <c r="AA69" s="11">
        <f t="shared" si="27"/>
        <v>8</v>
      </c>
      <c r="AB69" s="11">
        <f t="shared" si="28"/>
        <v>9</v>
      </c>
      <c r="AC69" s="11">
        <f t="shared" si="29"/>
        <v>6</v>
      </c>
      <c r="AD69" s="11">
        <v>2</v>
      </c>
      <c r="AE69" s="11">
        <v>5</v>
      </c>
      <c r="AF69" s="11">
        <v>6</v>
      </c>
      <c r="AG69" s="11">
        <v>7</v>
      </c>
      <c r="AH69" s="11">
        <v>17</v>
      </c>
      <c r="AI69" s="10">
        <v>17</v>
      </c>
      <c r="AJ69" s="11">
        <v>19</v>
      </c>
      <c r="AK69" s="11">
        <v>19</v>
      </c>
      <c r="AL69" s="11">
        <f t="shared" si="30"/>
        <v>20</v>
      </c>
    </row>
    <row r="70" spans="1:38" x14ac:dyDescent="0.2">
      <c r="A70" s="22" t="s">
        <v>196</v>
      </c>
      <c r="B70" s="4">
        <v>36</v>
      </c>
      <c r="C70" s="4">
        <v>102</v>
      </c>
      <c r="D70" s="4">
        <v>110</v>
      </c>
      <c r="E70" s="4">
        <v>21</v>
      </c>
      <c r="F70" s="4">
        <v>14</v>
      </c>
      <c r="G70" s="4">
        <v>4</v>
      </c>
      <c r="H70" s="4">
        <v>0</v>
      </c>
      <c r="I70" s="4">
        <v>3</v>
      </c>
      <c r="J70" s="9">
        <f t="shared" si="25"/>
        <v>14</v>
      </c>
      <c r="K70" s="4">
        <v>6</v>
      </c>
      <c r="L70" s="4">
        <v>29</v>
      </c>
      <c r="M70" s="4">
        <v>26</v>
      </c>
      <c r="N70" s="4">
        <v>34</v>
      </c>
      <c r="O70" s="7">
        <v>0.20599999999999999</v>
      </c>
      <c r="P70" s="7">
        <v>0.25</v>
      </c>
      <c r="Q70" s="4">
        <v>0</v>
      </c>
      <c r="R70" s="9">
        <f t="shared" si="26"/>
        <v>0</v>
      </c>
      <c r="S70" s="4" t="s">
        <v>150</v>
      </c>
      <c r="T70" s="4"/>
      <c r="U70" s="10" t="s">
        <v>32</v>
      </c>
      <c r="V70" s="10" t="s">
        <v>41</v>
      </c>
      <c r="W70" s="10">
        <v>2</v>
      </c>
      <c r="X70" s="10"/>
      <c r="Y70" s="10"/>
      <c r="Z70" s="10" t="s">
        <v>33</v>
      </c>
      <c r="AA70" s="11">
        <f t="shared" si="27"/>
        <v>8</v>
      </c>
      <c r="AB70" s="11">
        <f t="shared" si="28"/>
        <v>9</v>
      </c>
      <c r="AC70" s="11">
        <f t="shared" si="29"/>
        <v>7</v>
      </c>
      <c r="AD70" s="11">
        <v>2</v>
      </c>
      <c r="AE70" s="11">
        <v>4</v>
      </c>
      <c r="AF70" s="11">
        <v>7</v>
      </c>
      <c r="AG70" s="11">
        <v>10</v>
      </c>
      <c r="AH70" s="11">
        <v>17</v>
      </c>
      <c r="AI70" s="10">
        <v>17</v>
      </c>
      <c r="AJ70" s="11">
        <v>19</v>
      </c>
      <c r="AK70" s="11">
        <v>19</v>
      </c>
      <c r="AL70" s="11">
        <f t="shared" si="30"/>
        <v>20</v>
      </c>
    </row>
    <row r="71" spans="1:38" x14ac:dyDescent="0.2">
      <c r="A71" s="22" t="s">
        <v>209</v>
      </c>
      <c r="B71" s="4">
        <v>68</v>
      </c>
      <c r="C71" s="4">
        <v>197</v>
      </c>
      <c r="D71" s="4">
        <v>218</v>
      </c>
      <c r="E71" s="4">
        <v>42</v>
      </c>
      <c r="F71" s="4">
        <v>26</v>
      </c>
      <c r="G71" s="4">
        <v>7</v>
      </c>
      <c r="H71" s="4">
        <v>0</v>
      </c>
      <c r="I71" s="4">
        <v>9</v>
      </c>
      <c r="J71" s="9">
        <f t="shared" si="25"/>
        <v>21</v>
      </c>
      <c r="K71" s="4">
        <v>23</v>
      </c>
      <c r="L71" s="4">
        <v>45</v>
      </c>
      <c r="M71" s="4">
        <v>68</v>
      </c>
      <c r="N71" s="4">
        <v>64</v>
      </c>
      <c r="O71" s="7">
        <v>0.21299999999999999</v>
      </c>
      <c r="P71" s="7">
        <v>0.28000000000000003</v>
      </c>
      <c r="Q71" s="4">
        <v>0</v>
      </c>
      <c r="R71" s="9">
        <f t="shared" si="26"/>
        <v>0</v>
      </c>
      <c r="S71" s="4" t="s">
        <v>150</v>
      </c>
      <c r="T71" s="4"/>
      <c r="U71" s="10" t="s">
        <v>32</v>
      </c>
      <c r="V71" s="10" t="s">
        <v>32</v>
      </c>
      <c r="W71" s="10">
        <v>4</v>
      </c>
      <c r="X71" s="10"/>
      <c r="Y71" s="10"/>
      <c r="Z71" s="10" t="s">
        <v>33</v>
      </c>
      <c r="AA71" s="11">
        <f t="shared" si="27"/>
        <v>8</v>
      </c>
      <c r="AB71" s="11">
        <f t="shared" si="28"/>
        <v>9</v>
      </c>
      <c r="AC71" s="11">
        <f t="shared" si="29"/>
        <v>7</v>
      </c>
      <c r="AD71" s="11">
        <v>2</v>
      </c>
      <c r="AE71" s="11">
        <v>5</v>
      </c>
      <c r="AF71" s="11">
        <v>7</v>
      </c>
      <c r="AG71" s="11">
        <v>12</v>
      </c>
      <c r="AH71" s="11">
        <v>17</v>
      </c>
      <c r="AI71" s="10">
        <v>17</v>
      </c>
      <c r="AJ71" s="11">
        <v>18</v>
      </c>
      <c r="AK71" s="11">
        <v>18</v>
      </c>
      <c r="AL71" s="11">
        <f t="shared" si="30"/>
        <v>19</v>
      </c>
    </row>
    <row r="72" spans="1:38" x14ac:dyDescent="0.2">
      <c r="A72" s="22" t="s">
        <v>194</v>
      </c>
      <c r="B72" s="4">
        <v>52</v>
      </c>
      <c r="C72" s="4">
        <v>147</v>
      </c>
      <c r="D72" s="4">
        <v>153</v>
      </c>
      <c r="E72" s="4">
        <v>38</v>
      </c>
      <c r="F72" s="4">
        <v>25</v>
      </c>
      <c r="G72" s="4">
        <v>6</v>
      </c>
      <c r="H72" s="4">
        <v>5</v>
      </c>
      <c r="I72" s="4">
        <v>2</v>
      </c>
      <c r="J72" s="9">
        <f t="shared" si="25"/>
        <v>6</v>
      </c>
      <c r="K72" s="4">
        <v>5</v>
      </c>
      <c r="L72" s="4">
        <v>37</v>
      </c>
      <c r="M72" s="4">
        <v>55</v>
      </c>
      <c r="N72" s="4">
        <v>27</v>
      </c>
      <c r="O72" s="7">
        <v>0.25900000000000001</v>
      </c>
      <c r="P72" s="7">
        <v>0.28299999999999997</v>
      </c>
      <c r="Q72" s="4">
        <v>4</v>
      </c>
      <c r="R72" s="9">
        <f t="shared" si="26"/>
        <v>12</v>
      </c>
      <c r="S72" s="4" t="s">
        <v>150</v>
      </c>
      <c r="T72" s="4"/>
      <c r="U72" s="10" t="s">
        <v>32</v>
      </c>
      <c r="V72" s="10" t="s">
        <v>56</v>
      </c>
      <c r="W72" s="10">
        <v>1</v>
      </c>
      <c r="X72" s="10"/>
      <c r="Y72" s="10"/>
      <c r="Z72" s="10" t="s">
        <v>42</v>
      </c>
      <c r="AA72" s="11">
        <f t="shared" si="27"/>
        <v>16</v>
      </c>
      <c r="AB72" s="11">
        <f t="shared" si="28"/>
        <v>9</v>
      </c>
      <c r="AC72" s="11">
        <f t="shared" si="29"/>
        <v>6</v>
      </c>
      <c r="AD72" s="11">
        <v>2</v>
      </c>
      <c r="AE72" s="11">
        <v>5</v>
      </c>
      <c r="AF72" s="11">
        <v>6</v>
      </c>
      <c r="AG72" s="11">
        <v>8</v>
      </c>
      <c r="AH72" s="11">
        <v>16</v>
      </c>
      <c r="AI72" s="10">
        <v>16</v>
      </c>
      <c r="AJ72" s="11">
        <v>18</v>
      </c>
      <c r="AK72" s="11">
        <v>20</v>
      </c>
      <c r="AL72" s="11">
        <f t="shared" si="30"/>
        <v>21</v>
      </c>
    </row>
    <row r="73" spans="1:38" x14ac:dyDescent="0.2">
      <c r="A73" s="22" t="s">
        <v>292</v>
      </c>
      <c r="B73" s="4">
        <v>147</v>
      </c>
      <c r="C73" s="4">
        <v>551</v>
      </c>
      <c r="D73" s="4">
        <v>629</v>
      </c>
      <c r="E73" s="4">
        <v>176</v>
      </c>
      <c r="F73" s="4">
        <v>124</v>
      </c>
      <c r="G73" s="4">
        <v>27</v>
      </c>
      <c r="H73" s="4">
        <v>2</v>
      </c>
      <c r="I73" s="4">
        <v>23</v>
      </c>
      <c r="J73" s="9">
        <f t="shared" si="25"/>
        <v>25</v>
      </c>
      <c r="K73" s="4">
        <v>83</v>
      </c>
      <c r="L73" s="4">
        <v>121</v>
      </c>
      <c r="M73" s="4">
        <v>166</v>
      </c>
      <c r="N73" s="4">
        <v>153</v>
      </c>
      <c r="O73" s="7">
        <v>0.31900000000000001</v>
      </c>
      <c r="P73" s="7">
        <v>0.39600000000000002</v>
      </c>
      <c r="Q73" s="4">
        <v>1</v>
      </c>
      <c r="R73" s="9">
        <f t="shared" si="26"/>
        <v>1</v>
      </c>
      <c r="S73" s="4" t="s">
        <v>151</v>
      </c>
      <c r="T73" s="4"/>
      <c r="U73" s="10" t="s">
        <v>44</v>
      </c>
      <c r="V73" s="10" t="s">
        <v>5</v>
      </c>
      <c r="W73" s="10">
        <v>1</v>
      </c>
      <c r="X73" s="10"/>
      <c r="Y73" s="10"/>
      <c r="Z73" s="10" t="s">
        <v>42</v>
      </c>
      <c r="AA73" s="11">
        <f t="shared" si="27"/>
        <v>9</v>
      </c>
      <c r="AB73" s="11">
        <f t="shared" si="28"/>
        <v>13</v>
      </c>
      <c r="AC73" s="11">
        <f t="shared" si="29"/>
        <v>5</v>
      </c>
      <c r="AD73" s="11">
        <v>1</v>
      </c>
      <c r="AE73" s="11">
        <v>3</v>
      </c>
      <c r="AF73" s="11">
        <v>5</v>
      </c>
      <c r="AG73" s="11">
        <v>9</v>
      </c>
      <c r="AH73" s="11">
        <v>16</v>
      </c>
      <c r="AI73" s="10">
        <v>16</v>
      </c>
      <c r="AJ73" s="11">
        <v>18</v>
      </c>
      <c r="AK73" s="11">
        <v>18</v>
      </c>
      <c r="AL73" s="11">
        <f t="shared" si="30"/>
        <v>19</v>
      </c>
    </row>
    <row r="74" spans="1:38" x14ac:dyDescent="0.2">
      <c r="A74" s="22" t="s">
        <v>279</v>
      </c>
      <c r="B74" s="4">
        <v>142</v>
      </c>
      <c r="C74" s="4">
        <v>514</v>
      </c>
      <c r="D74" s="4">
        <v>547</v>
      </c>
      <c r="E74" s="4">
        <v>165</v>
      </c>
      <c r="F74" s="4">
        <v>119</v>
      </c>
      <c r="G74" s="4">
        <v>34</v>
      </c>
      <c r="H74" s="4">
        <v>0</v>
      </c>
      <c r="I74" s="4">
        <v>12</v>
      </c>
      <c r="J74" s="9">
        <f t="shared" si="25"/>
        <v>14</v>
      </c>
      <c r="K74" s="4">
        <v>36</v>
      </c>
      <c r="L74" s="4">
        <v>116</v>
      </c>
      <c r="M74" s="4">
        <v>182</v>
      </c>
      <c r="N74" s="4">
        <v>110</v>
      </c>
      <c r="O74" s="7">
        <v>0.32100000000000001</v>
      </c>
      <c r="P74" s="7">
        <v>0.35799999999999998</v>
      </c>
      <c r="Q74" s="4">
        <v>0</v>
      </c>
      <c r="R74" s="9">
        <f t="shared" si="26"/>
        <v>0</v>
      </c>
      <c r="S74" s="4" t="s">
        <v>151</v>
      </c>
      <c r="T74" s="4"/>
      <c r="U74" s="10" t="s">
        <v>32</v>
      </c>
      <c r="V74" s="10" t="s">
        <v>7</v>
      </c>
      <c r="W74" s="10">
        <v>1</v>
      </c>
      <c r="X74" s="10" t="s">
        <v>5</v>
      </c>
      <c r="Y74" s="10">
        <v>0</v>
      </c>
      <c r="Z74" s="10" t="s">
        <v>33</v>
      </c>
      <c r="AA74" s="11">
        <f t="shared" si="27"/>
        <v>8</v>
      </c>
      <c r="AB74" s="11">
        <f t="shared" si="28"/>
        <v>11</v>
      </c>
      <c r="AC74" s="11">
        <f t="shared" si="29"/>
        <v>5</v>
      </c>
      <c r="AD74" s="11">
        <v>1</v>
      </c>
      <c r="AE74" s="11">
        <v>4</v>
      </c>
      <c r="AF74" s="11">
        <v>5</v>
      </c>
      <c r="AG74" s="11">
        <v>8</v>
      </c>
      <c r="AH74" s="11">
        <v>17</v>
      </c>
      <c r="AI74" s="10">
        <v>17</v>
      </c>
      <c r="AJ74" s="11">
        <v>19</v>
      </c>
      <c r="AK74" s="11">
        <v>19</v>
      </c>
      <c r="AL74" s="11">
        <f t="shared" si="30"/>
        <v>20</v>
      </c>
    </row>
    <row r="75" spans="1:38" x14ac:dyDescent="0.2">
      <c r="A75" s="22" t="s">
        <v>280</v>
      </c>
      <c r="B75" s="4">
        <v>104</v>
      </c>
      <c r="C75" s="4">
        <v>382</v>
      </c>
      <c r="D75" s="4">
        <v>440</v>
      </c>
      <c r="E75" s="4">
        <v>97</v>
      </c>
      <c r="F75" s="4">
        <v>60</v>
      </c>
      <c r="G75" s="4">
        <v>22</v>
      </c>
      <c r="H75" s="4">
        <v>1</v>
      </c>
      <c r="I75" s="4">
        <v>14</v>
      </c>
      <c r="J75" s="9">
        <f t="shared" si="25"/>
        <v>22</v>
      </c>
      <c r="K75" s="4">
        <v>57</v>
      </c>
      <c r="L75" s="4">
        <v>73</v>
      </c>
      <c r="M75" s="4">
        <v>135</v>
      </c>
      <c r="N75" s="4">
        <v>108</v>
      </c>
      <c r="O75" s="7">
        <v>0.254</v>
      </c>
      <c r="P75" s="7">
        <v>0.34899999999999998</v>
      </c>
      <c r="Q75" s="4">
        <v>2</v>
      </c>
      <c r="R75" s="9">
        <f t="shared" si="26"/>
        <v>3</v>
      </c>
      <c r="S75" s="4" t="s">
        <v>151</v>
      </c>
      <c r="T75" s="4"/>
      <c r="U75" s="10" t="s">
        <v>32</v>
      </c>
      <c r="V75" s="10" t="s">
        <v>45</v>
      </c>
      <c r="W75" s="10">
        <v>3</v>
      </c>
      <c r="X75" s="10" t="s">
        <v>41</v>
      </c>
      <c r="Y75" s="10">
        <v>2</v>
      </c>
      <c r="Z75" s="10" t="s">
        <v>42</v>
      </c>
      <c r="AA75" s="11">
        <f t="shared" si="27"/>
        <v>11</v>
      </c>
      <c r="AB75" s="11">
        <f t="shared" si="28"/>
        <v>11</v>
      </c>
      <c r="AC75" s="11">
        <f t="shared" si="29"/>
        <v>6</v>
      </c>
      <c r="AD75" s="11">
        <v>1</v>
      </c>
      <c r="AE75" s="11">
        <v>4</v>
      </c>
      <c r="AF75" s="11">
        <v>6</v>
      </c>
      <c r="AG75" s="11">
        <v>10</v>
      </c>
      <c r="AH75" s="11">
        <v>16</v>
      </c>
      <c r="AI75" s="10">
        <v>16</v>
      </c>
      <c r="AJ75" s="11">
        <v>18</v>
      </c>
      <c r="AK75" s="11">
        <v>18</v>
      </c>
      <c r="AL75" s="11">
        <f t="shared" si="30"/>
        <v>19</v>
      </c>
    </row>
    <row r="76" spans="1:38" x14ac:dyDescent="0.2">
      <c r="A76" s="22" t="s">
        <v>281</v>
      </c>
      <c r="B76" s="4">
        <v>149</v>
      </c>
      <c r="C76" s="4">
        <v>558</v>
      </c>
      <c r="D76" s="4">
        <v>643</v>
      </c>
      <c r="E76" s="4">
        <v>147</v>
      </c>
      <c r="F76" s="4">
        <v>91</v>
      </c>
      <c r="G76" s="4">
        <v>27</v>
      </c>
      <c r="H76" s="4">
        <v>2</v>
      </c>
      <c r="I76" s="4">
        <v>27</v>
      </c>
      <c r="J76" s="9">
        <f t="shared" si="25"/>
        <v>29</v>
      </c>
      <c r="K76" s="4">
        <v>84</v>
      </c>
      <c r="L76" s="4">
        <v>161</v>
      </c>
      <c r="M76" s="4">
        <v>163</v>
      </c>
      <c r="N76" s="4">
        <v>151</v>
      </c>
      <c r="O76" s="7">
        <v>0.26300000000000001</v>
      </c>
      <c r="P76" s="7">
        <v>0.35399999999999998</v>
      </c>
      <c r="Q76" s="4">
        <v>8</v>
      </c>
      <c r="R76" s="9">
        <f t="shared" si="26"/>
        <v>9</v>
      </c>
      <c r="S76" s="4" t="s">
        <v>151</v>
      </c>
      <c r="T76" s="4"/>
      <c r="U76" s="10" t="s">
        <v>32</v>
      </c>
      <c r="V76" s="10" t="s">
        <v>41</v>
      </c>
      <c r="W76" s="10">
        <v>2</v>
      </c>
      <c r="X76" s="10"/>
      <c r="Y76" s="10"/>
      <c r="Z76" s="10" t="s">
        <v>33</v>
      </c>
      <c r="AA76" s="11">
        <f t="shared" si="27"/>
        <v>15</v>
      </c>
      <c r="AB76" s="11">
        <f t="shared" si="28"/>
        <v>11</v>
      </c>
      <c r="AC76" s="11">
        <f t="shared" si="29"/>
        <v>6</v>
      </c>
      <c r="AD76" s="11">
        <v>2</v>
      </c>
      <c r="AE76" s="11">
        <v>4</v>
      </c>
      <c r="AF76" s="11">
        <v>6</v>
      </c>
      <c r="AG76" s="11">
        <v>10</v>
      </c>
      <c r="AH76" s="11">
        <v>15</v>
      </c>
      <c r="AI76" s="10">
        <v>15</v>
      </c>
      <c r="AJ76" s="11">
        <v>17</v>
      </c>
      <c r="AK76" s="11">
        <v>18</v>
      </c>
      <c r="AL76" s="11">
        <f t="shared" si="30"/>
        <v>19</v>
      </c>
    </row>
    <row r="77" spans="1:38" x14ac:dyDescent="0.2">
      <c r="A77" s="22" t="s">
        <v>282</v>
      </c>
      <c r="B77" s="4">
        <v>157</v>
      </c>
      <c r="C77" s="4">
        <v>606</v>
      </c>
      <c r="D77" s="4">
        <v>658</v>
      </c>
      <c r="E77" s="4">
        <v>150</v>
      </c>
      <c r="F77" s="4">
        <v>100</v>
      </c>
      <c r="G77" s="4">
        <v>27</v>
      </c>
      <c r="H77" s="4">
        <v>6</v>
      </c>
      <c r="I77" s="4">
        <v>17</v>
      </c>
      <c r="J77" s="9">
        <f t="shared" si="25"/>
        <v>18</v>
      </c>
      <c r="K77" s="4">
        <v>44</v>
      </c>
      <c r="L77" s="4">
        <v>55</v>
      </c>
      <c r="M77" s="4">
        <v>232</v>
      </c>
      <c r="N77" s="4">
        <v>214</v>
      </c>
      <c r="O77" s="7">
        <v>0.248</v>
      </c>
      <c r="P77" s="7">
        <v>0.29599999999999999</v>
      </c>
      <c r="Q77" s="4">
        <v>6</v>
      </c>
      <c r="R77" s="9">
        <f t="shared" si="26"/>
        <v>6</v>
      </c>
      <c r="S77" s="4" t="s">
        <v>151</v>
      </c>
      <c r="T77" s="4"/>
      <c r="U77" s="10" t="s">
        <v>32</v>
      </c>
      <c r="V77" s="10" t="s">
        <v>37</v>
      </c>
      <c r="W77" s="10">
        <v>3</v>
      </c>
      <c r="X77" s="10"/>
      <c r="Y77" s="10"/>
      <c r="Z77" s="10" t="s">
        <v>33</v>
      </c>
      <c r="AA77" s="11">
        <f t="shared" si="27"/>
        <v>13</v>
      </c>
      <c r="AB77" s="11">
        <f t="shared" si="28"/>
        <v>9</v>
      </c>
      <c r="AC77" s="11">
        <f t="shared" si="29"/>
        <v>7</v>
      </c>
      <c r="AD77" s="11">
        <v>1</v>
      </c>
      <c r="AE77" s="11">
        <v>4</v>
      </c>
      <c r="AF77" s="11">
        <v>7</v>
      </c>
      <c r="AG77" s="11">
        <v>10</v>
      </c>
      <c r="AH77" s="11">
        <v>15</v>
      </c>
      <c r="AI77" s="10">
        <v>15</v>
      </c>
      <c r="AJ77" s="11">
        <v>17</v>
      </c>
      <c r="AK77" s="11">
        <v>19</v>
      </c>
      <c r="AL77" s="11">
        <f t="shared" si="30"/>
        <v>20</v>
      </c>
    </row>
    <row r="78" spans="1:38" x14ac:dyDescent="0.2">
      <c r="A78" s="22" t="s">
        <v>283</v>
      </c>
      <c r="B78" s="4">
        <v>126</v>
      </c>
      <c r="C78" s="4">
        <v>391</v>
      </c>
      <c r="D78" s="4">
        <v>446</v>
      </c>
      <c r="E78" s="4">
        <v>72</v>
      </c>
      <c r="F78" s="4">
        <v>49</v>
      </c>
      <c r="G78" s="4">
        <v>14</v>
      </c>
      <c r="H78" s="4">
        <v>0</v>
      </c>
      <c r="I78" s="4">
        <v>9</v>
      </c>
      <c r="J78" s="9">
        <f t="shared" si="25"/>
        <v>12</v>
      </c>
      <c r="K78" s="4">
        <v>49</v>
      </c>
      <c r="L78" s="4">
        <v>151</v>
      </c>
      <c r="M78" s="4">
        <v>110</v>
      </c>
      <c r="N78" s="4">
        <v>88</v>
      </c>
      <c r="O78" s="7">
        <v>0.184</v>
      </c>
      <c r="P78" s="7">
        <v>0.26800000000000002</v>
      </c>
      <c r="Q78" s="4">
        <v>12</v>
      </c>
      <c r="R78" s="9">
        <f t="shared" si="26"/>
        <v>15</v>
      </c>
      <c r="S78" s="4" t="s">
        <v>151</v>
      </c>
      <c r="T78" s="4"/>
      <c r="U78" s="10" t="s">
        <v>32</v>
      </c>
      <c r="V78" s="10" t="s">
        <v>45</v>
      </c>
      <c r="W78" s="10">
        <v>2</v>
      </c>
      <c r="X78" s="10"/>
      <c r="Y78" s="10"/>
      <c r="Z78" s="10" t="s">
        <v>33</v>
      </c>
      <c r="AA78" s="11">
        <f t="shared" si="27"/>
        <v>16</v>
      </c>
      <c r="AB78" s="11">
        <f t="shared" si="28"/>
        <v>9</v>
      </c>
      <c r="AC78" s="11">
        <f t="shared" si="29"/>
        <v>8</v>
      </c>
      <c r="AD78" s="11">
        <v>3</v>
      </c>
      <c r="AE78" s="11">
        <v>6</v>
      </c>
      <c r="AF78" s="11">
        <v>8</v>
      </c>
      <c r="AG78" s="11">
        <v>13</v>
      </c>
      <c r="AH78" s="11">
        <v>17</v>
      </c>
      <c r="AI78" s="10">
        <v>18</v>
      </c>
      <c r="AJ78" s="11">
        <v>19</v>
      </c>
      <c r="AK78" s="11">
        <v>19</v>
      </c>
      <c r="AL78" s="11">
        <f t="shared" si="30"/>
        <v>20</v>
      </c>
    </row>
    <row r="79" spans="1:38" x14ac:dyDescent="0.2">
      <c r="A79" s="22" t="s">
        <v>284</v>
      </c>
      <c r="B79" s="4">
        <v>105</v>
      </c>
      <c r="C79" s="4">
        <v>354</v>
      </c>
      <c r="D79" s="4">
        <v>382</v>
      </c>
      <c r="E79" s="4">
        <v>86</v>
      </c>
      <c r="F79" s="4">
        <v>44</v>
      </c>
      <c r="G79" s="4">
        <v>21</v>
      </c>
      <c r="H79" s="4">
        <v>0</v>
      </c>
      <c r="I79" s="4">
        <v>21</v>
      </c>
      <c r="J79" s="9">
        <f t="shared" si="25"/>
        <v>32</v>
      </c>
      <c r="K79" s="4">
        <v>29</v>
      </c>
      <c r="L79" s="4">
        <v>81</v>
      </c>
      <c r="M79" s="4">
        <v>113</v>
      </c>
      <c r="N79" s="4">
        <v>123</v>
      </c>
      <c r="O79" s="7">
        <v>0.24299999999999999</v>
      </c>
      <c r="P79" s="7">
        <v>0.29099999999999998</v>
      </c>
      <c r="Q79" s="4">
        <v>0</v>
      </c>
      <c r="R79" s="9">
        <f t="shared" si="26"/>
        <v>0</v>
      </c>
      <c r="S79" s="4" t="s">
        <v>151</v>
      </c>
      <c r="T79" s="4"/>
      <c r="U79" s="10" t="s">
        <v>32</v>
      </c>
      <c r="V79" s="10" t="s">
        <v>32</v>
      </c>
      <c r="W79" s="10">
        <v>7</v>
      </c>
      <c r="X79" s="10" t="s">
        <v>41</v>
      </c>
      <c r="Y79" s="10">
        <v>0</v>
      </c>
      <c r="Z79" s="10" t="s">
        <v>33</v>
      </c>
      <c r="AA79" s="11">
        <f t="shared" si="27"/>
        <v>8</v>
      </c>
      <c r="AB79" s="11">
        <f t="shared" si="28"/>
        <v>9</v>
      </c>
      <c r="AC79" s="11">
        <f t="shared" si="29"/>
        <v>7</v>
      </c>
      <c r="AD79" s="11">
        <v>2</v>
      </c>
      <c r="AE79" s="11">
        <v>4</v>
      </c>
      <c r="AF79" s="11">
        <v>7</v>
      </c>
      <c r="AG79" s="11">
        <v>10</v>
      </c>
      <c r="AH79" s="11">
        <v>15</v>
      </c>
      <c r="AI79" s="10">
        <v>15</v>
      </c>
      <c r="AJ79" s="11">
        <v>17</v>
      </c>
      <c r="AK79" s="11">
        <v>17</v>
      </c>
      <c r="AL79" s="11">
        <f t="shared" si="30"/>
        <v>18</v>
      </c>
    </row>
    <row r="80" spans="1:38" x14ac:dyDescent="0.2">
      <c r="A80" s="22" t="s">
        <v>285</v>
      </c>
      <c r="B80" s="4">
        <v>135</v>
      </c>
      <c r="C80" s="4">
        <v>485</v>
      </c>
      <c r="D80" s="4">
        <v>538</v>
      </c>
      <c r="E80" s="4">
        <v>120</v>
      </c>
      <c r="F80" s="4">
        <v>77</v>
      </c>
      <c r="G80" s="4">
        <v>28</v>
      </c>
      <c r="H80" s="4">
        <v>1</v>
      </c>
      <c r="I80" s="4">
        <v>14</v>
      </c>
      <c r="J80" s="9">
        <f t="shared" si="25"/>
        <v>17</v>
      </c>
      <c r="K80" s="4">
        <v>53</v>
      </c>
      <c r="L80" s="4">
        <v>99</v>
      </c>
      <c r="M80" s="4">
        <v>185</v>
      </c>
      <c r="N80" s="4">
        <v>129</v>
      </c>
      <c r="O80" s="7">
        <v>0.247</v>
      </c>
      <c r="P80" s="7">
        <v>0.314</v>
      </c>
      <c r="Q80" s="4">
        <v>1</v>
      </c>
      <c r="R80" s="9">
        <f t="shared" si="26"/>
        <v>1</v>
      </c>
      <c r="S80" s="4" t="s">
        <v>151</v>
      </c>
      <c r="T80" s="4"/>
      <c r="U80" s="10" t="s">
        <v>32</v>
      </c>
      <c r="V80" s="10" t="s">
        <v>32</v>
      </c>
      <c r="W80" s="10">
        <v>4</v>
      </c>
      <c r="X80" s="10" t="s">
        <v>41</v>
      </c>
      <c r="Y80" s="10">
        <v>2</v>
      </c>
      <c r="Z80" s="10" t="s">
        <v>38</v>
      </c>
      <c r="AA80" s="11">
        <f t="shared" si="27"/>
        <v>9</v>
      </c>
      <c r="AB80" s="11">
        <f t="shared" si="28"/>
        <v>10</v>
      </c>
      <c r="AC80" s="11">
        <f t="shared" si="29"/>
        <v>7</v>
      </c>
      <c r="AD80" s="11">
        <v>2</v>
      </c>
      <c r="AE80" s="11">
        <v>5</v>
      </c>
      <c r="AF80" s="11">
        <v>7</v>
      </c>
      <c r="AG80" s="11">
        <v>11</v>
      </c>
      <c r="AH80" s="11">
        <v>17</v>
      </c>
      <c r="AI80" s="10">
        <v>17</v>
      </c>
      <c r="AJ80" s="11">
        <v>19</v>
      </c>
      <c r="AK80" s="11">
        <v>19</v>
      </c>
      <c r="AL80" s="11">
        <f t="shared" si="30"/>
        <v>20</v>
      </c>
    </row>
    <row r="81" spans="1:38" x14ac:dyDescent="0.2">
      <c r="A81" s="22" t="s">
        <v>286</v>
      </c>
      <c r="B81" s="4">
        <v>94</v>
      </c>
      <c r="C81" s="4">
        <v>231</v>
      </c>
      <c r="D81" s="4">
        <v>265</v>
      </c>
      <c r="E81" s="4">
        <v>57</v>
      </c>
      <c r="F81" s="4">
        <v>43</v>
      </c>
      <c r="G81" s="4">
        <v>8</v>
      </c>
      <c r="H81" s="4">
        <v>3</v>
      </c>
      <c r="I81" s="4">
        <v>3</v>
      </c>
      <c r="J81" s="9">
        <f t="shared" si="25"/>
        <v>5</v>
      </c>
      <c r="K81" s="4">
        <v>31</v>
      </c>
      <c r="L81" s="4">
        <v>73</v>
      </c>
      <c r="M81" s="4">
        <v>70</v>
      </c>
      <c r="N81" s="4">
        <v>44</v>
      </c>
      <c r="O81" s="7">
        <v>0.247</v>
      </c>
      <c r="P81" s="7">
        <v>0.33100000000000002</v>
      </c>
      <c r="Q81" s="4">
        <v>22</v>
      </c>
      <c r="R81" s="9">
        <f t="shared" si="26"/>
        <v>38</v>
      </c>
      <c r="S81" s="4" t="s">
        <v>151</v>
      </c>
      <c r="T81" s="4"/>
      <c r="U81" s="10" t="s">
        <v>32</v>
      </c>
      <c r="V81" s="10" t="s">
        <v>45</v>
      </c>
      <c r="W81" s="10">
        <v>3</v>
      </c>
      <c r="X81" s="10" t="s">
        <v>41</v>
      </c>
      <c r="Y81" s="10">
        <v>2</v>
      </c>
      <c r="Z81" s="10" t="s">
        <v>42</v>
      </c>
      <c r="AA81" s="11">
        <f t="shared" si="27"/>
        <v>21</v>
      </c>
      <c r="AB81" s="11">
        <f t="shared" si="28"/>
        <v>10</v>
      </c>
      <c r="AC81" s="11">
        <f t="shared" si="29"/>
        <v>7</v>
      </c>
      <c r="AD81" s="11">
        <v>2</v>
      </c>
      <c r="AE81" s="11">
        <v>5</v>
      </c>
      <c r="AF81" s="11">
        <v>7</v>
      </c>
      <c r="AG81" s="11">
        <v>12</v>
      </c>
      <c r="AH81" s="11">
        <v>17</v>
      </c>
      <c r="AI81" s="10">
        <v>18</v>
      </c>
      <c r="AJ81" s="11">
        <v>19</v>
      </c>
      <c r="AK81" s="11">
        <v>20</v>
      </c>
      <c r="AL81" s="11">
        <f t="shared" si="30"/>
        <v>21</v>
      </c>
    </row>
    <row r="82" spans="1:38" x14ac:dyDescent="0.2">
      <c r="A82" s="22" t="s">
        <v>287</v>
      </c>
      <c r="B82" s="4">
        <v>81</v>
      </c>
      <c r="C82" s="4">
        <v>283</v>
      </c>
      <c r="D82" s="4">
        <v>323</v>
      </c>
      <c r="E82" s="4">
        <v>97</v>
      </c>
      <c r="F82" s="4">
        <v>70</v>
      </c>
      <c r="G82" s="4">
        <v>21</v>
      </c>
      <c r="H82" s="4">
        <v>2</v>
      </c>
      <c r="I82" s="4">
        <v>4</v>
      </c>
      <c r="J82" s="9">
        <f t="shared" si="25"/>
        <v>8</v>
      </c>
      <c r="K82" s="4">
        <v>42</v>
      </c>
      <c r="L82" s="4">
        <v>34</v>
      </c>
      <c r="M82" s="4"/>
      <c r="N82" s="4"/>
      <c r="O82" s="7">
        <v>0.28299999999999997</v>
      </c>
      <c r="P82" s="7">
        <v>0.32</v>
      </c>
      <c r="Q82" s="4">
        <v>7</v>
      </c>
      <c r="R82" s="9">
        <f t="shared" si="26"/>
        <v>14</v>
      </c>
      <c r="S82" s="4" t="s">
        <v>151</v>
      </c>
      <c r="T82" s="4"/>
      <c r="U82" s="10" t="s">
        <v>32</v>
      </c>
      <c r="V82" s="10" t="s">
        <v>6</v>
      </c>
      <c r="W82" s="10">
        <v>3</v>
      </c>
      <c r="X82" s="10"/>
      <c r="Y82" s="10"/>
      <c r="Z82" s="10" t="s">
        <v>42</v>
      </c>
      <c r="AA82" s="11">
        <f t="shared" si="27"/>
        <v>16</v>
      </c>
      <c r="AB82" s="11">
        <f t="shared" si="28"/>
        <v>10</v>
      </c>
      <c r="AC82" s="11">
        <f t="shared" si="29"/>
        <v>6</v>
      </c>
      <c r="AD82" s="11">
        <v>1</v>
      </c>
      <c r="AE82" s="11">
        <v>4</v>
      </c>
      <c r="AF82" s="11">
        <v>6</v>
      </c>
      <c r="AG82" s="11">
        <v>10</v>
      </c>
      <c r="AH82" s="11">
        <v>16</v>
      </c>
      <c r="AI82" s="10">
        <v>17</v>
      </c>
      <c r="AJ82" s="11">
        <v>19</v>
      </c>
      <c r="AK82" s="11">
        <v>20</v>
      </c>
      <c r="AL82" s="11">
        <f t="shared" si="30"/>
        <v>21</v>
      </c>
    </row>
    <row r="83" spans="1:38" x14ac:dyDescent="0.2">
      <c r="A83" s="22" t="s">
        <v>288</v>
      </c>
      <c r="B83" s="4">
        <v>50</v>
      </c>
      <c r="C83" s="4">
        <v>97</v>
      </c>
      <c r="D83" s="4">
        <v>107</v>
      </c>
      <c r="E83" s="4">
        <v>27</v>
      </c>
      <c r="F83" s="4">
        <v>18</v>
      </c>
      <c r="G83" s="4">
        <v>5</v>
      </c>
      <c r="H83" s="4">
        <v>1</v>
      </c>
      <c r="I83" s="4">
        <v>3</v>
      </c>
      <c r="J83" s="9">
        <f t="shared" si="25"/>
        <v>10</v>
      </c>
      <c r="K83" s="4">
        <v>8</v>
      </c>
      <c r="L83" s="4">
        <v>18</v>
      </c>
      <c r="M83" s="4">
        <v>37</v>
      </c>
      <c r="N83" s="4">
        <v>21</v>
      </c>
      <c r="O83" s="7">
        <v>0.27800000000000002</v>
      </c>
      <c r="P83" s="7">
        <v>0.33</v>
      </c>
      <c r="Q83" s="4">
        <v>0</v>
      </c>
      <c r="R83" s="9">
        <f t="shared" si="26"/>
        <v>0</v>
      </c>
      <c r="S83" s="4" t="s">
        <v>151</v>
      </c>
      <c r="T83" s="4"/>
      <c r="U83" s="10" t="s">
        <v>32</v>
      </c>
      <c r="V83" s="10" t="s">
        <v>53</v>
      </c>
      <c r="W83" s="10">
        <v>5</v>
      </c>
      <c r="X83" s="10" t="s">
        <v>7</v>
      </c>
      <c r="Y83" s="10">
        <v>3</v>
      </c>
      <c r="Z83" s="10" t="s">
        <v>38</v>
      </c>
      <c r="AA83" s="11">
        <f t="shared" si="27"/>
        <v>8</v>
      </c>
      <c r="AB83" s="11">
        <f t="shared" si="28"/>
        <v>10</v>
      </c>
      <c r="AC83" s="11">
        <f t="shared" si="29"/>
        <v>6</v>
      </c>
      <c r="AD83" s="11">
        <v>1</v>
      </c>
      <c r="AE83" s="11">
        <v>4</v>
      </c>
      <c r="AF83" s="11">
        <v>6</v>
      </c>
      <c r="AG83" s="11">
        <v>9</v>
      </c>
      <c r="AH83" s="11">
        <v>17</v>
      </c>
      <c r="AI83" s="10">
        <v>17</v>
      </c>
      <c r="AJ83" s="11">
        <v>19</v>
      </c>
      <c r="AK83" s="11">
        <v>19</v>
      </c>
      <c r="AL83" s="11">
        <f t="shared" si="30"/>
        <v>20</v>
      </c>
    </row>
    <row r="84" spans="1:38" x14ac:dyDescent="0.2">
      <c r="A84" s="22" t="s">
        <v>289</v>
      </c>
      <c r="B84" s="4">
        <v>136</v>
      </c>
      <c r="C84" s="4">
        <v>448</v>
      </c>
      <c r="D84" s="4">
        <v>537</v>
      </c>
      <c r="E84" s="4">
        <v>80</v>
      </c>
      <c r="F84" s="4">
        <v>45</v>
      </c>
      <c r="G84" s="4">
        <v>10</v>
      </c>
      <c r="H84" s="4">
        <v>3</v>
      </c>
      <c r="I84" s="4">
        <v>22</v>
      </c>
      <c r="J84" s="9">
        <f t="shared" si="25"/>
        <v>26</v>
      </c>
      <c r="K84" s="4">
        <v>88</v>
      </c>
      <c r="L84" s="4">
        <v>171</v>
      </c>
      <c r="M84" s="4">
        <v>111</v>
      </c>
      <c r="N84" s="4">
        <v>132</v>
      </c>
      <c r="O84" s="7">
        <v>0.17899999999999999</v>
      </c>
      <c r="P84" s="7">
        <v>0.309</v>
      </c>
      <c r="Q84" s="4">
        <v>2</v>
      </c>
      <c r="R84" s="9">
        <f t="shared" si="26"/>
        <v>2</v>
      </c>
      <c r="S84" s="4" t="s">
        <v>151</v>
      </c>
      <c r="T84" s="4"/>
      <c r="U84" s="10" t="s">
        <v>32</v>
      </c>
      <c r="V84" s="10" t="s">
        <v>6</v>
      </c>
      <c r="W84" s="10">
        <v>3</v>
      </c>
      <c r="X84" s="10"/>
      <c r="Y84" s="10"/>
      <c r="Z84" s="10" t="s">
        <v>33</v>
      </c>
      <c r="AA84" s="11">
        <f t="shared" si="27"/>
        <v>10</v>
      </c>
      <c r="AB84" s="11">
        <f t="shared" si="28"/>
        <v>10</v>
      </c>
      <c r="AC84" s="11">
        <f t="shared" si="29"/>
        <v>8</v>
      </c>
      <c r="AD84" s="11">
        <v>3</v>
      </c>
      <c r="AE84" s="11">
        <v>5</v>
      </c>
      <c r="AF84" s="11">
        <v>8</v>
      </c>
      <c r="AG84" s="11">
        <v>13</v>
      </c>
      <c r="AH84" s="11">
        <v>16</v>
      </c>
      <c r="AI84" s="10">
        <v>16</v>
      </c>
      <c r="AJ84" s="11">
        <v>17</v>
      </c>
      <c r="AK84" s="11">
        <v>18</v>
      </c>
      <c r="AL84" s="11">
        <f t="shared" si="30"/>
        <v>19</v>
      </c>
    </row>
    <row r="85" spans="1:38" x14ac:dyDescent="0.2">
      <c r="A85" s="22" t="s">
        <v>290</v>
      </c>
      <c r="B85" s="4">
        <v>20</v>
      </c>
      <c r="C85" s="4">
        <v>30</v>
      </c>
      <c r="D85" s="4">
        <v>33</v>
      </c>
      <c r="E85" s="4">
        <v>9</v>
      </c>
      <c r="F85" s="4">
        <v>8</v>
      </c>
      <c r="G85" s="4">
        <v>1</v>
      </c>
      <c r="H85" s="4">
        <v>0</v>
      </c>
      <c r="I85" s="4">
        <v>0</v>
      </c>
      <c r="J85" s="9">
        <f t="shared" si="25"/>
        <v>0</v>
      </c>
      <c r="K85" s="4">
        <v>1</v>
      </c>
      <c r="L85" s="4">
        <v>5</v>
      </c>
      <c r="M85" s="4">
        <v>15</v>
      </c>
      <c r="N85" s="4">
        <v>3</v>
      </c>
      <c r="O85" s="7">
        <v>0.3</v>
      </c>
      <c r="P85" s="7">
        <v>0.32300000000000001</v>
      </c>
      <c r="Q85" s="4">
        <v>0</v>
      </c>
      <c r="R85" s="9">
        <f t="shared" si="26"/>
        <v>0</v>
      </c>
      <c r="S85" s="4" t="s">
        <v>151</v>
      </c>
      <c r="T85" s="4"/>
      <c r="U85" s="10" t="s">
        <v>32</v>
      </c>
      <c r="V85" s="10" t="s">
        <v>53</v>
      </c>
      <c r="W85" s="10">
        <v>4</v>
      </c>
      <c r="X85" s="10"/>
      <c r="Y85" s="10"/>
      <c r="Z85" s="10" t="s">
        <v>33</v>
      </c>
      <c r="AA85" s="11">
        <f t="shared" si="27"/>
        <v>8</v>
      </c>
      <c r="AB85" s="11">
        <f t="shared" si="28"/>
        <v>10</v>
      </c>
      <c r="AC85" s="11">
        <f t="shared" si="29"/>
        <v>5</v>
      </c>
      <c r="AD85" s="11">
        <v>1</v>
      </c>
      <c r="AE85" s="11">
        <v>4</v>
      </c>
      <c r="AF85" s="11">
        <v>5</v>
      </c>
      <c r="AG85" s="11">
        <v>7</v>
      </c>
      <c r="AH85" s="11">
        <v>19</v>
      </c>
      <c r="AI85" s="10">
        <v>19</v>
      </c>
      <c r="AJ85" s="11">
        <v>21</v>
      </c>
      <c r="AK85" s="11">
        <v>21</v>
      </c>
      <c r="AL85" s="11">
        <f t="shared" si="30"/>
        <v>22</v>
      </c>
    </row>
    <row r="86" spans="1:38" x14ac:dyDescent="0.2">
      <c r="A86" s="22" t="s">
        <v>291</v>
      </c>
      <c r="B86" s="4">
        <v>47</v>
      </c>
      <c r="C86" s="4">
        <v>121</v>
      </c>
      <c r="D86" s="4">
        <v>141</v>
      </c>
      <c r="E86" s="4">
        <v>34</v>
      </c>
      <c r="F86" s="4">
        <v>25</v>
      </c>
      <c r="G86" s="4">
        <v>8</v>
      </c>
      <c r="H86" s="4">
        <v>0</v>
      </c>
      <c r="I86" s="4">
        <v>1</v>
      </c>
      <c r="J86" s="9">
        <f t="shared" si="25"/>
        <v>3</v>
      </c>
      <c r="K86" s="4">
        <v>17</v>
      </c>
      <c r="L86" s="4">
        <v>23</v>
      </c>
      <c r="M86" s="4">
        <v>45</v>
      </c>
      <c r="N86" s="4">
        <v>31</v>
      </c>
      <c r="O86" s="7">
        <v>0.28100000000000003</v>
      </c>
      <c r="P86" s="7">
        <v>0.36699999999999999</v>
      </c>
      <c r="Q86" s="4">
        <v>1</v>
      </c>
      <c r="R86" s="9">
        <f t="shared" si="26"/>
        <v>3</v>
      </c>
      <c r="S86" s="4" t="s">
        <v>151</v>
      </c>
      <c r="T86" s="4"/>
      <c r="U86" s="10" t="s">
        <v>32</v>
      </c>
      <c r="V86" s="10" t="s">
        <v>32</v>
      </c>
      <c r="W86" s="10">
        <v>7</v>
      </c>
      <c r="X86" s="10"/>
      <c r="Y86" s="10"/>
      <c r="Z86" s="10" t="s">
        <v>33</v>
      </c>
      <c r="AA86" s="11">
        <f t="shared" si="27"/>
        <v>11</v>
      </c>
      <c r="AB86" s="11">
        <f t="shared" si="28"/>
        <v>12</v>
      </c>
      <c r="AC86" s="11">
        <f t="shared" si="29"/>
        <v>6</v>
      </c>
      <c r="AD86" s="11">
        <v>1</v>
      </c>
      <c r="AE86" s="11">
        <v>4</v>
      </c>
      <c r="AF86" s="11">
        <v>6</v>
      </c>
      <c r="AG86" s="11">
        <v>11</v>
      </c>
      <c r="AH86" s="11">
        <v>18</v>
      </c>
      <c r="AI86" s="10">
        <v>18</v>
      </c>
      <c r="AJ86" s="11">
        <v>20</v>
      </c>
      <c r="AK86" s="11">
        <v>20</v>
      </c>
      <c r="AL86" s="11">
        <f t="shared" si="30"/>
        <v>21</v>
      </c>
    </row>
    <row r="87" spans="1:38" x14ac:dyDescent="0.2">
      <c r="A87" s="22" t="s">
        <v>312</v>
      </c>
      <c r="B87" s="4">
        <v>147</v>
      </c>
      <c r="C87" s="4">
        <v>521</v>
      </c>
      <c r="D87" s="4">
        <v>580</v>
      </c>
      <c r="E87" s="4">
        <v>146</v>
      </c>
      <c r="F87" s="4">
        <v>97</v>
      </c>
      <c r="G87" s="4">
        <v>25</v>
      </c>
      <c r="H87" s="4">
        <v>6</v>
      </c>
      <c r="I87" s="4">
        <v>18</v>
      </c>
      <c r="J87" s="9">
        <f t="shared" si="25"/>
        <v>20</v>
      </c>
      <c r="K87" s="4">
        <v>53</v>
      </c>
      <c r="L87" s="4">
        <v>69</v>
      </c>
      <c r="M87" s="4">
        <v>180</v>
      </c>
      <c r="N87" s="4">
        <v>175</v>
      </c>
      <c r="O87" s="7">
        <v>0.28000000000000003</v>
      </c>
      <c r="P87" s="7">
        <v>0.34</v>
      </c>
      <c r="Q87" s="4">
        <v>9</v>
      </c>
      <c r="R87" s="9">
        <f t="shared" si="26"/>
        <v>10</v>
      </c>
      <c r="S87" s="4" t="s">
        <v>152</v>
      </c>
      <c r="T87" s="4"/>
      <c r="U87" s="10" t="s">
        <v>44</v>
      </c>
      <c r="V87" s="10" t="s">
        <v>32</v>
      </c>
      <c r="W87" s="10">
        <v>4</v>
      </c>
      <c r="X87" s="10" t="s">
        <v>5</v>
      </c>
      <c r="Y87" s="10">
        <v>0</v>
      </c>
      <c r="Z87" s="10" t="s">
        <v>33</v>
      </c>
      <c r="AA87" s="11">
        <f t="shared" si="27"/>
        <v>15</v>
      </c>
      <c r="AB87" s="11">
        <f t="shared" si="28"/>
        <v>11</v>
      </c>
      <c r="AC87" s="11">
        <f t="shared" si="29"/>
        <v>6</v>
      </c>
      <c r="AD87" s="11">
        <v>1</v>
      </c>
      <c r="AE87" s="11">
        <v>4</v>
      </c>
      <c r="AF87" s="11">
        <v>6</v>
      </c>
      <c r="AG87" s="11">
        <v>9</v>
      </c>
      <c r="AH87" s="11">
        <v>15</v>
      </c>
      <c r="AI87" s="10">
        <v>15</v>
      </c>
      <c r="AJ87" s="11">
        <v>17</v>
      </c>
      <c r="AK87" s="11">
        <v>18</v>
      </c>
      <c r="AL87" s="11">
        <f t="shared" si="30"/>
        <v>19</v>
      </c>
    </row>
    <row r="88" spans="1:38" x14ac:dyDescent="0.2">
      <c r="A88" s="22" t="s">
        <v>313</v>
      </c>
      <c r="B88" s="4">
        <v>146</v>
      </c>
      <c r="C88" s="4">
        <v>588</v>
      </c>
      <c r="D88" s="4">
        <v>623</v>
      </c>
      <c r="E88" s="4">
        <v>173</v>
      </c>
      <c r="F88" s="4">
        <v>131</v>
      </c>
      <c r="G88" s="4">
        <v>20</v>
      </c>
      <c r="H88" s="4">
        <v>10</v>
      </c>
      <c r="I88" s="4">
        <v>12</v>
      </c>
      <c r="J88" s="9">
        <f t="shared" si="25"/>
        <v>13</v>
      </c>
      <c r="K88" s="4">
        <v>32</v>
      </c>
      <c r="L88" s="4">
        <v>84</v>
      </c>
      <c r="M88" s="4">
        <v>290</v>
      </c>
      <c r="N88" s="4">
        <v>115</v>
      </c>
      <c r="O88" s="7">
        <v>0.29399999999999998</v>
      </c>
      <c r="P88" s="7">
        <v>0.32900000000000001</v>
      </c>
      <c r="Q88" s="4">
        <v>44</v>
      </c>
      <c r="R88" s="9">
        <f t="shared" si="26"/>
        <v>49</v>
      </c>
      <c r="S88" s="4" t="s">
        <v>152</v>
      </c>
      <c r="T88" s="4"/>
      <c r="U88" s="10" t="s">
        <v>32</v>
      </c>
      <c r="V88" s="10" t="s">
        <v>37</v>
      </c>
      <c r="W88" s="10">
        <v>3</v>
      </c>
      <c r="X88" s="10"/>
      <c r="Y88" s="10"/>
      <c r="Z88" s="10" t="s">
        <v>33</v>
      </c>
      <c r="AA88" s="11">
        <f t="shared" si="27"/>
        <v>23</v>
      </c>
      <c r="AB88" s="11">
        <f t="shared" si="28"/>
        <v>10</v>
      </c>
      <c r="AC88" s="11">
        <f t="shared" si="29"/>
        <v>6</v>
      </c>
      <c r="AD88" s="11">
        <v>1</v>
      </c>
      <c r="AE88" s="11">
        <v>5</v>
      </c>
      <c r="AF88" s="11">
        <v>6</v>
      </c>
      <c r="AG88" s="11">
        <v>8</v>
      </c>
      <c r="AH88" s="11">
        <v>14</v>
      </c>
      <c r="AI88" s="10">
        <v>15</v>
      </c>
      <c r="AJ88" s="11">
        <v>17</v>
      </c>
      <c r="AK88" s="11">
        <v>19</v>
      </c>
      <c r="AL88" s="11">
        <f t="shared" si="30"/>
        <v>20</v>
      </c>
    </row>
    <row r="89" spans="1:38" x14ac:dyDescent="0.2">
      <c r="A89" s="22" t="s">
        <v>314</v>
      </c>
      <c r="B89" s="4">
        <v>147</v>
      </c>
      <c r="C89" s="4">
        <v>536</v>
      </c>
      <c r="D89" s="4">
        <v>590</v>
      </c>
      <c r="E89" s="4">
        <v>152</v>
      </c>
      <c r="F89" s="4">
        <v>91</v>
      </c>
      <c r="G89" s="4">
        <v>27</v>
      </c>
      <c r="H89" s="4">
        <v>10</v>
      </c>
      <c r="I89" s="4">
        <v>24</v>
      </c>
      <c r="J89" s="9">
        <f t="shared" si="25"/>
        <v>26</v>
      </c>
      <c r="K89" s="4">
        <v>49</v>
      </c>
      <c r="L89" s="4">
        <v>146</v>
      </c>
      <c r="M89" s="4">
        <v>154</v>
      </c>
      <c r="N89" s="4">
        <v>146</v>
      </c>
      <c r="O89" s="7">
        <v>0.28399999999999997</v>
      </c>
      <c r="P89" s="7">
        <v>0.33800000000000002</v>
      </c>
      <c r="Q89" s="4">
        <v>40</v>
      </c>
      <c r="R89" s="9">
        <f t="shared" si="26"/>
        <v>44</v>
      </c>
      <c r="S89" s="4" t="s">
        <v>152</v>
      </c>
      <c r="T89" s="4"/>
      <c r="U89" s="10" t="s">
        <v>32</v>
      </c>
      <c r="V89" s="10" t="s">
        <v>45</v>
      </c>
      <c r="W89" s="10">
        <v>3</v>
      </c>
      <c r="X89" s="10"/>
      <c r="Y89" s="10"/>
      <c r="Z89" s="10" t="s">
        <v>33</v>
      </c>
      <c r="AA89" s="11">
        <f t="shared" si="27"/>
        <v>22</v>
      </c>
      <c r="AB89" s="11">
        <f t="shared" si="28"/>
        <v>10</v>
      </c>
      <c r="AC89" s="11">
        <f t="shared" si="29"/>
        <v>6</v>
      </c>
      <c r="AD89" s="11">
        <v>2</v>
      </c>
      <c r="AE89" s="11">
        <v>4</v>
      </c>
      <c r="AF89" s="11">
        <v>6</v>
      </c>
      <c r="AG89" s="11">
        <v>9</v>
      </c>
      <c r="AH89" s="11">
        <v>13</v>
      </c>
      <c r="AI89" s="10">
        <v>14</v>
      </c>
      <c r="AJ89" s="11">
        <v>16</v>
      </c>
      <c r="AK89" s="11">
        <v>18</v>
      </c>
      <c r="AL89" s="11">
        <f t="shared" si="30"/>
        <v>19</v>
      </c>
    </row>
    <row r="90" spans="1:38" x14ac:dyDescent="0.2">
      <c r="A90" s="22" t="s">
        <v>315</v>
      </c>
      <c r="B90" s="4">
        <v>56</v>
      </c>
      <c r="C90" s="4">
        <v>136</v>
      </c>
      <c r="D90" s="4">
        <v>153</v>
      </c>
      <c r="E90" s="4">
        <v>38</v>
      </c>
      <c r="F90" s="4">
        <v>17</v>
      </c>
      <c r="G90" s="4">
        <v>10</v>
      </c>
      <c r="H90" s="4">
        <v>0</v>
      </c>
      <c r="I90" s="4">
        <v>11</v>
      </c>
      <c r="J90" s="9">
        <f t="shared" si="25"/>
        <v>32</v>
      </c>
      <c r="K90" s="4">
        <v>16</v>
      </c>
      <c r="L90" s="4">
        <v>34</v>
      </c>
      <c r="M90" s="4">
        <v>44</v>
      </c>
      <c r="N90" s="4">
        <v>38</v>
      </c>
      <c r="O90" s="7">
        <v>0.27900000000000003</v>
      </c>
      <c r="P90" s="7">
        <v>0.35299999999999998</v>
      </c>
      <c r="Q90" s="4">
        <v>3</v>
      </c>
      <c r="R90" s="9">
        <f t="shared" si="26"/>
        <v>9</v>
      </c>
      <c r="S90" s="4" t="s">
        <v>152</v>
      </c>
      <c r="T90" s="4"/>
      <c r="U90" s="10" t="s">
        <v>32</v>
      </c>
      <c r="V90" s="10" t="s">
        <v>41</v>
      </c>
      <c r="W90" s="10">
        <v>2</v>
      </c>
      <c r="X90" s="10"/>
      <c r="Y90" s="10"/>
      <c r="Z90" s="10" t="s">
        <v>33</v>
      </c>
      <c r="AA90" s="11">
        <f t="shared" si="27"/>
        <v>15</v>
      </c>
      <c r="AB90" s="11">
        <f t="shared" si="28"/>
        <v>11</v>
      </c>
      <c r="AC90" s="11">
        <f t="shared" si="29"/>
        <v>6</v>
      </c>
      <c r="AD90" s="11">
        <v>2</v>
      </c>
      <c r="AE90" s="11">
        <v>4</v>
      </c>
      <c r="AF90" s="11">
        <v>6</v>
      </c>
      <c r="AG90" s="11">
        <v>9</v>
      </c>
      <c r="AH90" s="11">
        <v>14</v>
      </c>
      <c r="AI90" s="10">
        <v>15</v>
      </c>
      <c r="AJ90" s="11">
        <v>17</v>
      </c>
      <c r="AK90" s="11">
        <v>17</v>
      </c>
      <c r="AL90" s="11">
        <f t="shared" si="30"/>
        <v>18</v>
      </c>
    </row>
    <row r="91" spans="1:38" x14ac:dyDescent="0.2">
      <c r="A91" s="22" t="s">
        <v>316</v>
      </c>
      <c r="B91" s="4">
        <v>69</v>
      </c>
      <c r="C91" s="4">
        <v>213</v>
      </c>
      <c r="D91" s="4">
        <v>230</v>
      </c>
      <c r="E91" s="4">
        <v>69</v>
      </c>
      <c r="F91" s="4">
        <v>50</v>
      </c>
      <c r="G91" s="4">
        <v>11</v>
      </c>
      <c r="H91" s="4">
        <v>2</v>
      </c>
      <c r="I91" s="4">
        <v>6</v>
      </c>
      <c r="J91" s="9">
        <f t="shared" si="25"/>
        <v>14</v>
      </c>
      <c r="K91" s="4">
        <v>11</v>
      </c>
      <c r="L91" s="4">
        <v>42</v>
      </c>
      <c r="M91" s="4">
        <v>64</v>
      </c>
      <c r="N91" s="4">
        <v>60</v>
      </c>
      <c r="O91" s="7">
        <v>0.32400000000000001</v>
      </c>
      <c r="P91" s="7">
        <v>0.35599999999999998</v>
      </c>
      <c r="Q91" s="4">
        <v>2</v>
      </c>
      <c r="R91" s="9">
        <f t="shared" si="26"/>
        <v>5</v>
      </c>
      <c r="S91" s="4" t="s">
        <v>152</v>
      </c>
      <c r="T91" s="4"/>
      <c r="U91" s="10" t="s">
        <v>32</v>
      </c>
      <c r="V91" s="10" t="s">
        <v>6</v>
      </c>
      <c r="W91" s="10">
        <v>4</v>
      </c>
      <c r="X91" s="10"/>
      <c r="Y91" s="10"/>
      <c r="Z91" s="10" t="s">
        <v>42</v>
      </c>
      <c r="AA91" s="11">
        <f t="shared" si="27"/>
        <v>13</v>
      </c>
      <c r="AB91" s="11">
        <f t="shared" si="28"/>
        <v>11</v>
      </c>
      <c r="AC91" s="11">
        <f t="shared" si="29"/>
        <v>5</v>
      </c>
      <c r="AD91" s="11">
        <v>1</v>
      </c>
      <c r="AE91" s="11">
        <v>3</v>
      </c>
      <c r="AF91" s="11">
        <v>5</v>
      </c>
      <c r="AG91" s="11">
        <v>7</v>
      </c>
      <c r="AH91" s="11">
        <v>16</v>
      </c>
      <c r="AI91" s="10">
        <v>16</v>
      </c>
      <c r="AJ91" s="11">
        <v>18</v>
      </c>
      <c r="AK91" s="11">
        <v>19</v>
      </c>
      <c r="AL91" s="11">
        <f t="shared" si="30"/>
        <v>20</v>
      </c>
    </row>
    <row r="92" spans="1:38" x14ac:dyDescent="0.2">
      <c r="A92" s="22" t="s">
        <v>317</v>
      </c>
      <c r="B92" s="4">
        <v>135</v>
      </c>
      <c r="C92" s="4">
        <v>445</v>
      </c>
      <c r="D92" s="4">
        <v>504</v>
      </c>
      <c r="E92" s="4">
        <v>98</v>
      </c>
      <c r="F92" s="4">
        <v>63</v>
      </c>
      <c r="G92" s="4">
        <v>14</v>
      </c>
      <c r="H92" s="4">
        <v>0</v>
      </c>
      <c r="I92" s="4">
        <v>21</v>
      </c>
      <c r="J92" s="9">
        <f t="shared" si="25"/>
        <v>25</v>
      </c>
      <c r="K92" s="4">
        <v>57</v>
      </c>
      <c r="L92" s="4">
        <v>154</v>
      </c>
      <c r="M92" s="4">
        <v>115</v>
      </c>
      <c r="N92" s="4">
        <v>124</v>
      </c>
      <c r="O92" s="7">
        <v>0.22</v>
      </c>
      <c r="P92" s="7">
        <v>0.30599999999999999</v>
      </c>
      <c r="Q92" s="4">
        <v>3</v>
      </c>
      <c r="R92" s="9">
        <f t="shared" si="26"/>
        <v>4</v>
      </c>
      <c r="S92" s="4" t="s">
        <v>152</v>
      </c>
      <c r="T92" s="4"/>
      <c r="U92" s="10" t="s">
        <v>32</v>
      </c>
      <c r="V92" s="10" t="s">
        <v>118</v>
      </c>
      <c r="W92" s="10">
        <v>0</v>
      </c>
      <c r="X92" s="10"/>
      <c r="Y92" s="10"/>
      <c r="Z92" s="10" t="s">
        <v>33</v>
      </c>
      <c r="AA92" s="11">
        <f t="shared" si="27"/>
        <v>12</v>
      </c>
      <c r="AB92" s="11">
        <f t="shared" si="28"/>
        <v>10</v>
      </c>
      <c r="AC92" s="11">
        <f t="shared" si="29"/>
        <v>7</v>
      </c>
      <c r="AD92" s="11">
        <v>3</v>
      </c>
      <c r="AE92" s="11">
        <v>5</v>
      </c>
      <c r="AF92" s="11">
        <v>7</v>
      </c>
      <c r="AG92" s="11">
        <v>11</v>
      </c>
      <c r="AH92" s="11">
        <v>16</v>
      </c>
      <c r="AI92" s="10">
        <v>16</v>
      </c>
      <c r="AJ92" s="11">
        <v>18</v>
      </c>
      <c r="AK92" s="11">
        <v>18</v>
      </c>
      <c r="AL92" s="11">
        <f t="shared" si="30"/>
        <v>19</v>
      </c>
    </row>
    <row r="93" spans="1:38" x14ac:dyDescent="0.2">
      <c r="A93" s="22" t="s">
        <v>318</v>
      </c>
      <c r="B93" s="4">
        <v>61</v>
      </c>
      <c r="C93" s="4">
        <v>225</v>
      </c>
      <c r="D93" s="4">
        <v>253</v>
      </c>
      <c r="E93" s="4">
        <v>67</v>
      </c>
      <c r="F93" s="4">
        <v>42</v>
      </c>
      <c r="G93" s="4">
        <v>14</v>
      </c>
      <c r="H93" s="4">
        <v>2</v>
      </c>
      <c r="I93" s="4">
        <v>9</v>
      </c>
      <c r="J93" s="9">
        <f t="shared" si="25"/>
        <v>24</v>
      </c>
      <c r="K93" s="4">
        <v>34</v>
      </c>
      <c r="L93" s="4">
        <v>56</v>
      </c>
      <c r="M93" s="4">
        <v>88</v>
      </c>
      <c r="N93" s="4">
        <v>55</v>
      </c>
      <c r="O93" s="7">
        <v>0.29799999999999999</v>
      </c>
      <c r="P93" s="7">
        <v>0.372</v>
      </c>
      <c r="Q93" s="4">
        <v>4</v>
      </c>
      <c r="R93" s="9">
        <f t="shared" si="26"/>
        <v>11</v>
      </c>
      <c r="S93" s="4" t="s">
        <v>152</v>
      </c>
      <c r="T93" s="4"/>
      <c r="U93" s="10" t="s">
        <v>44</v>
      </c>
      <c r="V93" s="10" t="s">
        <v>41</v>
      </c>
      <c r="W93" s="10">
        <v>1</v>
      </c>
      <c r="X93" s="10"/>
      <c r="Y93" s="10"/>
      <c r="Z93" s="10" t="s">
        <v>33</v>
      </c>
      <c r="AA93" s="11">
        <f t="shared" si="27"/>
        <v>16</v>
      </c>
      <c r="AB93" s="11">
        <f t="shared" si="28"/>
        <v>12</v>
      </c>
      <c r="AC93" s="11">
        <f t="shared" si="29"/>
        <v>6</v>
      </c>
      <c r="AD93" s="11">
        <v>2</v>
      </c>
      <c r="AE93" s="11">
        <v>5</v>
      </c>
      <c r="AF93" s="11">
        <v>6</v>
      </c>
      <c r="AG93" s="11">
        <v>10</v>
      </c>
      <c r="AH93" s="11">
        <v>15</v>
      </c>
      <c r="AI93" s="10">
        <v>16</v>
      </c>
      <c r="AJ93" s="11">
        <v>18</v>
      </c>
      <c r="AK93" s="11">
        <v>18</v>
      </c>
      <c r="AL93" s="11">
        <f t="shared" si="30"/>
        <v>19</v>
      </c>
    </row>
    <row r="94" spans="1:38" x14ac:dyDescent="0.2">
      <c r="A94" s="22" t="s">
        <v>319</v>
      </c>
      <c r="B94" s="4">
        <v>104</v>
      </c>
      <c r="C94" s="4">
        <v>350</v>
      </c>
      <c r="D94" s="4">
        <v>399</v>
      </c>
      <c r="E94" s="4">
        <v>73</v>
      </c>
      <c r="F94" s="4">
        <v>42</v>
      </c>
      <c r="G94" s="4">
        <v>20</v>
      </c>
      <c r="H94" s="4">
        <v>1</v>
      </c>
      <c r="I94" s="4">
        <v>10</v>
      </c>
      <c r="J94" s="9">
        <f t="shared" si="25"/>
        <v>16</v>
      </c>
      <c r="K94" s="4">
        <v>49</v>
      </c>
      <c r="L94" s="4">
        <v>105</v>
      </c>
      <c r="M94" s="4">
        <v>121</v>
      </c>
      <c r="N94" s="4">
        <v>80</v>
      </c>
      <c r="O94" s="7">
        <v>0.20899999999999999</v>
      </c>
      <c r="P94" s="7">
        <v>0.30599999999999999</v>
      </c>
      <c r="Q94" s="4">
        <v>7</v>
      </c>
      <c r="R94" s="9">
        <f t="shared" si="26"/>
        <v>11</v>
      </c>
      <c r="S94" s="4" t="s">
        <v>152</v>
      </c>
      <c r="T94" s="4"/>
      <c r="U94" s="10" t="s">
        <v>32</v>
      </c>
      <c r="V94" s="10" t="s">
        <v>6</v>
      </c>
      <c r="W94" s="10">
        <v>2</v>
      </c>
      <c r="X94" s="10"/>
      <c r="Y94" s="10"/>
      <c r="Z94" s="10" t="s">
        <v>33</v>
      </c>
      <c r="AA94" s="11">
        <f t="shared" si="27"/>
        <v>16</v>
      </c>
      <c r="AB94" s="11">
        <f t="shared" si="28"/>
        <v>10</v>
      </c>
      <c r="AC94" s="11">
        <f t="shared" si="29"/>
        <v>7</v>
      </c>
      <c r="AD94" s="11">
        <v>2</v>
      </c>
      <c r="AE94" s="11">
        <v>5</v>
      </c>
      <c r="AF94" s="11">
        <v>7</v>
      </c>
      <c r="AG94" s="11">
        <v>12</v>
      </c>
      <c r="AH94" s="11">
        <v>16</v>
      </c>
      <c r="AI94" s="10">
        <v>17</v>
      </c>
      <c r="AJ94" s="11">
        <v>19</v>
      </c>
      <c r="AK94" s="11">
        <v>19</v>
      </c>
      <c r="AL94" s="11">
        <f t="shared" si="30"/>
        <v>20</v>
      </c>
    </row>
    <row r="95" spans="1:38" x14ac:dyDescent="0.2">
      <c r="A95" s="22" t="s">
        <v>320</v>
      </c>
      <c r="B95" s="4">
        <v>92</v>
      </c>
      <c r="C95" s="4">
        <v>304</v>
      </c>
      <c r="D95" s="4">
        <v>351</v>
      </c>
      <c r="E95" s="4">
        <v>86</v>
      </c>
      <c r="F95" s="4">
        <v>56</v>
      </c>
      <c r="G95" s="4">
        <v>18</v>
      </c>
      <c r="H95" s="4">
        <v>0</v>
      </c>
      <c r="I95" s="4">
        <v>12</v>
      </c>
      <c r="J95" s="9">
        <f t="shared" si="25"/>
        <v>21</v>
      </c>
      <c r="K95" s="4">
        <v>44</v>
      </c>
      <c r="L95" s="4">
        <v>55</v>
      </c>
      <c r="M95" s="4">
        <v>104</v>
      </c>
      <c r="N95" s="4">
        <v>99</v>
      </c>
      <c r="O95" s="7">
        <v>0.28299999999999997</v>
      </c>
      <c r="P95" s="7">
        <v>0.37</v>
      </c>
      <c r="Q95" s="4">
        <v>0</v>
      </c>
      <c r="R95" s="9">
        <f t="shared" si="26"/>
        <v>0</v>
      </c>
      <c r="S95" s="4" t="s">
        <v>152</v>
      </c>
      <c r="T95" s="4"/>
      <c r="U95" s="10" t="s">
        <v>32</v>
      </c>
      <c r="V95" s="10" t="s">
        <v>7</v>
      </c>
      <c r="W95" s="10">
        <v>0</v>
      </c>
      <c r="X95" s="10"/>
      <c r="Y95" s="10"/>
      <c r="Z95" s="10" t="s">
        <v>33</v>
      </c>
      <c r="AA95" s="11">
        <f t="shared" si="27"/>
        <v>8</v>
      </c>
      <c r="AB95" s="11">
        <f t="shared" si="28"/>
        <v>12</v>
      </c>
      <c r="AC95" s="11">
        <f t="shared" si="29"/>
        <v>6</v>
      </c>
      <c r="AD95" s="11">
        <v>1</v>
      </c>
      <c r="AE95" s="11">
        <v>4</v>
      </c>
      <c r="AF95" s="11">
        <v>6</v>
      </c>
      <c r="AG95" s="11">
        <v>10</v>
      </c>
      <c r="AH95" s="11">
        <v>16</v>
      </c>
      <c r="AI95" s="10">
        <v>16</v>
      </c>
      <c r="AJ95" s="11">
        <v>18</v>
      </c>
      <c r="AK95" s="11">
        <v>18</v>
      </c>
      <c r="AL95" s="11">
        <f t="shared" si="30"/>
        <v>19</v>
      </c>
    </row>
    <row r="96" spans="1:38" x14ac:dyDescent="0.2">
      <c r="A96" s="22" t="s">
        <v>321</v>
      </c>
      <c r="B96" s="4">
        <v>142</v>
      </c>
      <c r="C96" s="4">
        <v>445</v>
      </c>
      <c r="D96" s="4">
        <v>486</v>
      </c>
      <c r="E96" s="4">
        <v>107</v>
      </c>
      <c r="F96" s="4">
        <v>68</v>
      </c>
      <c r="G96" s="4">
        <v>24</v>
      </c>
      <c r="H96" s="4">
        <v>1</v>
      </c>
      <c r="I96" s="4">
        <v>14</v>
      </c>
      <c r="J96" s="9">
        <f t="shared" si="25"/>
        <v>16</v>
      </c>
      <c r="K96" s="4">
        <v>36</v>
      </c>
      <c r="L96" s="4">
        <v>111</v>
      </c>
      <c r="M96" s="4">
        <v>148</v>
      </c>
      <c r="N96" s="4">
        <v>117</v>
      </c>
      <c r="O96" s="7">
        <v>0.24</v>
      </c>
      <c r="P96" s="7">
        <v>0.29499999999999998</v>
      </c>
      <c r="Q96" s="4">
        <v>2</v>
      </c>
      <c r="R96" s="9">
        <f t="shared" si="26"/>
        <v>2</v>
      </c>
      <c r="S96" s="4" t="s">
        <v>152</v>
      </c>
      <c r="T96" s="4"/>
      <c r="U96" s="10" t="s">
        <v>32</v>
      </c>
      <c r="V96" s="10" t="s">
        <v>5</v>
      </c>
      <c r="W96" s="10">
        <v>1</v>
      </c>
      <c r="X96" s="10" t="s">
        <v>41</v>
      </c>
      <c r="Y96" s="10">
        <v>1</v>
      </c>
      <c r="Z96" s="10" t="s">
        <v>42</v>
      </c>
      <c r="AA96" s="11">
        <f t="shared" si="27"/>
        <v>10</v>
      </c>
      <c r="AB96" s="11">
        <f t="shared" si="28"/>
        <v>9</v>
      </c>
      <c r="AC96" s="11">
        <f t="shared" si="29"/>
        <v>7</v>
      </c>
      <c r="AD96" s="11">
        <v>2</v>
      </c>
      <c r="AE96" s="11">
        <v>5</v>
      </c>
      <c r="AF96" s="11">
        <v>7</v>
      </c>
      <c r="AG96" s="11">
        <v>10</v>
      </c>
      <c r="AH96" s="11">
        <v>17</v>
      </c>
      <c r="AI96" s="10">
        <v>17</v>
      </c>
      <c r="AJ96" s="11">
        <v>19</v>
      </c>
      <c r="AK96" s="11">
        <v>19</v>
      </c>
      <c r="AL96" s="11">
        <f t="shared" si="30"/>
        <v>20</v>
      </c>
    </row>
    <row r="97" spans="1:38" x14ac:dyDescent="0.2">
      <c r="A97" s="22" t="s">
        <v>322</v>
      </c>
      <c r="B97" s="4">
        <v>134</v>
      </c>
      <c r="C97" s="4">
        <v>298</v>
      </c>
      <c r="D97" s="4">
        <v>337</v>
      </c>
      <c r="E97" s="4">
        <v>63</v>
      </c>
      <c r="F97" s="4">
        <v>41</v>
      </c>
      <c r="G97" s="4">
        <v>15</v>
      </c>
      <c r="H97" s="4">
        <v>3</v>
      </c>
      <c r="I97" s="4">
        <v>4</v>
      </c>
      <c r="J97" s="9">
        <f t="shared" si="25"/>
        <v>5</v>
      </c>
      <c r="K97" s="4">
        <v>29</v>
      </c>
      <c r="L97" s="4">
        <v>60</v>
      </c>
      <c r="M97" s="4">
        <v>106</v>
      </c>
      <c r="N97" s="4">
        <v>77</v>
      </c>
      <c r="O97" s="7">
        <v>0.21099999999999999</v>
      </c>
      <c r="P97" s="7">
        <v>0.27900000000000003</v>
      </c>
      <c r="Q97" s="4">
        <v>7</v>
      </c>
      <c r="R97" s="9">
        <f t="shared" si="26"/>
        <v>8</v>
      </c>
      <c r="S97" s="4" t="s">
        <v>152</v>
      </c>
      <c r="T97" s="4"/>
      <c r="U97" s="10" t="s">
        <v>32</v>
      </c>
      <c r="V97" s="10" t="s">
        <v>56</v>
      </c>
      <c r="W97" s="10">
        <v>2</v>
      </c>
      <c r="X97" s="10"/>
      <c r="Y97" s="10"/>
      <c r="Z97" s="10" t="s">
        <v>42</v>
      </c>
      <c r="AA97" s="11">
        <f t="shared" si="27"/>
        <v>14</v>
      </c>
      <c r="AB97" s="11">
        <f t="shared" si="28"/>
        <v>9</v>
      </c>
      <c r="AC97" s="11">
        <f t="shared" si="29"/>
        <v>7</v>
      </c>
      <c r="AD97" s="11">
        <v>2</v>
      </c>
      <c r="AE97" s="11">
        <v>5</v>
      </c>
      <c r="AF97" s="11">
        <v>7</v>
      </c>
      <c r="AG97" s="11">
        <v>11</v>
      </c>
      <c r="AH97" s="11">
        <v>17</v>
      </c>
      <c r="AI97" s="10">
        <v>17</v>
      </c>
      <c r="AJ97" s="11">
        <v>19</v>
      </c>
      <c r="AK97" s="11">
        <v>20</v>
      </c>
      <c r="AL97" s="11">
        <f t="shared" si="30"/>
        <v>21</v>
      </c>
    </row>
    <row r="98" spans="1:38" x14ac:dyDescent="0.2">
      <c r="A98" s="22" t="s">
        <v>324</v>
      </c>
      <c r="B98" s="4">
        <v>108</v>
      </c>
      <c r="C98" s="4">
        <v>408</v>
      </c>
      <c r="D98" s="4">
        <v>476</v>
      </c>
      <c r="E98" s="4">
        <v>115</v>
      </c>
      <c r="F98" s="4">
        <v>94</v>
      </c>
      <c r="G98" s="4">
        <v>13</v>
      </c>
      <c r="H98" s="4">
        <v>1</v>
      </c>
      <c r="I98" s="4">
        <v>7</v>
      </c>
      <c r="J98" s="9">
        <f t="shared" si="25"/>
        <v>11</v>
      </c>
      <c r="K98" s="4">
        <v>57</v>
      </c>
      <c r="L98" s="4">
        <v>76</v>
      </c>
      <c r="M98" s="4"/>
      <c r="N98" s="4"/>
      <c r="O98" s="7">
        <v>0.252</v>
      </c>
      <c r="P98" s="7">
        <v>0.33700000000000002</v>
      </c>
      <c r="Q98" s="4">
        <v>16</v>
      </c>
      <c r="R98" s="9">
        <f t="shared" si="26"/>
        <v>24</v>
      </c>
      <c r="S98" s="4" t="s">
        <v>152</v>
      </c>
      <c r="T98" s="4"/>
      <c r="U98" s="10" t="s">
        <v>32</v>
      </c>
      <c r="V98" s="10" t="s">
        <v>41</v>
      </c>
      <c r="W98" s="10">
        <v>0</v>
      </c>
      <c r="X98" s="10"/>
      <c r="Y98" s="10"/>
      <c r="Z98" s="10" t="s">
        <v>38</v>
      </c>
      <c r="AA98" s="11">
        <f t="shared" si="27"/>
        <v>18</v>
      </c>
      <c r="AB98" s="11">
        <f t="shared" si="28"/>
        <v>10</v>
      </c>
      <c r="AC98" s="11">
        <f t="shared" si="29"/>
        <v>6</v>
      </c>
      <c r="AD98" s="11">
        <v>2</v>
      </c>
      <c r="AE98" s="11">
        <v>5</v>
      </c>
      <c r="AF98" s="11">
        <v>6</v>
      </c>
      <c r="AG98" s="11">
        <v>10</v>
      </c>
      <c r="AH98" s="11">
        <v>17</v>
      </c>
      <c r="AI98" s="10">
        <v>18</v>
      </c>
      <c r="AJ98" s="11">
        <v>19</v>
      </c>
      <c r="AK98" s="11">
        <v>19</v>
      </c>
      <c r="AL98" s="11">
        <f t="shared" si="30"/>
        <v>20</v>
      </c>
    </row>
    <row r="99" spans="1:38" x14ac:dyDescent="0.2">
      <c r="A99" s="22" t="s">
        <v>325</v>
      </c>
      <c r="B99" s="4">
        <v>67</v>
      </c>
      <c r="C99" s="4">
        <v>183</v>
      </c>
      <c r="D99" s="4">
        <v>202</v>
      </c>
      <c r="E99" s="4">
        <v>31</v>
      </c>
      <c r="F99" s="4">
        <v>19</v>
      </c>
      <c r="G99" s="4">
        <v>7</v>
      </c>
      <c r="H99" s="4">
        <v>1</v>
      </c>
      <c r="I99" s="4">
        <v>4</v>
      </c>
      <c r="J99" s="9">
        <f t="shared" si="25"/>
        <v>10</v>
      </c>
      <c r="K99" s="4">
        <v>17</v>
      </c>
      <c r="L99" s="4">
        <v>53</v>
      </c>
      <c r="M99" s="4">
        <v>53</v>
      </c>
      <c r="N99" s="4">
        <v>55</v>
      </c>
      <c r="O99" s="7">
        <v>0.16900000000000001</v>
      </c>
      <c r="P99" s="7">
        <v>0.23599999999999999</v>
      </c>
      <c r="Q99" s="4">
        <v>0</v>
      </c>
      <c r="R99" s="9">
        <f t="shared" si="26"/>
        <v>0</v>
      </c>
      <c r="S99" s="4" t="s">
        <v>152</v>
      </c>
      <c r="T99" s="4"/>
      <c r="U99" s="10" t="s">
        <v>32</v>
      </c>
      <c r="V99" s="10" t="s">
        <v>32</v>
      </c>
      <c r="W99" s="10">
        <v>6</v>
      </c>
      <c r="X99" s="10" t="s">
        <v>5</v>
      </c>
      <c r="Y99" s="10">
        <v>0</v>
      </c>
      <c r="Z99" s="10" t="s">
        <v>33</v>
      </c>
      <c r="AA99" s="11">
        <f t="shared" si="27"/>
        <v>8</v>
      </c>
      <c r="AB99" s="11">
        <f t="shared" si="28"/>
        <v>9</v>
      </c>
      <c r="AC99" s="11">
        <f t="shared" si="29"/>
        <v>8</v>
      </c>
      <c r="AD99" s="11">
        <v>2</v>
      </c>
      <c r="AE99" s="11">
        <v>5</v>
      </c>
      <c r="AF99" s="11">
        <v>8</v>
      </c>
      <c r="AG99" s="11">
        <v>12</v>
      </c>
      <c r="AH99" s="11">
        <v>17</v>
      </c>
      <c r="AI99" s="10">
        <v>17</v>
      </c>
      <c r="AJ99" s="11">
        <v>19</v>
      </c>
      <c r="AK99" s="11">
        <v>19</v>
      </c>
      <c r="AL99" s="11">
        <f t="shared" si="30"/>
        <v>20</v>
      </c>
    </row>
    <row r="100" spans="1:38" x14ac:dyDescent="0.2">
      <c r="A100" s="22" t="s">
        <v>326</v>
      </c>
      <c r="B100" s="4">
        <v>100</v>
      </c>
      <c r="C100" s="4">
        <v>236</v>
      </c>
      <c r="D100" s="4">
        <v>252</v>
      </c>
      <c r="E100" s="4">
        <v>56</v>
      </c>
      <c r="F100" s="4">
        <v>46</v>
      </c>
      <c r="G100" s="4">
        <v>8</v>
      </c>
      <c r="H100" s="4">
        <v>1</v>
      </c>
      <c r="I100" s="4">
        <v>1</v>
      </c>
      <c r="J100" s="9">
        <f t="shared" si="25"/>
        <v>2</v>
      </c>
      <c r="K100" s="4">
        <v>12</v>
      </c>
      <c r="L100" s="4">
        <v>46</v>
      </c>
      <c r="M100" s="4">
        <v>89</v>
      </c>
      <c r="N100" s="4">
        <v>62</v>
      </c>
      <c r="O100" s="7">
        <v>0.23699999999999999</v>
      </c>
      <c r="P100" s="7">
        <v>0.27200000000000002</v>
      </c>
      <c r="Q100" s="4">
        <v>4</v>
      </c>
      <c r="R100" s="9">
        <f t="shared" si="26"/>
        <v>6</v>
      </c>
      <c r="S100" s="4" t="s">
        <v>152</v>
      </c>
      <c r="T100" s="4"/>
      <c r="U100" s="10" t="s">
        <v>32</v>
      </c>
      <c r="V100" s="10" t="s">
        <v>53</v>
      </c>
      <c r="W100" s="10">
        <v>2</v>
      </c>
      <c r="X100" s="10" t="s">
        <v>7</v>
      </c>
      <c r="Y100" s="10">
        <v>1</v>
      </c>
      <c r="Z100" s="10" t="s">
        <v>33</v>
      </c>
      <c r="AA100" s="11">
        <f t="shared" si="27"/>
        <v>13</v>
      </c>
      <c r="AB100" s="11">
        <f t="shared" si="28"/>
        <v>9</v>
      </c>
      <c r="AC100" s="11">
        <f t="shared" si="29"/>
        <v>7</v>
      </c>
      <c r="AD100" s="11">
        <v>2</v>
      </c>
      <c r="AE100" s="11">
        <v>5</v>
      </c>
      <c r="AF100" s="11">
        <v>7</v>
      </c>
      <c r="AG100" s="11">
        <v>9</v>
      </c>
      <c r="AH100" s="11">
        <v>18</v>
      </c>
      <c r="AI100" s="10">
        <v>19</v>
      </c>
      <c r="AJ100" s="11">
        <v>21</v>
      </c>
      <c r="AK100" s="11">
        <v>21</v>
      </c>
      <c r="AL100" s="11">
        <f t="shared" si="30"/>
        <v>22</v>
      </c>
    </row>
    <row r="101" spans="1:38" x14ac:dyDescent="0.2">
      <c r="A101" s="22" t="s">
        <v>345</v>
      </c>
      <c r="B101" s="4">
        <v>157</v>
      </c>
      <c r="C101" s="4">
        <v>626</v>
      </c>
      <c r="D101" s="4">
        <v>717</v>
      </c>
      <c r="E101" s="4">
        <v>199</v>
      </c>
      <c r="F101" s="4">
        <v>126</v>
      </c>
      <c r="G101" s="4">
        <v>55</v>
      </c>
      <c r="H101" s="4">
        <v>7</v>
      </c>
      <c r="I101" s="4">
        <v>11</v>
      </c>
      <c r="J101" s="9">
        <f t="shared" si="25"/>
        <v>11</v>
      </c>
      <c r="K101" s="4">
        <v>82</v>
      </c>
      <c r="L101" s="4">
        <v>98</v>
      </c>
      <c r="M101" s="4">
        <v>206</v>
      </c>
      <c r="N101" s="4">
        <v>181</v>
      </c>
      <c r="O101" s="7">
        <v>0.318</v>
      </c>
      <c r="P101" s="7">
        <v>0.39200000000000002</v>
      </c>
      <c r="Q101" s="4">
        <v>3</v>
      </c>
      <c r="R101" s="9">
        <f t="shared" si="26"/>
        <v>3</v>
      </c>
      <c r="S101" s="4" t="s">
        <v>153</v>
      </c>
      <c r="T101" s="4"/>
      <c r="U101" s="10" t="s">
        <v>44</v>
      </c>
      <c r="V101" s="10" t="s">
        <v>6</v>
      </c>
      <c r="W101" s="10">
        <v>4</v>
      </c>
      <c r="X101" s="10" t="s">
        <v>7</v>
      </c>
      <c r="Y101" s="10">
        <v>1</v>
      </c>
      <c r="Z101" s="10" t="s">
        <v>42</v>
      </c>
      <c r="AA101" s="11">
        <f t="shared" si="27"/>
        <v>11</v>
      </c>
      <c r="AB101" s="11">
        <f t="shared" si="28"/>
        <v>13</v>
      </c>
      <c r="AC101" s="11">
        <f t="shared" si="29"/>
        <v>5</v>
      </c>
      <c r="AD101" s="11">
        <v>1</v>
      </c>
      <c r="AE101" s="11">
        <v>3</v>
      </c>
      <c r="AF101" s="11">
        <v>5</v>
      </c>
      <c r="AG101" s="11">
        <v>9</v>
      </c>
      <c r="AH101" s="11">
        <v>15</v>
      </c>
      <c r="AI101" s="10">
        <v>15</v>
      </c>
      <c r="AJ101" s="11">
        <v>18</v>
      </c>
      <c r="AK101" s="11">
        <v>19</v>
      </c>
      <c r="AL101" s="11">
        <f t="shared" si="30"/>
        <v>20</v>
      </c>
    </row>
    <row r="102" spans="1:38" x14ac:dyDescent="0.2">
      <c r="A102" s="22" t="s">
        <v>346</v>
      </c>
      <c r="B102" s="4">
        <v>107</v>
      </c>
      <c r="C102" s="4">
        <v>409</v>
      </c>
      <c r="D102" s="4">
        <v>448</v>
      </c>
      <c r="E102" s="4">
        <v>124</v>
      </c>
      <c r="F102" s="4">
        <v>83</v>
      </c>
      <c r="G102" s="4">
        <v>30</v>
      </c>
      <c r="H102" s="4">
        <v>0</v>
      </c>
      <c r="I102" s="4">
        <v>11</v>
      </c>
      <c r="J102" s="9">
        <f t="shared" si="25"/>
        <v>17</v>
      </c>
      <c r="K102" s="4">
        <v>38</v>
      </c>
      <c r="L102" s="4">
        <v>98</v>
      </c>
      <c r="M102" s="4">
        <v>122</v>
      </c>
      <c r="N102" s="4">
        <v>112</v>
      </c>
      <c r="O102" s="7">
        <v>0.30299999999999999</v>
      </c>
      <c r="P102" s="7">
        <v>0.35799999999999998</v>
      </c>
      <c r="Q102" s="4">
        <v>3</v>
      </c>
      <c r="R102" s="9">
        <f t="shared" si="26"/>
        <v>5</v>
      </c>
      <c r="S102" s="4" t="s">
        <v>153</v>
      </c>
      <c r="T102" s="4"/>
      <c r="U102" s="10" t="s">
        <v>32</v>
      </c>
      <c r="V102" s="10" t="s">
        <v>37</v>
      </c>
      <c r="W102" s="10">
        <v>4</v>
      </c>
      <c r="X102" s="10"/>
      <c r="Y102" s="10"/>
      <c r="Z102" s="10" t="s">
        <v>33</v>
      </c>
      <c r="AA102" s="11">
        <f t="shared" si="27"/>
        <v>13</v>
      </c>
      <c r="AB102" s="11">
        <f t="shared" si="28"/>
        <v>11</v>
      </c>
      <c r="AC102" s="11">
        <f t="shared" si="29"/>
        <v>5</v>
      </c>
      <c r="AD102" s="11">
        <v>1</v>
      </c>
      <c r="AE102" s="11">
        <v>3</v>
      </c>
      <c r="AF102" s="11">
        <v>5</v>
      </c>
      <c r="AG102" s="11">
        <v>8</v>
      </c>
      <c r="AH102" s="11">
        <v>15</v>
      </c>
      <c r="AI102" s="10">
        <v>16</v>
      </c>
      <c r="AJ102" s="11">
        <v>19</v>
      </c>
      <c r="AK102" s="11">
        <v>19</v>
      </c>
      <c r="AL102" s="11">
        <f t="shared" si="30"/>
        <v>20</v>
      </c>
    </row>
    <row r="103" spans="1:38" x14ac:dyDescent="0.2">
      <c r="A103" s="22" t="s">
        <v>347</v>
      </c>
      <c r="B103" s="4">
        <v>141</v>
      </c>
      <c r="C103" s="4">
        <v>520</v>
      </c>
      <c r="D103" s="4">
        <v>602</v>
      </c>
      <c r="E103" s="4">
        <v>156</v>
      </c>
      <c r="F103" s="4">
        <v>102</v>
      </c>
      <c r="G103" s="4">
        <v>31</v>
      </c>
      <c r="H103" s="4">
        <v>1</v>
      </c>
      <c r="I103" s="4">
        <v>22</v>
      </c>
      <c r="J103" s="9">
        <f t="shared" si="25"/>
        <v>25</v>
      </c>
      <c r="K103" s="4">
        <v>83</v>
      </c>
      <c r="L103" s="4">
        <v>86</v>
      </c>
      <c r="M103" s="4">
        <v>200</v>
      </c>
      <c r="N103" s="4">
        <v>147</v>
      </c>
      <c r="O103" s="7">
        <v>0.3</v>
      </c>
      <c r="P103" s="7">
        <v>0.38900000000000001</v>
      </c>
      <c r="Q103" s="4">
        <v>6</v>
      </c>
      <c r="R103" s="9">
        <f t="shared" si="26"/>
        <v>7</v>
      </c>
      <c r="S103" s="4" t="s">
        <v>153</v>
      </c>
      <c r="T103" s="4"/>
      <c r="U103" s="10" t="s">
        <v>44</v>
      </c>
      <c r="V103" s="10" t="s">
        <v>41</v>
      </c>
      <c r="W103" s="10">
        <v>2</v>
      </c>
      <c r="X103" s="10"/>
      <c r="Y103" s="10"/>
      <c r="Z103" s="10" t="s">
        <v>33</v>
      </c>
      <c r="AA103" s="11">
        <f t="shared" si="27"/>
        <v>14</v>
      </c>
      <c r="AB103" s="11">
        <f t="shared" si="28"/>
        <v>12</v>
      </c>
      <c r="AC103" s="11">
        <f t="shared" si="29"/>
        <v>5</v>
      </c>
      <c r="AD103" s="11">
        <v>1</v>
      </c>
      <c r="AE103" s="11">
        <v>3</v>
      </c>
      <c r="AF103" s="11">
        <v>5</v>
      </c>
      <c r="AG103" s="11">
        <v>10</v>
      </c>
      <c r="AH103" s="11">
        <v>16</v>
      </c>
      <c r="AI103" s="10">
        <v>16</v>
      </c>
      <c r="AJ103" s="11">
        <v>18</v>
      </c>
      <c r="AK103" s="11">
        <v>18</v>
      </c>
      <c r="AL103" s="11">
        <f t="shared" si="30"/>
        <v>19</v>
      </c>
    </row>
    <row r="104" spans="1:38" x14ac:dyDescent="0.2">
      <c r="A104" s="22" t="s">
        <v>348</v>
      </c>
      <c r="B104" s="4">
        <v>134</v>
      </c>
      <c r="C104" s="4">
        <v>508</v>
      </c>
      <c r="D104" s="4">
        <v>563</v>
      </c>
      <c r="E104" s="4">
        <v>160</v>
      </c>
      <c r="F104" s="4">
        <v>116</v>
      </c>
      <c r="G104" s="4">
        <v>29</v>
      </c>
      <c r="H104" s="4">
        <v>2</v>
      </c>
      <c r="I104" s="4">
        <v>13</v>
      </c>
      <c r="J104" s="9">
        <f t="shared" si="25"/>
        <v>16</v>
      </c>
      <c r="K104" s="4">
        <v>52</v>
      </c>
      <c r="L104" s="4">
        <v>100</v>
      </c>
      <c r="M104" s="4">
        <v>186</v>
      </c>
      <c r="N104" s="4">
        <v>116</v>
      </c>
      <c r="O104" s="7">
        <v>0.315</v>
      </c>
      <c r="P104" s="7">
        <v>0.373</v>
      </c>
      <c r="Q104" s="4">
        <v>2</v>
      </c>
      <c r="R104" s="9">
        <f t="shared" si="26"/>
        <v>2</v>
      </c>
      <c r="S104" s="4" t="s">
        <v>153</v>
      </c>
      <c r="T104" s="4"/>
      <c r="U104" s="10" t="s">
        <v>32</v>
      </c>
      <c r="V104" s="10" t="s">
        <v>5</v>
      </c>
      <c r="W104" s="10">
        <v>1</v>
      </c>
      <c r="X104" s="10" t="s">
        <v>41</v>
      </c>
      <c r="Y104" s="10">
        <v>1</v>
      </c>
      <c r="Z104" s="10" t="s">
        <v>33</v>
      </c>
      <c r="AA104" s="11">
        <f t="shared" si="27"/>
        <v>10</v>
      </c>
      <c r="AB104" s="11">
        <f t="shared" si="28"/>
        <v>12</v>
      </c>
      <c r="AC104" s="11">
        <f t="shared" si="29"/>
        <v>5</v>
      </c>
      <c r="AD104" s="11">
        <v>1</v>
      </c>
      <c r="AE104" s="11">
        <v>4</v>
      </c>
      <c r="AF104" s="11">
        <v>5</v>
      </c>
      <c r="AG104" s="11">
        <v>8</v>
      </c>
      <c r="AH104" s="11">
        <v>17</v>
      </c>
      <c r="AI104" s="10">
        <v>17</v>
      </c>
      <c r="AJ104" s="11">
        <v>19</v>
      </c>
      <c r="AK104" s="11">
        <v>19</v>
      </c>
      <c r="AL104" s="11">
        <f t="shared" si="30"/>
        <v>20</v>
      </c>
    </row>
    <row r="105" spans="1:38" x14ac:dyDescent="0.2">
      <c r="A105" s="22" t="s">
        <v>349</v>
      </c>
      <c r="B105" s="4">
        <v>108</v>
      </c>
      <c r="C105" s="4">
        <v>296</v>
      </c>
      <c r="D105" s="4">
        <v>319</v>
      </c>
      <c r="E105" s="4">
        <v>84</v>
      </c>
      <c r="F105" s="4">
        <v>53</v>
      </c>
      <c r="G105" s="4">
        <v>14</v>
      </c>
      <c r="H105" s="4">
        <v>0</v>
      </c>
      <c r="I105" s="4">
        <v>17</v>
      </c>
      <c r="J105" s="9">
        <f t="shared" si="25"/>
        <v>26</v>
      </c>
      <c r="K105" s="4">
        <v>23</v>
      </c>
      <c r="L105" s="4">
        <v>80</v>
      </c>
      <c r="M105" s="4">
        <v>96</v>
      </c>
      <c r="N105" s="4">
        <v>78</v>
      </c>
      <c r="O105" s="7">
        <v>0.28399999999999997</v>
      </c>
      <c r="P105" s="7">
        <v>0.33500000000000002</v>
      </c>
      <c r="Q105" s="4">
        <v>0</v>
      </c>
      <c r="R105" s="9">
        <f t="shared" si="26"/>
        <v>0</v>
      </c>
      <c r="S105" s="4" t="s">
        <v>153</v>
      </c>
      <c r="T105" s="4"/>
      <c r="U105" s="10" t="s">
        <v>32</v>
      </c>
      <c r="V105" s="10" t="s">
        <v>5</v>
      </c>
      <c r="W105" s="10">
        <v>1</v>
      </c>
      <c r="X105" s="10"/>
      <c r="Y105" s="10"/>
      <c r="Z105" s="10" t="s">
        <v>42</v>
      </c>
      <c r="AA105" s="11">
        <f t="shared" si="27"/>
        <v>8</v>
      </c>
      <c r="AB105" s="11">
        <f t="shared" si="28"/>
        <v>10</v>
      </c>
      <c r="AC105" s="11">
        <f t="shared" si="29"/>
        <v>6</v>
      </c>
      <c r="AD105" s="11">
        <v>2</v>
      </c>
      <c r="AE105" s="11">
        <v>4</v>
      </c>
      <c r="AF105" s="11">
        <v>6</v>
      </c>
      <c r="AG105" s="11">
        <v>9</v>
      </c>
      <c r="AH105" s="11">
        <v>16</v>
      </c>
      <c r="AI105" s="10">
        <v>16</v>
      </c>
      <c r="AJ105" s="11">
        <v>18</v>
      </c>
      <c r="AK105" s="11">
        <v>18</v>
      </c>
      <c r="AL105" s="11">
        <f t="shared" si="30"/>
        <v>19</v>
      </c>
    </row>
    <row r="106" spans="1:38" x14ac:dyDescent="0.2">
      <c r="A106" s="22" t="s">
        <v>350</v>
      </c>
      <c r="B106" s="4">
        <v>157</v>
      </c>
      <c r="C106" s="4">
        <v>548</v>
      </c>
      <c r="D106" s="4">
        <v>628</v>
      </c>
      <c r="E106" s="4">
        <v>151</v>
      </c>
      <c r="F106" s="4">
        <v>115</v>
      </c>
      <c r="G106" s="4">
        <v>27</v>
      </c>
      <c r="H106" s="4">
        <v>2</v>
      </c>
      <c r="I106" s="4">
        <v>7</v>
      </c>
      <c r="J106" s="9">
        <f t="shared" si="25"/>
        <v>7</v>
      </c>
      <c r="K106" s="4">
        <v>73</v>
      </c>
      <c r="L106" s="4">
        <v>103</v>
      </c>
      <c r="M106" s="4">
        <v>223</v>
      </c>
      <c r="N106" s="4">
        <v>101</v>
      </c>
      <c r="O106" s="7">
        <v>0.27600000000000002</v>
      </c>
      <c r="P106" s="7">
        <v>0.35099999999999998</v>
      </c>
      <c r="Q106" s="4">
        <v>10</v>
      </c>
      <c r="R106" s="9">
        <f t="shared" si="26"/>
        <v>10</v>
      </c>
      <c r="S106" s="4" t="s">
        <v>153</v>
      </c>
      <c r="T106" s="4"/>
      <c r="U106" s="10" t="s">
        <v>32</v>
      </c>
      <c r="V106" s="10" t="s">
        <v>45</v>
      </c>
      <c r="W106" s="10">
        <v>3</v>
      </c>
      <c r="X106" s="10"/>
      <c r="Y106" s="10"/>
      <c r="Z106" s="10" t="s">
        <v>42</v>
      </c>
      <c r="AA106" s="11">
        <f t="shared" si="27"/>
        <v>15</v>
      </c>
      <c r="AB106" s="11">
        <f t="shared" si="28"/>
        <v>11</v>
      </c>
      <c r="AC106" s="11">
        <f t="shared" si="29"/>
        <v>6</v>
      </c>
      <c r="AD106" s="11">
        <v>1</v>
      </c>
      <c r="AE106" s="11">
        <v>5</v>
      </c>
      <c r="AF106" s="11">
        <v>6</v>
      </c>
      <c r="AG106" s="11">
        <v>11</v>
      </c>
      <c r="AH106" s="11">
        <v>18</v>
      </c>
      <c r="AI106" s="10">
        <v>18</v>
      </c>
      <c r="AJ106" s="11">
        <v>20</v>
      </c>
      <c r="AK106" s="11">
        <v>20</v>
      </c>
      <c r="AL106" s="11">
        <f t="shared" si="30"/>
        <v>21</v>
      </c>
    </row>
    <row r="107" spans="1:38" x14ac:dyDescent="0.2">
      <c r="A107" s="22" t="s">
        <v>351</v>
      </c>
      <c r="B107" s="4">
        <v>136</v>
      </c>
      <c r="C107" s="4">
        <v>505</v>
      </c>
      <c r="D107" s="4">
        <v>541</v>
      </c>
      <c r="E107" s="4">
        <v>161</v>
      </c>
      <c r="F107" s="4">
        <v>105</v>
      </c>
      <c r="G107" s="4">
        <v>44</v>
      </c>
      <c r="H107" s="4">
        <v>0</v>
      </c>
      <c r="I107" s="4">
        <v>12</v>
      </c>
      <c r="J107" s="9">
        <f t="shared" si="25"/>
        <v>14</v>
      </c>
      <c r="K107" s="4">
        <v>37</v>
      </c>
      <c r="L107" s="4">
        <v>55</v>
      </c>
      <c r="M107" s="4">
        <v>190</v>
      </c>
      <c r="N107" s="4">
        <v>153</v>
      </c>
      <c r="O107" s="7">
        <v>0.31900000000000001</v>
      </c>
      <c r="P107" s="7">
        <v>0.35899999999999999</v>
      </c>
      <c r="Q107" s="4">
        <v>3</v>
      </c>
      <c r="R107" s="9">
        <f t="shared" si="26"/>
        <v>4</v>
      </c>
      <c r="S107" s="4" t="s">
        <v>153</v>
      </c>
      <c r="T107" s="4"/>
      <c r="U107" s="10" t="s">
        <v>32</v>
      </c>
      <c r="V107" s="10" t="s">
        <v>32</v>
      </c>
      <c r="W107" s="10">
        <v>9</v>
      </c>
      <c r="X107" s="10"/>
      <c r="Y107" s="10"/>
      <c r="Z107" s="10" t="s">
        <v>33</v>
      </c>
      <c r="AA107" s="11">
        <f t="shared" si="27"/>
        <v>12</v>
      </c>
      <c r="AB107" s="11">
        <f t="shared" si="28"/>
        <v>11</v>
      </c>
      <c r="AC107" s="11">
        <f t="shared" si="29"/>
        <v>5</v>
      </c>
      <c r="AD107" s="11">
        <v>1</v>
      </c>
      <c r="AE107" s="11">
        <v>3</v>
      </c>
      <c r="AF107" s="11">
        <v>5</v>
      </c>
      <c r="AG107" s="11">
        <v>8</v>
      </c>
      <c r="AH107" s="11">
        <v>16</v>
      </c>
      <c r="AI107" s="10">
        <v>16</v>
      </c>
      <c r="AJ107" s="11">
        <v>19</v>
      </c>
      <c r="AK107" s="11">
        <v>19</v>
      </c>
      <c r="AL107" s="11">
        <f t="shared" si="30"/>
        <v>20</v>
      </c>
    </row>
    <row r="108" spans="1:38" x14ac:dyDescent="0.2">
      <c r="A108" s="22" t="s">
        <v>352</v>
      </c>
      <c r="B108" s="4">
        <v>55</v>
      </c>
      <c r="C108" s="4">
        <v>175</v>
      </c>
      <c r="D108" s="4">
        <v>196</v>
      </c>
      <c r="E108" s="4">
        <v>48</v>
      </c>
      <c r="F108" s="4">
        <v>39</v>
      </c>
      <c r="G108" s="4">
        <v>3</v>
      </c>
      <c r="H108" s="4">
        <v>3</v>
      </c>
      <c r="I108" s="4">
        <v>3</v>
      </c>
      <c r="J108" s="9">
        <f t="shared" si="25"/>
        <v>9</v>
      </c>
      <c r="K108" s="4">
        <v>16</v>
      </c>
      <c r="L108" s="4">
        <v>43</v>
      </c>
      <c r="M108" s="4">
        <v>74</v>
      </c>
      <c r="N108" s="4">
        <v>34</v>
      </c>
      <c r="O108" s="7">
        <v>0.27400000000000002</v>
      </c>
      <c r="P108" s="7">
        <v>0.33300000000000002</v>
      </c>
      <c r="Q108" s="4">
        <v>6</v>
      </c>
      <c r="R108" s="9">
        <f t="shared" si="26"/>
        <v>18</v>
      </c>
      <c r="S108" s="4" t="s">
        <v>153</v>
      </c>
      <c r="T108" s="4"/>
      <c r="U108" s="10" t="s">
        <v>32</v>
      </c>
      <c r="V108" s="10" t="s">
        <v>45</v>
      </c>
      <c r="W108" s="10">
        <v>2</v>
      </c>
      <c r="X108" s="10"/>
      <c r="Y108" s="10"/>
      <c r="Z108" s="10" t="s">
        <v>33</v>
      </c>
      <c r="AA108" s="11">
        <f t="shared" si="27"/>
        <v>17</v>
      </c>
      <c r="AB108" s="11">
        <f t="shared" si="28"/>
        <v>10</v>
      </c>
      <c r="AC108" s="11">
        <f t="shared" si="29"/>
        <v>6</v>
      </c>
      <c r="AD108" s="11">
        <v>2</v>
      </c>
      <c r="AE108" s="11">
        <v>5</v>
      </c>
      <c r="AF108" s="11">
        <v>6</v>
      </c>
      <c r="AG108" s="11">
        <v>10</v>
      </c>
      <c r="AH108" s="11">
        <v>17</v>
      </c>
      <c r="AI108" s="10">
        <v>18</v>
      </c>
      <c r="AJ108" s="11">
        <v>19</v>
      </c>
      <c r="AK108" s="11">
        <v>20</v>
      </c>
      <c r="AL108" s="11">
        <f t="shared" si="30"/>
        <v>21</v>
      </c>
    </row>
    <row r="109" spans="1:38" x14ac:dyDescent="0.2">
      <c r="A109" s="22" t="s">
        <v>353</v>
      </c>
      <c r="B109" s="4">
        <v>32</v>
      </c>
      <c r="C109" s="4">
        <v>59</v>
      </c>
      <c r="D109" s="4">
        <v>62</v>
      </c>
      <c r="E109" s="4">
        <v>9</v>
      </c>
      <c r="F109" s="4">
        <v>8</v>
      </c>
      <c r="G109" s="4">
        <v>1</v>
      </c>
      <c r="H109" s="4">
        <v>0</v>
      </c>
      <c r="I109" s="4">
        <v>0</v>
      </c>
      <c r="J109" s="9">
        <f t="shared" si="25"/>
        <v>0</v>
      </c>
      <c r="K109" s="4">
        <v>3</v>
      </c>
      <c r="L109" s="4">
        <v>12</v>
      </c>
      <c r="M109" s="4">
        <v>28</v>
      </c>
      <c r="N109" s="4">
        <v>10</v>
      </c>
      <c r="O109" s="7">
        <v>0.153</v>
      </c>
      <c r="P109" s="7">
        <v>0.19400000000000001</v>
      </c>
      <c r="Q109" s="4">
        <v>3</v>
      </c>
      <c r="R109" s="9">
        <f t="shared" si="26"/>
        <v>15</v>
      </c>
      <c r="S109" s="4" t="s">
        <v>153</v>
      </c>
      <c r="T109" s="4"/>
      <c r="U109" s="10" t="s">
        <v>32</v>
      </c>
      <c r="V109" s="10" t="s">
        <v>6</v>
      </c>
      <c r="W109" s="10">
        <v>5</v>
      </c>
      <c r="X109" s="10"/>
      <c r="Y109" s="10"/>
      <c r="Z109" s="10" t="s">
        <v>42</v>
      </c>
      <c r="AA109" s="11">
        <f t="shared" si="27"/>
        <v>16</v>
      </c>
      <c r="AB109" s="11">
        <f t="shared" si="28"/>
        <v>9</v>
      </c>
      <c r="AC109" s="11">
        <f t="shared" si="29"/>
        <v>8</v>
      </c>
      <c r="AD109" s="11">
        <v>2</v>
      </c>
      <c r="AE109" s="11">
        <v>6</v>
      </c>
      <c r="AF109" s="11">
        <v>8</v>
      </c>
      <c r="AG109" s="11">
        <v>11</v>
      </c>
      <c r="AH109" s="11">
        <v>20</v>
      </c>
      <c r="AI109" s="10">
        <v>20</v>
      </c>
      <c r="AJ109" s="11">
        <v>21</v>
      </c>
      <c r="AK109" s="11">
        <v>21</v>
      </c>
      <c r="AL109" s="11">
        <f t="shared" si="30"/>
        <v>22</v>
      </c>
    </row>
    <row r="110" spans="1:38" x14ac:dyDescent="0.2">
      <c r="A110" s="22" t="s">
        <v>354</v>
      </c>
      <c r="B110" s="4">
        <v>123</v>
      </c>
      <c r="C110" s="4">
        <v>328</v>
      </c>
      <c r="D110" s="4">
        <v>358</v>
      </c>
      <c r="E110" s="4">
        <v>78</v>
      </c>
      <c r="F110" s="4">
        <v>47</v>
      </c>
      <c r="G110" s="4">
        <v>25</v>
      </c>
      <c r="H110" s="4">
        <v>1</v>
      </c>
      <c r="I110" s="4">
        <v>5</v>
      </c>
      <c r="J110" s="9">
        <f t="shared" si="25"/>
        <v>7</v>
      </c>
      <c r="K110" s="4">
        <v>30</v>
      </c>
      <c r="L110" s="4">
        <v>56</v>
      </c>
      <c r="M110" s="4">
        <v>130</v>
      </c>
      <c r="N110" s="4">
        <v>94</v>
      </c>
      <c r="O110" s="7">
        <v>0.23799999999999999</v>
      </c>
      <c r="P110" s="7">
        <v>0.28999999999999998</v>
      </c>
      <c r="Q110" s="4">
        <v>6</v>
      </c>
      <c r="R110" s="9">
        <f t="shared" si="26"/>
        <v>8</v>
      </c>
      <c r="S110" s="4" t="s">
        <v>153</v>
      </c>
      <c r="T110" s="4"/>
      <c r="U110" s="10" t="s">
        <v>32</v>
      </c>
      <c r="V110" s="10" t="s">
        <v>53</v>
      </c>
      <c r="W110" s="10">
        <v>2</v>
      </c>
      <c r="X110" s="10" t="s">
        <v>7</v>
      </c>
      <c r="Y110" s="10">
        <v>1</v>
      </c>
      <c r="Z110" s="10" t="s">
        <v>42</v>
      </c>
      <c r="AA110" s="11">
        <f t="shared" si="27"/>
        <v>14</v>
      </c>
      <c r="AB110" s="11">
        <f t="shared" si="28"/>
        <v>9</v>
      </c>
      <c r="AC110" s="11">
        <f t="shared" si="29"/>
        <v>7</v>
      </c>
      <c r="AD110" s="11">
        <v>1</v>
      </c>
      <c r="AE110" s="11">
        <v>5</v>
      </c>
      <c r="AF110" s="11">
        <v>7</v>
      </c>
      <c r="AG110" s="11">
        <v>11</v>
      </c>
      <c r="AH110" s="11">
        <v>17</v>
      </c>
      <c r="AI110" s="10">
        <v>17</v>
      </c>
      <c r="AJ110" s="11">
        <v>20</v>
      </c>
      <c r="AK110" s="11">
        <v>20</v>
      </c>
      <c r="AL110" s="11">
        <f t="shared" si="30"/>
        <v>21</v>
      </c>
    </row>
    <row r="111" spans="1:38" x14ac:dyDescent="0.2">
      <c r="A111" s="22" t="s">
        <v>355</v>
      </c>
      <c r="B111" s="4">
        <v>126</v>
      </c>
      <c r="C111" s="4">
        <v>433</v>
      </c>
      <c r="D111" s="4">
        <v>480</v>
      </c>
      <c r="E111" s="4">
        <v>117</v>
      </c>
      <c r="F111" s="4">
        <v>96</v>
      </c>
      <c r="G111" s="4">
        <v>13</v>
      </c>
      <c r="H111" s="4">
        <v>2</v>
      </c>
      <c r="I111" s="4">
        <v>6</v>
      </c>
      <c r="J111" s="9">
        <f t="shared" si="25"/>
        <v>8</v>
      </c>
      <c r="K111" s="4">
        <v>38</v>
      </c>
      <c r="L111" s="4">
        <v>74</v>
      </c>
      <c r="M111" s="4">
        <v>153</v>
      </c>
      <c r="N111" s="4">
        <v>119</v>
      </c>
      <c r="O111" s="7">
        <v>0.27</v>
      </c>
      <c r="P111" s="7">
        <v>0.32300000000000001</v>
      </c>
      <c r="Q111" s="4">
        <v>4</v>
      </c>
      <c r="R111" s="9">
        <f t="shared" si="26"/>
        <v>5</v>
      </c>
      <c r="S111" s="4" t="s">
        <v>153</v>
      </c>
      <c r="T111" s="4"/>
      <c r="U111" s="10" t="s">
        <v>32</v>
      </c>
      <c r="V111" s="10" t="s">
        <v>6</v>
      </c>
      <c r="W111" s="10">
        <v>4</v>
      </c>
      <c r="X111" s="10"/>
      <c r="Y111" s="10"/>
      <c r="Z111" s="10" t="s">
        <v>33</v>
      </c>
      <c r="AA111" s="11">
        <f t="shared" si="27"/>
        <v>13</v>
      </c>
      <c r="AB111" s="11">
        <f t="shared" si="28"/>
        <v>10</v>
      </c>
      <c r="AC111" s="11">
        <f t="shared" si="29"/>
        <v>6</v>
      </c>
      <c r="AD111" s="11">
        <v>1</v>
      </c>
      <c r="AE111" s="11">
        <v>4</v>
      </c>
      <c r="AF111" s="11">
        <v>6</v>
      </c>
      <c r="AG111" s="11">
        <v>9</v>
      </c>
      <c r="AH111" s="11">
        <v>18</v>
      </c>
      <c r="AI111" s="10">
        <v>18</v>
      </c>
      <c r="AJ111" s="11">
        <v>19</v>
      </c>
      <c r="AK111" s="11">
        <v>20</v>
      </c>
      <c r="AL111" s="11">
        <f t="shared" si="30"/>
        <v>21</v>
      </c>
    </row>
    <row r="112" spans="1:38" x14ac:dyDescent="0.2">
      <c r="A112" s="22" t="s">
        <v>356</v>
      </c>
      <c r="B112" s="4">
        <v>62</v>
      </c>
      <c r="C112" s="4">
        <v>239</v>
      </c>
      <c r="D112" s="4">
        <v>262</v>
      </c>
      <c r="E112" s="4">
        <v>76</v>
      </c>
      <c r="F112" s="4">
        <v>49</v>
      </c>
      <c r="G112" s="4">
        <v>18</v>
      </c>
      <c r="H112" s="4">
        <v>1</v>
      </c>
      <c r="I112" s="4">
        <v>8</v>
      </c>
      <c r="J112" s="9">
        <f t="shared" si="25"/>
        <v>21</v>
      </c>
      <c r="K112" s="4">
        <v>26</v>
      </c>
      <c r="L112" s="4">
        <v>31</v>
      </c>
      <c r="M112" s="4"/>
      <c r="N112" s="4"/>
      <c r="O112" s="7">
        <v>0.28799999999999998</v>
      </c>
      <c r="P112" s="7">
        <v>0.34</v>
      </c>
      <c r="Q112" s="4">
        <v>1</v>
      </c>
      <c r="R112" s="9">
        <f t="shared" si="26"/>
        <v>3</v>
      </c>
      <c r="S112" s="4" t="s">
        <v>153</v>
      </c>
      <c r="T112" s="4"/>
      <c r="U112" s="10" t="s">
        <v>32</v>
      </c>
      <c r="V112" s="10" t="s">
        <v>41</v>
      </c>
      <c r="W112" s="10">
        <v>1</v>
      </c>
      <c r="X112" s="10"/>
      <c r="Y112" s="10"/>
      <c r="Z112" s="10" t="s">
        <v>42</v>
      </c>
      <c r="AA112" s="11">
        <f t="shared" si="27"/>
        <v>11</v>
      </c>
      <c r="AB112" s="11">
        <f t="shared" si="28"/>
        <v>11</v>
      </c>
      <c r="AC112" s="11">
        <f t="shared" si="29"/>
        <v>6</v>
      </c>
      <c r="AD112" s="11">
        <v>1</v>
      </c>
      <c r="AE112" s="11">
        <v>4</v>
      </c>
      <c r="AF112" s="11">
        <v>6</v>
      </c>
      <c r="AG112" s="11">
        <v>9</v>
      </c>
      <c r="AH112" s="11">
        <v>16</v>
      </c>
      <c r="AI112" s="10">
        <v>16</v>
      </c>
      <c r="AJ112" s="11">
        <v>18</v>
      </c>
      <c r="AK112" s="11">
        <v>18</v>
      </c>
      <c r="AL112" s="11">
        <f t="shared" si="30"/>
        <v>19</v>
      </c>
    </row>
    <row r="113" spans="1:38" x14ac:dyDescent="0.2">
      <c r="A113" s="22" t="s">
        <v>357</v>
      </c>
      <c r="B113" s="4">
        <v>51</v>
      </c>
      <c r="C113" s="4">
        <v>123</v>
      </c>
      <c r="D113" s="4">
        <v>129</v>
      </c>
      <c r="E113" s="4">
        <v>25</v>
      </c>
      <c r="F113" s="4">
        <v>17</v>
      </c>
      <c r="G113" s="4">
        <v>6</v>
      </c>
      <c r="H113" s="4">
        <v>1</v>
      </c>
      <c r="I113" s="4">
        <v>1</v>
      </c>
      <c r="J113" s="9">
        <f t="shared" si="25"/>
        <v>3</v>
      </c>
      <c r="K113" s="4">
        <v>7</v>
      </c>
      <c r="L113" s="4">
        <v>25</v>
      </c>
      <c r="M113" s="4">
        <v>53</v>
      </c>
      <c r="N113" s="4">
        <v>27</v>
      </c>
      <c r="O113" s="7">
        <v>0.20300000000000001</v>
      </c>
      <c r="P113" s="7">
        <v>0.24</v>
      </c>
      <c r="Q113" s="4">
        <v>0</v>
      </c>
      <c r="R113" s="9">
        <f t="shared" si="26"/>
        <v>0</v>
      </c>
      <c r="S113" s="4" t="s">
        <v>153</v>
      </c>
      <c r="T113" s="4"/>
      <c r="U113" s="10" t="s">
        <v>32</v>
      </c>
      <c r="V113" s="10" t="s">
        <v>32</v>
      </c>
      <c r="W113" s="10">
        <v>7</v>
      </c>
      <c r="X113" s="10"/>
      <c r="Y113" s="10"/>
      <c r="Z113" s="10" t="s">
        <v>33</v>
      </c>
      <c r="AA113" s="11">
        <f t="shared" si="27"/>
        <v>8</v>
      </c>
      <c r="AB113" s="11">
        <f t="shared" si="28"/>
        <v>9</v>
      </c>
      <c r="AC113" s="11">
        <f t="shared" si="29"/>
        <v>7</v>
      </c>
      <c r="AD113" s="11">
        <v>2</v>
      </c>
      <c r="AE113" s="11">
        <v>5</v>
      </c>
      <c r="AF113" s="11">
        <v>7</v>
      </c>
      <c r="AG113" s="11">
        <v>10</v>
      </c>
      <c r="AH113" s="11">
        <v>18</v>
      </c>
      <c r="AI113" s="10">
        <v>18</v>
      </c>
      <c r="AJ113" s="11">
        <v>20</v>
      </c>
      <c r="AK113" s="11">
        <v>20</v>
      </c>
      <c r="AL113" s="11">
        <f t="shared" si="30"/>
        <v>21</v>
      </c>
    </row>
    <row r="114" spans="1:38" x14ac:dyDescent="0.2">
      <c r="A114" s="22" t="s">
        <v>358</v>
      </c>
      <c r="B114" s="4">
        <v>99</v>
      </c>
      <c r="C114" s="4">
        <v>144</v>
      </c>
      <c r="D114" s="4">
        <v>171</v>
      </c>
      <c r="E114" s="4">
        <v>36</v>
      </c>
      <c r="F114" s="4">
        <v>31</v>
      </c>
      <c r="G114" s="4">
        <v>2</v>
      </c>
      <c r="H114" s="4">
        <v>1</v>
      </c>
      <c r="I114" s="4">
        <v>2</v>
      </c>
      <c r="J114" s="9">
        <f t="shared" si="25"/>
        <v>3</v>
      </c>
      <c r="K114" s="4">
        <v>23</v>
      </c>
      <c r="L114" s="4">
        <v>17</v>
      </c>
      <c r="M114" s="4">
        <v>59</v>
      </c>
      <c r="N114" s="4">
        <v>39</v>
      </c>
      <c r="O114" s="7">
        <v>0.25</v>
      </c>
      <c r="P114" s="7">
        <v>0.34499999999999997</v>
      </c>
      <c r="Q114" s="4">
        <v>5</v>
      </c>
      <c r="R114" s="9">
        <f t="shared" si="26"/>
        <v>8</v>
      </c>
      <c r="S114" s="4" t="s">
        <v>153</v>
      </c>
      <c r="T114" s="4"/>
      <c r="U114" s="10" t="s">
        <v>32</v>
      </c>
      <c r="V114" s="10" t="s">
        <v>56</v>
      </c>
      <c r="W114" s="10">
        <v>1</v>
      </c>
      <c r="X114" s="10"/>
      <c r="Y114" s="10"/>
      <c r="Z114" s="10" t="s">
        <v>33</v>
      </c>
      <c r="AA114" s="11">
        <f t="shared" si="27"/>
        <v>14</v>
      </c>
      <c r="AB114" s="11">
        <f t="shared" si="28"/>
        <v>11</v>
      </c>
      <c r="AC114" s="11">
        <f t="shared" si="29"/>
        <v>6</v>
      </c>
      <c r="AD114" s="11">
        <v>1</v>
      </c>
      <c r="AE114" s="11">
        <v>4</v>
      </c>
      <c r="AF114" s="11">
        <v>6</v>
      </c>
      <c r="AG114" s="11">
        <v>11</v>
      </c>
      <c r="AH114" s="11">
        <v>18</v>
      </c>
      <c r="AI114" s="10">
        <v>19</v>
      </c>
      <c r="AJ114" s="11">
        <v>20</v>
      </c>
      <c r="AK114" s="11">
        <v>20</v>
      </c>
      <c r="AL114" s="11">
        <f t="shared" si="30"/>
        <v>21</v>
      </c>
    </row>
    <row r="115" spans="1:38" x14ac:dyDescent="0.2">
      <c r="B115" s="4"/>
      <c r="C115" s="4"/>
      <c r="D115" s="4"/>
      <c r="E115" s="4"/>
      <c r="F115" s="4"/>
      <c r="G115" s="4"/>
      <c r="H115" s="4"/>
      <c r="I115" s="4"/>
      <c r="J115" s="9" t="e">
        <f t="shared" si="25"/>
        <v>#DIV/0!</v>
      </c>
      <c r="K115" s="4"/>
      <c r="L115" s="4"/>
      <c r="M115" s="4"/>
      <c r="N115" s="4"/>
      <c r="O115" s="7"/>
      <c r="P115" s="7"/>
      <c r="Q115" s="4"/>
      <c r="R115" s="9" t="e">
        <f t="shared" si="26"/>
        <v>#DIV/0!</v>
      </c>
      <c r="S115" s="2" t="s">
        <v>154</v>
      </c>
      <c r="T115" s="4"/>
      <c r="U115" s="10"/>
      <c r="V115" s="10"/>
      <c r="W115" s="10"/>
      <c r="X115" s="10"/>
      <c r="Y115" s="10"/>
      <c r="Z115" s="10"/>
      <c r="AA115" s="11" t="e">
        <f t="shared" si="27"/>
        <v>#DIV/0!</v>
      </c>
      <c r="AB115" s="11">
        <f t="shared" si="28"/>
        <v>9</v>
      </c>
      <c r="AC115" s="11">
        <f t="shared" si="29"/>
        <v>8</v>
      </c>
      <c r="AD115" s="11" t="e">
        <f t="shared" ref="AD101:AD121" si="31">ROUND(L115/($L115+$M115+$N115)*$AC115, 0)</f>
        <v>#DIV/0!</v>
      </c>
      <c r="AE115" s="11" t="e">
        <f t="shared" ref="AE101:AE121" si="32">ROUND(M115/($L115+$M115+$N115)*$AC115, 0)</f>
        <v>#DIV/0!</v>
      </c>
      <c r="AF115" s="11" t="e">
        <f t="shared" ref="AF101:AF121" si="33">ROUND(N115/($L115+$M115+$N115)*$AC115, 0)</f>
        <v>#DIV/0!</v>
      </c>
      <c r="AG115" s="11" t="e">
        <f t="shared" ref="AG101:AG121" si="34">ROUND(K115/($K115+E115)*(AL115-AC115-1), 0)</f>
        <v>#DIV/0!</v>
      </c>
      <c r="AH115" s="11" t="e">
        <f t="shared" ref="AH101:AH121" si="35">ROUND(F115/($K115+$E115)*($AL115-$AC115-1), 0)</f>
        <v>#DIV/0!</v>
      </c>
      <c r="AI115" s="10"/>
      <c r="AJ115" s="11" t="e">
        <f t="shared" ref="AJ101:AJ121" si="36">ROUND(G115/($K115+$E115)*($AL115-$AC115-1), 0)</f>
        <v>#DIV/0!</v>
      </c>
      <c r="AK115" s="11" t="e">
        <f t="shared" ref="AK101:AK121" si="37">ROUND(H115/($K115+$E115)*($AL115-$AC115-1), 0)</f>
        <v>#DIV/0!</v>
      </c>
      <c r="AL115" s="11" t="e">
        <f t="shared" si="30"/>
        <v>#DIV/0!</v>
      </c>
    </row>
    <row r="116" spans="1:38" x14ac:dyDescent="0.2">
      <c r="B116" s="4"/>
      <c r="C116" s="4"/>
      <c r="D116" s="4"/>
      <c r="E116" s="4"/>
      <c r="F116" s="4"/>
      <c r="G116" s="4"/>
      <c r="H116" s="4"/>
      <c r="I116" s="4"/>
      <c r="J116" s="9" t="e">
        <f t="shared" si="25"/>
        <v>#DIV/0!</v>
      </c>
      <c r="K116" s="4"/>
      <c r="L116" s="4"/>
      <c r="M116" s="4"/>
      <c r="N116" s="4"/>
      <c r="O116" s="7"/>
      <c r="P116" s="7"/>
      <c r="Q116" s="4"/>
      <c r="R116" s="9" t="e">
        <f t="shared" si="26"/>
        <v>#DIV/0!</v>
      </c>
      <c r="S116" s="2" t="s">
        <v>154</v>
      </c>
      <c r="T116" s="4"/>
      <c r="U116" s="10"/>
      <c r="V116" s="10"/>
      <c r="W116" s="10"/>
      <c r="X116" s="10"/>
      <c r="Y116" s="10"/>
      <c r="Z116" s="10"/>
      <c r="AA116" s="11" t="e">
        <f t="shared" si="27"/>
        <v>#DIV/0!</v>
      </c>
      <c r="AB116" s="11">
        <f t="shared" si="28"/>
        <v>9</v>
      </c>
      <c r="AC116" s="11">
        <f t="shared" si="29"/>
        <v>8</v>
      </c>
      <c r="AD116" s="11" t="e">
        <f t="shared" si="31"/>
        <v>#DIV/0!</v>
      </c>
      <c r="AE116" s="11" t="e">
        <f t="shared" si="32"/>
        <v>#DIV/0!</v>
      </c>
      <c r="AF116" s="11" t="e">
        <f t="shared" si="33"/>
        <v>#DIV/0!</v>
      </c>
      <c r="AG116" s="11" t="e">
        <f t="shared" si="34"/>
        <v>#DIV/0!</v>
      </c>
      <c r="AH116" s="11" t="e">
        <f t="shared" si="35"/>
        <v>#DIV/0!</v>
      </c>
      <c r="AI116" s="10"/>
      <c r="AJ116" s="11" t="e">
        <f t="shared" si="36"/>
        <v>#DIV/0!</v>
      </c>
      <c r="AK116" s="11" t="e">
        <f t="shared" si="37"/>
        <v>#DIV/0!</v>
      </c>
      <c r="AL116" s="11" t="e">
        <f t="shared" si="30"/>
        <v>#DIV/0!</v>
      </c>
    </row>
    <row r="117" spans="1:38" x14ac:dyDescent="0.2">
      <c r="B117" s="4"/>
      <c r="C117" s="4"/>
      <c r="D117" s="4"/>
      <c r="E117" s="4"/>
      <c r="F117" s="4"/>
      <c r="G117" s="4"/>
      <c r="H117" s="4"/>
      <c r="I117" s="4"/>
      <c r="J117" s="9" t="e">
        <f t="shared" si="25"/>
        <v>#DIV/0!</v>
      </c>
      <c r="K117" s="4"/>
      <c r="L117" s="4"/>
      <c r="M117" s="4"/>
      <c r="N117" s="4"/>
      <c r="O117" s="7"/>
      <c r="P117" s="7"/>
      <c r="Q117" s="4"/>
      <c r="R117" s="9" t="e">
        <f t="shared" si="26"/>
        <v>#DIV/0!</v>
      </c>
      <c r="S117" s="2" t="s">
        <v>154</v>
      </c>
      <c r="T117" s="4"/>
      <c r="U117" s="10"/>
      <c r="V117" s="10"/>
      <c r="W117" s="10"/>
      <c r="X117" s="10"/>
      <c r="Y117" s="10"/>
      <c r="Z117" s="10"/>
      <c r="AA117" s="11" t="e">
        <f t="shared" si="27"/>
        <v>#DIV/0!</v>
      </c>
      <c r="AB117" s="11">
        <f t="shared" si="28"/>
        <v>9</v>
      </c>
      <c r="AC117" s="11">
        <f t="shared" si="29"/>
        <v>8</v>
      </c>
      <c r="AD117" s="11" t="e">
        <f t="shared" si="31"/>
        <v>#DIV/0!</v>
      </c>
      <c r="AE117" s="11" t="e">
        <f t="shared" si="32"/>
        <v>#DIV/0!</v>
      </c>
      <c r="AF117" s="11" t="e">
        <f t="shared" si="33"/>
        <v>#DIV/0!</v>
      </c>
      <c r="AG117" s="11" t="e">
        <f t="shared" si="34"/>
        <v>#DIV/0!</v>
      </c>
      <c r="AH117" s="11" t="e">
        <f t="shared" si="35"/>
        <v>#DIV/0!</v>
      </c>
      <c r="AI117" s="10"/>
      <c r="AJ117" s="11" t="e">
        <f t="shared" si="36"/>
        <v>#DIV/0!</v>
      </c>
      <c r="AK117" s="11" t="e">
        <f t="shared" si="37"/>
        <v>#DIV/0!</v>
      </c>
      <c r="AL117" s="11" t="e">
        <f t="shared" si="30"/>
        <v>#DIV/0!</v>
      </c>
    </row>
    <row r="118" spans="1:38" x14ac:dyDescent="0.2">
      <c r="B118" s="4"/>
      <c r="C118" s="4"/>
      <c r="D118" s="4"/>
      <c r="E118" s="4"/>
      <c r="F118" s="4"/>
      <c r="G118" s="4"/>
      <c r="H118" s="4"/>
      <c r="I118" s="4"/>
      <c r="J118" s="9" t="e">
        <f t="shared" si="25"/>
        <v>#DIV/0!</v>
      </c>
      <c r="K118" s="4"/>
      <c r="L118" s="4"/>
      <c r="M118" s="4"/>
      <c r="N118" s="4"/>
      <c r="O118" s="7"/>
      <c r="P118" s="7"/>
      <c r="Q118" s="4"/>
      <c r="R118" s="9" t="e">
        <f t="shared" si="26"/>
        <v>#DIV/0!</v>
      </c>
      <c r="S118" s="2" t="s">
        <v>154</v>
      </c>
      <c r="T118" s="4"/>
      <c r="U118" s="10"/>
      <c r="V118" s="10"/>
      <c r="W118" s="10"/>
      <c r="X118" s="10"/>
      <c r="Y118" s="10"/>
      <c r="Z118" s="10"/>
      <c r="AA118" s="11" t="e">
        <f t="shared" si="27"/>
        <v>#DIV/0!</v>
      </c>
      <c r="AB118" s="11">
        <f t="shared" si="28"/>
        <v>9</v>
      </c>
      <c r="AC118" s="11">
        <f t="shared" si="29"/>
        <v>8</v>
      </c>
      <c r="AD118" s="11" t="e">
        <f t="shared" si="31"/>
        <v>#DIV/0!</v>
      </c>
      <c r="AE118" s="11" t="e">
        <f t="shared" si="32"/>
        <v>#DIV/0!</v>
      </c>
      <c r="AF118" s="11" t="e">
        <f t="shared" si="33"/>
        <v>#DIV/0!</v>
      </c>
      <c r="AG118" s="11" t="e">
        <f t="shared" si="34"/>
        <v>#DIV/0!</v>
      </c>
      <c r="AH118" s="11" t="e">
        <f t="shared" si="35"/>
        <v>#DIV/0!</v>
      </c>
      <c r="AI118" s="10"/>
      <c r="AJ118" s="11" t="e">
        <f t="shared" si="36"/>
        <v>#DIV/0!</v>
      </c>
      <c r="AK118" s="11" t="e">
        <f t="shared" si="37"/>
        <v>#DIV/0!</v>
      </c>
      <c r="AL118" s="11" t="e">
        <f t="shared" si="30"/>
        <v>#DIV/0!</v>
      </c>
    </row>
    <row r="119" spans="1:38" x14ac:dyDescent="0.2">
      <c r="B119" s="4"/>
      <c r="C119" s="4"/>
      <c r="D119" s="4"/>
      <c r="E119" s="4"/>
      <c r="F119" s="4"/>
      <c r="G119" s="4"/>
      <c r="H119" s="4"/>
      <c r="I119" s="4"/>
      <c r="J119" s="9" t="e">
        <f t="shared" si="25"/>
        <v>#DIV/0!</v>
      </c>
      <c r="K119" s="4"/>
      <c r="L119" s="4"/>
      <c r="M119" s="4"/>
      <c r="N119" s="4"/>
      <c r="O119" s="7"/>
      <c r="P119" s="7"/>
      <c r="Q119" s="4"/>
      <c r="R119" s="9" t="e">
        <f t="shared" si="26"/>
        <v>#DIV/0!</v>
      </c>
      <c r="S119" s="2" t="s">
        <v>154</v>
      </c>
      <c r="T119" s="4"/>
      <c r="U119" s="10"/>
      <c r="V119" s="10"/>
      <c r="W119" s="10"/>
      <c r="X119" s="10"/>
      <c r="Y119" s="10"/>
      <c r="Z119" s="10"/>
      <c r="AA119" s="11" t="e">
        <f t="shared" si="27"/>
        <v>#DIV/0!</v>
      </c>
      <c r="AB119" s="11">
        <f t="shared" si="28"/>
        <v>9</v>
      </c>
      <c r="AC119" s="11">
        <f t="shared" si="29"/>
        <v>8</v>
      </c>
      <c r="AD119" s="11" t="e">
        <f t="shared" si="31"/>
        <v>#DIV/0!</v>
      </c>
      <c r="AE119" s="11" t="e">
        <f t="shared" si="32"/>
        <v>#DIV/0!</v>
      </c>
      <c r="AF119" s="11" t="e">
        <f t="shared" si="33"/>
        <v>#DIV/0!</v>
      </c>
      <c r="AG119" s="11" t="e">
        <f t="shared" si="34"/>
        <v>#DIV/0!</v>
      </c>
      <c r="AH119" s="11" t="e">
        <f t="shared" si="35"/>
        <v>#DIV/0!</v>
      </c>
      <c r="AI119" s="10"/>
      <c r="AJ119" s="11" t="e">
        <f t="shared" si="36"/>
        <v>#DIV/0!</v>
      </c>
      <c r="AK119" s="11" t="e">
        <f t="shared" si="37"/>
        <v>#DIV/0!</v>
      </c>
      <c r="AL119" s="11" t="e">
        <f t="shared" si="30"/>
        <v>#DIV/0!</v>
      </c>
    </row>
    <row r="120" spans="1:38" x14ac:dyDescent="0.2">
      <c r="B120" s="4"/>
      <c r="C120" s="4"/>
      <c r="D120" s="4"/>
      <c r="E120" s="4"/>
      <c r="F120" s="4"/>
      <c r="G120" s="4"/>
      <c r="H120" s="4"/>
      <c r="I120" s="4"/>
      <c r="J120" s="9" t="e">
        <f t="shared" si="25"/>
        <v>#DIV/0!</v>
      </c>
      <c r="K120" s="4"/>
      <c r="L120" s="4"/>
      <c r="M120" s="4"/>
      <c r="N120" s="4"/>
      <c r="O120" s="7"/>
      <c r="P120" s="7"/>
      <c r="Q120" s="4"/>
      <c r="R120" s="9" t="e">
        <f t="shared" si="26"/>
        <v>#DIV/0!</v>
      </c>
      <c r="S120" s="2" t="s">
        <v>154</v>
      </c>
      <c r="T120" s="4"/>
      <c r="U120" s="10"/>
      <c r="V120" s="10"/>
      <c r="W120" s="10"/>
      <c r="X120" s="10"/>
      <c r="Y120" s="10"/>
      <c r="Z120" s="10"/>
      <c r="AA120" s="11" t="e">
        <f t="shared" si="27"/>
        <v>#DIV/0!</v>
      </c>
      <c r="AB120" s="11">
        <f t="shared" si="28"/>
        <v>9</v>
      </c>
      <c r="AC120" s="11">
        <f t="shared" si="29"/>
        <v>8</v>
      </c>
      <c r="AD120" s="11" t="e">
        <f t="shared" si="31"/>
        <v>#DIV/0!</v>
      </c>
      <c r="AE120" s="11" t="e">
        <f t="shared" si="32"/>
        <v>#DIV/0!</v>
      </c>
      <c r="AF120" s="11" t="e">
        <f t="shared" si="33"/>
        <v>#DIV/0!</v>
      </c>
      <c r="AG120" s="11" t="e">
        <f t="shared" si="34"/>
        <v>#DIV/0!</v>
      </c>
      <c r="AH120" s="11" t="e">
        <f t="shared" si="35"/>
        <v>#DIV/0!</v>
      </c>
      <c r="AI120" s="10"/>
      <c r="AJ120" s="11" t="e">
        <f t="shared" si="36"/>
        <v>#DIV/0!</v>
      </c>
      <c r="AK120" s="11" t="e">
        <f t="shared" si="37"/>
        <v>#DIV/0!</v>
      </c>
      <c r="AL120" s="11" t="e">
        <f t="shared" si="30"/>
        <v>#DIV/0!</v>
      </c>
    </row>
    <row r="121" spans="1:38" x14ac:dyDescent="0.2">
      <c r="B121" s="4"/>
      <c r="C121" s="4"/>
      <c r="D121" s="4"/>
      <c r="E121" s="4"/>
      <c r="F121" s="4"/>
      <c r="G121" s="4"/>
      <c r="H121" s="4"/>
      <c r="I121" s="4"/>
      <c r="J121" s="9" t="e">
        <f t="shared" si="25"/>
        <v>#DIV/0!</v>
      </c>
      <c r="K121" s="4"/>
      <c r="L121" s="4"/>
      <c r="M121" s="4"/>
      <c r="N121" s="4"/>
      <c r="O121" s="7"/>
      <c r="P121" s="7"/>
      <c r="Q121" s="4"/>
      <c r="R121" s="9" t="e">
        <f t="shared" si="26"/>
        <v>#DIV/0!</v>
      </c>
      <c r="S121" s="2" t="s">
        <v>154</v>
      </c>
      <c r="T121" s="4"/>
      <c r="U121" s="10"/>
      <c r="V121" s="10"/>
      <c r="W121" s="10"/>
      <c r="X121" s="10"/>
      <c r="Y121" s="10"/>
      <c r="Z121" s="10"/>
      <c r="AA121" s="11" t="e">
        <f t="shared" si="27"/>
        <v>#DIV/0!</v>
      </c>
      <c r="AB121" s="11">
        <f t="shared" si="28"/>
        <v>9</v>
      </c>
      <c r="AC121" s="11">
        <f t="shared" si="29"/>
        <v>8</v>
      </c>
      <c r="AD121" s="11" t="e">
        <f t="shared" si="31"/>
        <v>#DIV/0!</v>
      </c>
      <c r="AE121" s="11" t="e">
        <f t="shared" si="32"/>
        <v>#DIV/0!</v>
      </c>
      <c r="AF121" s="11" t="e">
        <f t="shared" si="33"/>
        <v>#DIV/0!</v>
      </c>
      <c r="AG121" s="11" t="e">
        <f t="shared" si="34"/>
        <v>#DIV/0!</v>
      </c>
      <c r="AH121" s="11" t="e">
        <f t="shared" si="35"/>
        <v>#DIV/0!</v>
      </c>
      <c r="AI121" s="10"/>
      <c r="AJ121" s="11" t="e">
        <f t="shared" si="36"/>
        <v>#DIV/0!</v>
      </c>
      <c r="AK121" s="11" t="e">
        <f t="shared" si="37"/>
        <v>#DIV/0!</v>
      </c>
      <c r="AL121" s="11" t="e">
        <f t="shared" si="30"/>
        <v>#DIV/0!</v>
      </c>
    </row>
    <row r="122" spans="1:38" x14ac:dyDescent="0.2">
      <c r="B122" s="4"/>
      <c r="C122" s="4"/>
      <c r="D122" s="4"/>
      <c r="E122" s="4"/>
      <c r="F122" s="4"/>
      <c r="G122" s="4"/>
      <c r="H122" s="4"/>
      <c r="I122" s="4"/>
      <c r="J122" s="9" t="e">
        <f t="shared" ref="J122:J185" si="38">ROUND(I122/B122*162, 0)</f>
        <v>#DIV/0!</v>
      </c>
      <c r="K122" s="4"/>
      <c r="L122" s="4"/>
      <c r="M122" s="4"/>
      <c r="N122" s="4"/>
      <c r="O122" s="7"/>
      <c r="P122" s="7"/>
      <c r="Q122" s="4"/>
      <c r="R122" s="9" t="e">
        <f t="shared" ref="R122:R185" si="39">ROUND(Q122/B122*162, 0)</f>
        <v>#DIV/0!</v>
      </c>
      <c r="S122" s="2" t="s">
        <v>154</v>
      </c>
      <c r="T122" s="4"/>
      <c r="U122" s="10"/>
      <c r="V122" s="10"/>
      <c r="W122" s="10"/>
      <c r="X122" s="10"/>
      <c r="Y122" s="10"/>
      <c r="Z122" s="10"/>
      <c r="AA122" s="11" t="e">
        <f t="shared" ref="AA122:AA185" si="40">IF(R122=0,8,IF(R122&lt;2,9,IF(R122&lt;3,10,IF(R122&lt;4,11,IF(R122&lt;5,12,IF(R122&lt;7,13,IF(R122&lt;9,14,IF(R122&lt;11,15,IF(R122&lt;16,16,IF(R122&lt;21,17,IF(R122&lt;26,18,IF(R122&lt;31,19,IF(R122&lt;36,20,IF(R122&lt;41,21,IF(R122&lt;46,22,IF(R122&lt;51,23,24))))))))))))))))</f>
        <v>#DIV/0!</v>
      </c>
      <c r="AB122" s="11">
        <f t="shared" ref="AB122:AB185" si="41">IF(P122&lt;0.3,9,IF(P122&lt;0.34,10,IF(P122&lt;0.365,11,IF(P122&lt;0.39,12,IF(P122&lt;0.43,13,IF(P122&lt;0.475,14,IF(P122&lt;0.5,15,16)))))))</f>
        <v>9</v>
      </c>
      <c r="AC122" s="11">
        <f t="shared" ref="AC122:AC185" si="42">IF(O122&lt;0.2,8,IF(O122&lt;0.25,7,IF(O122&lt;0.3,6,IF(O122&lt;0.35,5,4))))</f>
        <v>8</v>
      </c>
      <c r="AD122" s="11" t="e">
        <f t="shared" ref="AD122:AD185" si="43">ROUND(L122/($L122+$M122+$N122)*$AC122, 0)</f>
        <v>#DIV/0!</v>
      </c>
      <c r="AE122" s="11" t="e">
        <f t="shared" ref="AE122:AE185" si="44">ROUND(M122/($L122+$M122+$N122)*$AC122, 0)</f>
        <v>#DIV/0!</v>
      </c>
      <c r="AF122" s="11" t="e">
        <f t="shared" ref="AF122:AF185" si="45">ROUND(N122/($L122+$M122+$N122)*$AC122, 0)</f>
        <v>#DIV/0!</v>
      </c>
      <c r="AG122" s="11" t="e">
        <f t="shared" ref="AG122:AG185" si="46">ROUND(K122/($K122+E122)*(AL122-AC122-1), 0)</f>
        <v>#DIV/0!</v>
      </c>
      <c r="AH122" s="11" t="e">
        <f t="shared" ref="AH122:AH185" si="47">ROUND(F122/($K122+$E122)*($AL122-$AC122-1), 0)</f>
        <v>#DIV/0!</v>
      </c>
      <c r="AI122" s="10"/>
      <c r="AJ122" s="11" t="e">
        <f t="shared" ref="AJ122:AJ185" si="48">ROUND(G122/($K122+$E122)*($AL122-$AC122-1), 0)</f>
        <v>#DIV/0!</v>
      </c>
      <c r="AK122" s="11" t="e">
        <f t="shared" ref="AK122:AK185" si="49">ROUND(H122/($K122+$E122)*($AL122-$AC122-1), 0)</f>
        <v>#DIV/0!</v>
      </c>
      <c r="AL122" s="11" t="e">
        <f t="shared" ref="AL122:AL185" si="50">IF(J122&lt;3,22,IF(J122&lt;10,21,IF(J122&lt;20,20,IF(J122&lt;30,19,IF(J122&lt;50,18,17)))))</f>
        <v>#DIV/0!</v>
      </c>
    </row>
    <row r="123" spans="1:38" x14ac:dyDescent="0.2">
      <c r="B123" s="4"/>
      <c r="C123" s="4"/>
      <c r="D123" s="4"/>
      <c r="E123" s="4"/>
      <c r="F123" s="4"/>
      <c r="G123" s="4"/>
      <c r="H123" s="4"/>
      <c r="I123" s="4"/>
      <c r="J123" s="9" t="e">
        <f t="shared" si="38"/>
        <v>#DIV/0!</v>
      </c>
      <c r="K123" s="4"/>
      <c r="L123" s="4"/>
      <c r="M123" s="4"/>
      <c r="N123" s="4"/>
      <c r="O123" s="7"/>
      <c r="P123" s="7"/>
      <c r="Q123" s="4"/>
      <c r="R123" s="9" t="e">
        <f t="shared" si="39"/>
        <v>#DIV/0!</v>
      </c>
      <c r="S123" s="2" t="s">
        <v>154</v>
      </c>
      <c r="T123" s="4"/>
      <c r="U123" s="10"/>
      <c r="V123" s="10"/>
      <c r="W123" s="10"/>
      <c r="X123" s="10"/>
      <c r="Y123" s="10"/>
      <c r="Z123" s="10"/>
      <c r="AA123" s="11" t="e">
        <f t="shared" si="40"/>
        <v>#DIV/0!</v>
      </c>
      <c r="AB123" s="11">
        <f t="shared" si="41"/>
        <v>9</v>
      </c>
      <c r="AC123" s="11">
        <f t="shared" si="42"/>
        <v>8</v>
      </c>
      <c r="AD123" s="11" t="e">
        <f t="shared" si="43"/>
        <v>#DIV/0!</v>
      </c>
      <c r="AE123" s="11" t="e">
        <f t="shared" si="44"/>
        <v>#DIV/0!</v>
      </c>
      <c r="AF123" s="11" t="e">
        <f t="shared" si="45"/>
        <v>#DIV/0!</v>
      </c>
      <c r="AG123" s="11" t="e">
        <f t="shared" si="46"/>
        <v>#DIV/0!</v>
      </c>
      <c r="AH123" s="11" t="e">
        <f t="shared" si="47"/>
        <v>#DIV/0!</v>
      </c>
      <c r="AI123" s="10"/>
      <c r="AJ123" s="11" t="e">
        <f t="shared" si="48"/>
        <v>#DIV/0!</v>
      </c>
      <c r="AK123" s="11" t="e">
        <f t="shared" si="49"/>
        <v>#DIV/0!</v>
      </c>
      <c r="AL123" s="11" t="e">
        <f t="shared" si="50"/>
        <v>#DIV/0!</v>
      </c>
    </row>
    <row r="124" spans="1:38" x14ac:dyDescent="0.2">
      <c r="B124" s="4"/>
      <c r="C124" s="4"/>
      <c r="D124" s="4"/>
      <c r="E124" s="4"/>
      <c r="F124" s="4"/>
      <c r="G124" s="4"/>
      <c r="H124" s="4"/>
      <c r="I124" s="4"/>
      <c r="J124" s="9" t="e">
        <f t="shared" si="38"/>
        <v>#DIV/0!</v>
      </c>
      <c r="K124" s="4"/>
      <c r="L124" s="4"/>
      <c r="M124" s="4"/>
      <c r="N124" s="4"/>
      <c r="O124" s="7"/>
      <c r="P124" s="7"/>
      <c r="Q124" s="4"/>
      <c r="R124" s="9" t="e">
        <f t="shared" si="39"/>
        <v>#DIV/0!</v>
      </c>
      <c r="S124" s="2" t="s">
        <v>154</v>
      </c>
      <c r="T124" s="4"/>
      <c r="U124" s="10"/>
      <c r="V124" s="10"/>
      <c r="W124" s="10"/>
      <c r="X124" s="10"/>
      <c r="Y124" s="10"/>
      <c r="Z124" s="10"/>
      <c r="AA124" s="11" t="e">
        <f t="shared" si="40"/>
        <v>#DIV/0!</v>
      </c>
      <c r="AB124" s="11">
        <f t="shared" si="41"/>
        <v>9</v>
      </c>
      <c r="AC124" s="11">
        <f t="shared" si="42"/>
        <v>8</v>
      </c>
      <c r="AD124" s="11" t="e">
        <f t="shared" si="43"/>
        <v>#DIV/0!</v>
      </c>
      <c r="AE124" s="11" t="e">
        <f t="shared" si="44"/>
        <v>#DIV/0!</v>
      </c>
      <c r="AF124" s="11" t="e">
        <f t="shared" si="45"/>
        <v>#DIV/0!</v>
      </c>
      <c r="AG124" s="11" t="e">
        <f t="shared" si="46"/>
        <v>#DIV/0!</v>
      </c>
      <c r="AH124" s="11" t="e">
        <f t="shared" si="47"/>
        <v>#DIV/0!</v>
      </c>
      <c r="AI124" s="10"/>
      <c r="AJ124" s="11" t="e">
        <f t="shared" si="48"/>
        <v>#DIV/0!</v>
      </c>
      <c r="AK124" s="11" t="e">
        <f t="shared" si="49"/>
        <v>#DIV/0!</v>
      </c>
      <c r="AL124" s="11" t="e">
        <f t="shared" si="50"/>
        <v>#DIV/0!</v>
      </c>
    </row>
    <row r="125" spans="1:38" x14ac:dyDescent="0.2">
      <c r="B125" s="4"/>
      <c r="C125" s="4"/>
      <c r="D125" s="4"/>
      <c r="E125" s="4"/>
      <c r="F125" s="4"/>
      <c r="G125" s="4"/>
      <c r="H125" s="4"/>
      <c r="I125" s="4"/>
      <c r="J125" s="9" t="e">
        <f t="shared" si="38"/>
        <v>#DIV/0!</v>
      </c>
      <c r="K125" s="4"/>
      <c r="L125" s="4"/>
      <c r="M125" s="4"/>
      <c r="N125" s="4"/>
      <c r="O125" s="7"/>
      <c r="P125" s="7"/>
      <c r="Q125" s="4"/>
      <c r="R125" s="9" t="e">
        <f t="shared" si="39"/>
        <v>#DIV/0!</v>
      </c>
      <c r="S125" s="2" t="s">
        <v>154</v>
      </c>
      <c r="T125" s="4"/>
      <c r="U125" s="10"/>
      <c r="V125" s="10"/>
      <c r="W125" s="10"/>
      <c r="X125" s="10"/>
      <c r="Y125" s="10"/>
      <c r="Z125" s="10"/>
      <c r="AA125" s="11" t="e">
        <f t="shared" si="40"/>
        <v>#DIV/0!</v>
      </c>
      <c r="AB125" s="11">
        <f t="shared" si="41"/>
        <v>9</v>
      </c>
      <c r="AC125" s="11">
        <f t="shared" si="42"/>
        <v>8</v>
      </c>
      <c r="AD125" s="11" t="e">
        <f t="shared" si="43"/>
        <v>#DIV/0!</v>
      </c>
      <c r="AE125" s="11" t="e">
        <f t="shared" si="44"/>
        <v>#DIV/0!</v>
      </c>
      <c r="AF125" s="11" t="e">
        <f t="shared" si="45"/>
        <v>#DIV/0!</v>
      </c>
      <c r="AG125" s="11" t="e">
        <f t="shared" si="46"/>
        <v>#DIV/0!</v>
      </c>
      <c r="AH125" s="11" t="e">
        <f t="shared" si="47"/>
        <v>#DIV/0!</v>
      </c>
      <c r="AI125" s="10"/>
      <c r="AJ125" s="11" t="e">
        <f t="shared" si="48"/>
        <v>#DIV/0!</v>
      </c>
      <c r="AK125" s="11" t="e">
        <f t="shared" si="49"/>
        <v>#DIV/0!</v>
      </c>
      <c r="AL125" s="11" t="e">
        <f t="shared" si="50"/>
        <v>#DIV/0!</v>
      </c>
    </row>
    <row r="126" spans="1:38" x14ac:dyDescent="0.2">
      <c r="B126" s="4"/>
      <c r="C126" s="4"/>
      <c r="D126" s="4"/>
      <c r="E126" s="4"/>
      <c r="F126" s="4"/>
      <c r="G126" s="4"/>
      <c r="H126" s="4"/>
      <c r="I126" s="4"/>
      <c r="J126" s="9" t="e">
        <f t="shared" si="38"/>
        <v>#DIV/0!</v>
      </c>
      <c r="K126" s="4"/>
      <c r="L126" s="4"/>
      <c r="M126" s="4"/>
      <c r="N126" s="4"/>
      <c r="O126" s="7"/>
      <c r="P126" s="7"/>
      <c r="Q126" s="4"/>
      <c r="R126" s="9" t="e">
        <f t="shared" si="39"/>
        <v>#DIV/0!</v>
      </c>
      <c r="S126" s="2" t="s">
        <v>154</v>
      </c>
      <c r="T126" s="4"/>
      <c r="U126" s="10"/>
      <c r="V126" s="10"/>
      <c r="W126" s="10"/>
      <c r="X126" s="10"/>
      <c r="Y126" s="10"/>
      <c r="Z126" s="10"/>
      <c r="AA126" s="11" t="e">
        <f t="shared" si="40"/>
        <v>#DIV/0!</v>
      </c>
      <c r="AB126" s="11">
        <f t="shared" si="41"/>
        <v>9</v>
      </c>
      <c r="AC126" s="11">
        <f t="shared" si="42"/>
        <v>8</v>
      </c>
      <c r="AD126" s="11" t="e">
        <f t="shared" si="43"/>
        <v>#DIV/0!</v>
      </c>
      <c r="AE126" s="11" t="e">
        <f t="shared" si="44"/>
        <v>#DIV/0!</v>
      </c>
      <c r="AF126" s="11" t="e">
        <f t="shared" si="45"/>
        <v>#DIV/0!</v>
      </c>
      <c r="AG126" s="11" t="e">
        <f t="shared" si="46"/>
        <v>#DIV/0!</v>
      </c>
      <c r="AH126" s="11" t="e">
        <f t="shared" si="47"/>
        <v>#DIV/0!</v>
      </c>
      <c r="AI126" s="10"/>
      <c r="AJ126" s="11" t="e">
        <f t="shared" si="48"/>
        <v>#DIV/0!</v>
      </c>
      <c r="AK126" s="11" t="e">
        <f t="shared" si="49"/>
        <v>#DIV/0!</v>
      </c>
      <c r="AL126" s="11" t="e">
        <f t="shared" si="50"/>
        <v>#DIV/0!</v>
      </c>
    </row>
    <row r="127" spans="1:38" x14ac:dyDescent="0.2">
      <c r="B127" s="4"/>
      <c r="C127" s="4"/>
      <c r="D127" s="4"/>
      <c r="E127" s="4"/>
      <c r="F127" s="4"/>
      <c r="G127" s="4"/>
      <c r="H127" s="4"/>
      <c r="I127" s="4"/>
      <c r="J127" s="9" t="e">
        <f t="shared" si="38"/>
        <v>#DIV/0!</v>
      </c>
      <c r="K127" s="4"/>
      <c r="L127" s="4"/>
      <c r="M127" s="4"/>
      <c r="N127" s="4"/>
      <c r="O127" s="7"/>
      <c r="P127" s="7"/>
      <c r="Q127" s="4"/>
      <c r="R127" s="9" t="e">
        <f t="shared" si="39"/>
        <v>#DIV/0!</v>
      </c>
      <c r="S127" s="2" t="s">
        <v>154</v>
      </c>
      <c r="T127" s="4"/>
      <c r="U127" s="10"/>
      <c r="V127" s="10"/>
      <c r="W127" s="10"/>
      <c r="X127" s="10"/>
      <c r="Y127" s="10"/>
      <c r="Z127" s="10"/>
      <c r="AA127" s="11" t="e">
        <f t="shared" si="40"/>
        <v>#DIV/0!</v>
      </c>
      <c r="AB127" s="11">
        <f t="shared" si="41"/>
        <v>9</v>
      </c>
      <c r="AC127" s="11">
        <f t="shared" si="42"/>
        <v>8</v>
      </c>
      <c r="AD127" s="11" t="e">
        <f t="shared" si="43"/>
        <v>#DIV/0!</v>
      </c>
      <c r="AE127" s="11" t="e">
        <f t="shared" si="44"/>
        <v>#DIV/0!</v>
      </c>
      <c r="AF127" s="11" t="e">
        <f t="shared" si="45"/>
        <v>#DIV/0!</v>
      </c>
      <c r="AG127" s="11" t="e">
        <f t="shared" si="46"/>
        <v>#DIV/0!</v>
      </c>
      <c r="AH127" s="11" t="e">
        <f t="shared" si="47"/>
        <v>#DIV/0!</v>
      </c>
      <c r="AI127" s="10"/>
      <c r="AJ127" s="11" t="e">
        <f t="shared" si="48"/>
        <v>#DIV/0!</v>
      </c>
      <c r="AK127" s="11" t="e">
        <f t="shared" si="49"/>
        <v>#DIV/0!</v>
      </c>
      <c r="AL127" s="11" t="e">
        <f t="shared" si="50"/>
        <v>#DIV/0!</v>
      </c>
    </row>
    <row r="128" spans="1:38" x14ac:dyDescent="0.2">
      <c r="B128" s="4"/>
      <c r="C128" s="4"/>
      <c r="D128" s="4"/>
      <c r="E128" s="4"/>
      <c r="F128" s="4"/>
      <c r="G128" s="4"/>
      <c r="H128" s="4"/>
      <c r="I128" s="4"/>
      <c r="J128" s="9" t="e">
        <f t="shared" si="38"/>
        <v>#DIV/0!</v>
      </c>
      <c r="K128" s="4"/>
      <c r="L128" s="4"/>
      <c r="M128" s="4"/>
      <c r="N128" s="4"/>
      <c r="O128" s="7"/>
      <c r="P128" s="7"/>
      <c r="Q128" s="4"/>
      <c r="R128" s="9" t="e">
        <f t="shared" si="39"/>
        <v>#DIV/0!</v>
      </c>
      <c r="S128" s="2" t="s">
        <v>154</v>
      </c>
      <c r="T128" s="4"/>
      <c r="U128" s="10"/>
      <c r="V128" s="10"/>
      <c r="W128" s="10"/>
      <c r="X128" s="10"/>
      <c r="Y128" s="10"/>
      <c r="Z128" s="10"/>
      <c r="AA128" s="11" t="e">
        <f t="shared" si="40"/>
        <v>#DIV/0!</v>
      </c>
      <c r="AB128" s="11">
        <f t="shared" si="41"/>
        <v>9</v>
      </c>
      <c r="AC128" s="11">
        <f t="shared" si="42"/>
        <v>8</v>
      </c>
      <c r="AD128" s="11" t="e">
        <f t="shared" si="43"/>
        <v>#DIV/0!</v>
      </c>
      <c r="AE128" s="11" t="e">
        <f t="shared" si="44"/>
        <v>#DIV/0!</v>
      </c>
      <c r="AF128" s="11" t="e">
        <f t="shared" si="45"/>
        <v>#DIV/0!</v>
      </c>
      <c r="AG128" s="11" t="e">
        <f t="shared" si="46"/>
        <v>#DIV/0!</v>
      </c>
      <c r="AH128" s="11" t="e">
        <f t="shared" si="47"/>
        <v>#DIV/0!</v>
      </c>
      <c r="AI128" s="10"/>
      <c r="AJ128" s="11" t="e">
        <f t="shared" si="48"/>
        <v>#DIV/0!</v>
      </c>
      <c r="AK128" s="11" t="e">
        <f t="shared" si="49"/>
        <v>#DIV/0!</v>
      </c>
      <c r="AL128" s="11" t="e">
        <f t="shared" si="50"/>
        <v>#DIV/0!</v>
      </c>
    </row>
    <row r="129" spans="2:38" x14ac:dyDescent="0.2">
      <c r="B129" s="4"/>
      <c r="C129" s="4"/>
      <c r="D129" s="4"/>
      <c r="E129" s="4"/>
      <c r="F129" s="4"/>
      <c r="G129" s="4"/>
      <c r="H129" s="4"/>
      <c r="I129" s="4"/>
      <c r="J129" s="9" t="e">
        <f t="shared" si="38"/>
        <v>#DIV/0!</v>
      </c>
      <c r="K129" s="4"/>
      <c r="L129" s="4"/>
      <c r="M129" s="4"/>
      <c r="N129" s="4"/>
      <c r="O129" s="7"/>
      <c r="P129" s="7"/>
      <c r="Q129" s="4"/>
      <c r="R129" s="9" t="e">
        <f t="shared" si="39"/>
        <v>#DIV/0!</v>
      </c>
      <c r="S129" s="2" t="s">
        <v>155</v>
      </c>
      <c r="T129" s="4"/>
      <c r="U129" s="10"/>
      <c r="V129" s="10"/>
      <c r="W129" s="10"/>
      <c r="X129" s="10"/>
      <c r="Y129" s="10"/>
      <c r="Z129" s="10"/>
      <c r="AA129" s="11" t="e">
        <f t="shared" si="40"/>
        <v>#DIV/0!</v>
      </c>
      <c r="AB129" s="11">
        <f t="shared" si="41"/>
        <v>9</v>
      </c>
      <c r="AC129" s="11">
        <f t="shared" si="42"/>
        <v>8</v>
      </c>
      <c r="AD129" s="11" t="e">
        <f t="shared" si="43"/>
        <v>#DIV/0!</v>
      </c>
      <c r="AE129" s="11" t="e">
        <f t="shared" si="44"/>
        <v>#DIV/0!</v>
      </c>
      <c r="AF129" s="11" t="e">
        <f t="shared" si="45"/>
        <v>#DIV/0!</v>
      </c>
      <c r="AG129" s="11" t="e">
        <f t="shared" si="46"/>
        <v>#DIV/0!</v>
      </c>
      <c r="AH129" s="11" t="e">
        <f t="shared" si="47"/>
        <v>#DIV/0!</v>
      </c>
      <c r="AI129" s="10"/>
      <c r="AJ129" s="11" t="e">
        <f t="shared" si="48"/>
        <v>#DIV/0!</v>
      </c>
      <c r="AK129" s="11" t="e">
        <f t="shared" si="49"/>
        <v>#DIV/0!</v>
      </c>
      <c r="AL129" s="11" t="e">
        <f t="shared" si="50"/>
        <v>#DIV/0!</v>
      </c>
    </row>
    <row r="130" spans="2:38" x14ac:dyDescent="0.2">
      <c r="B130" s="4"/>
      <c r="C130" s="4"/>
      <c r="D130" s="4"/>
      <c r="E130" s="4"/>
      <c r="F130" s="4"/>
      <c r="G130" s="4"/>
      <c r="H130" s="4"/>
      <c r="I130" s="4"/>
      <c r="J130" s="9" t="e">
        <f t="shared" si="38"/>
        <v>#DIV/0!</v>
      </c>
      <c r="K130" s="4"/>
      <c r="L130" s="4"/>
      <c r="M130" s="4"/>
      <c r="N130" s="4"/>
      <c r="O130" s="7"/>
      <c r="P130" s="7"/>
      <c r="Q130" s="4"/>
      <c r="R130" s="9" t="e">
        <f t="shared" si="39"/>
        <v>#DIV/0!</v>
      </c>
      <c r="S130" s="2" t="s">
        <v>155</v>
      </c>
      <c r="T130" s="4"/>
      <c r="U130" s="10"/>
      <c r="V130" s="10"/>
      <c r="W130" s="10"/>
      <c r="X130" s="10"/>
      <c r="Y130" s="10"/>
      <c r="Z130" s="10"/>
      <c r="AA130" s="11" t="e">
        <f t="shared" si="40"/>
        <v>#DIV/0!</v>
      </c>
      <c r="AB130" s="11">
        <f t="shared" si="41"/>
        <v>9</v>
      </c>
      <c r="AC130" s="11">
        <f t="shared" si="42"/>
        <v>8</v>
      </c>
      <c r="AD130" s="11" t="e">
        <f t="shared" si="43"/>
        <v>#DIV/0!</v>
      </c>
      <c r="AE130" s="11" t="e">
        <f t="shared" si="44"/>
        <v>#DIV/0!</v>
      </c>
      <c r="AF130" s="11" t="e">
        <f t="shared" si="45"/>
        <v>#DIV/0!</v>
      </c>
      <c r="AG130" s="11" t="e">
        <f t="shared" si="46"/>
        <v>#DIV/0!</v>
      </c>
      <c r="AH130" s="11" t="e">
        <f t="shared" si="47"/>
        <v>#DIV/0!</v>
      </c>
      <c r="AI130" s="10"/>
      <c r="AJ130" s="11" t="e">
        <f t="shared" si="48"/>
        <v>#DIV/0!</v>
      </c>
      <c r="AK130" s="11" t="e">
        <f t="shared" si="49"/>
        <v>#DIV/0!</v>
      </c>
      <c r="AL130" s="11" t="e">
        <f t="shared" si="50"/>
        <v>#DIV/0!</v>
      </c>
    </row>
    <row r="131" spans="2:38" x14ac:dyDescent="0.2">
      <c r="B131" s="4"/>
      <c r="C131" s="4"/>
      <c r="D131" s="4"/>
      <c r="E131" s="4"/>
      <c r="F131" s="4"/>
      <c r="G131" s="4"/>
      <c r="H131" s="4"/>
      <c r="I131" s="4"/>
      <c r="J131" s="9" t="e">
        <f t="shared" si="38"/>
        <v>#DIV/0!</v>
      </c>
      <c r="K131" s="4"/>
      <c r="L131" s="4"/>
      <c r="M131" s="4"/>
      <c r="N131" s="4"/>
      <c r="O131" s="7"/>
      <c r="P131" s="7"/>
      <c r="Q131" s="4"/>
      <c r="R131" s="9" t="e">
        <f t="shared" si="39"/>
        <v>#DIV/0!</v>
      </c>
      <c r="S131" s="2" t="s">
        <v>155</v>
      </c>
      <c r="T131" s="4"/>
      <c r="U131" s="10"/>
      <c r="V131" s="10"/>
      <c r="W131" s="10"/>
      <c r="X131" s="10"/>
      <c r="Y131" s="10"/>
      <c r="Z131" s="10"/>
      <c r="AA131" s="11" t="e">
        <f t="shared" si="40"/>
        <v>#DIV/0!</v>
      </c>
      <c r="AB131" s="11">
        <f t="shared" si="41"/>
        <v>9</v>
      </c>
      <c r="AC131" s="11">
        <f t="shared" si="42"/>
        <v>8</v>
      </c>
      <c r="AD131" s="11" t="e">
        <f t="shared" si="43"/>
        <v>#DIV/0!</v>
      </c>
      <c r="AE131" s="11" t="e">
        <f t="shared" si="44"/>
        <v>#DIV/0!</v>
      </c>
      <c r="AF131" s="11" t="e">
        <f t="shared" si="45"/>
        <v>#DIV/0!</v>
      </c>
      <c r="AG131" s="11" t="e">
        <f t="shared" si="46"/>
        <v>#DIV/0!</v>
      </c>
      <c r="AH131" s="11" t="e">
        <f t="shared" si="47"/>
        <v>#DIV/0!</v>
      </c>
      <c r="AI131" s="10"/>
      <c r="AJ131" s="11" t="e">
        <f t="shared" si="48"/>
        <v>#DIV/0!</v>
      </c>
      <c r="AK131" s="11" t="e">
        <f t="shared" si="49"/>
        <v>#DIV/0!</v>
      </c>
      <c r="AL131" s="11" t="e">
        <f t="shared" si="50"/>
        <v>#DIV/0!</v>
      </c>
    </row>
    <row r="132" spans="2:38" x14ac:dyDescent="0.2">
      <c r="B132" s="4"/>
      <c r="C132" s="4"/>
      <c r="D132" s="4"/>
      <c r="E132" s="4"/>
      <c r="F132" s="4"/>
      <c r="G132" s="4"/>
      <c r="H132" s="4"/>
      <c r="I132" s="4"/>
      <c r="J132" s="9" t="e">
        <f t="shared" si="38"/>
        <v>#DIV/0!</v>
      </c>
      <c r="K132" s="4"/>
      <c r="L132" s="4"/>
      <c r="M132" s="4"/>
      <c r="N132" s="4"/>
      <c r="O132" s="7"/>
      <c r="P132" s="7"/>
      <c r="Q132" s="4"/>
      <c r="R132" s="9" t="e">
        <f t="shared" si="39"/>
        <v>#DIV/0!</v>
      </c>
      <c r="S132" s="2" t="s">
        <v>155</v>
      </c>
      <c r="T132" s="4"/>
      <c r="U132" s="10"/>
      <c r="V132" s="10"/>
      <c r="W132" s="10"/>
      <c r="X132" s="10"/>
      <c r="Y132" s="10"/>
      <c r="Z132" s="10"/>
      <c r="AA132" s="11" t="e">
        <f t="shared" si="40"/>
        <v>#DIV/0!</v>
      </c>
      <c r="AB132" s="11">
        <f t="shared" si="41"/>
        <v>9</v>
      </c>
      <c r="AC132" s="11">
        <f t="shared" si="42"/>
        <v>8</v>
      </c>
      <c r="AD132" s="11" t="e">
        <f t="shared" si="43"/>
        <v>#DIV/0!</v>
      </c>
      <c r="AE132" s="11" t="e">
        <f t="shared" si="44"/>
        <v>#DIV/0!</v>
      </c>
      <c r="AF132" s="11" t="e">
        <f t="shared" si="45"/>
        <v>#DIV/0!</v>
      </c>
      <c r="AG132" s="11" t="e">
        <f t="shared" si="46"/>
        <v>#DIV/0!</v>
      </c>
      <c r="AH132" s="11" t="e">
        <f t="shared" si="47"/>
        <v>#DIV/0!</v>
      </c>
      <c r="AI132" s="10"/>
      <c r="AJ132" s="11" t="e">
        <f t="shared" si="48"/>
        <v>#DIV/0!</v>
      </c>
      <c r="AK132" s="11" t="e">
        <f t="shared" si="49"/>
        <v>#DIV/0!</v>
      </c>
      <c r="AL132" s="11" t="e">
        <f t="shared" si="50"/>
        <v>#DIV/0!</v>
      </c>
    </row>
    <row r="133" spans="2:38" x14ac:dyDescent="0.2">
      <c r="B133" s="4"/>
      <c r="C133" s="4"/>
      <c r="D133" s="4"/>
      <c r="E133" s="4"/>
      <c r="F133" s="4"/>
      <c r="G133" s="4"/>
      <c r="H133" s="4"/>
      <c r="I133" s="4"/>
      <c r="J133" s="9" t="e">
        <f t="shared" si="38"/>
        <v>#DIV/0!</v>
      </c>
      <c r="K133" s="4"/>
      <c r="L133" s="4"/>
      <c r="M133" s="4"/>
      <c r="N133" s="4"/>
      <c r="O133" s="7"/>
      <c r="P133" s="7"/>
      <c r="Q133" s="4"/>
      <c r="R133" s="9" t="e">
        <f t="shared" si="39"/>
        <v>#DIV/0!</v>
      </c>
      <c r="S133" s="2" t="s">
        <v>155</v>
      </c>
      <c r="T133" s="4"/>
      <c r="U133" s="10"/>
      <c r="V133" s="10"/>
      <c r="W133" s="10"/>
      <c r="X133" s="10"/>
      <c r="Y133" s="10"/>
      <c r="Z133" s="10"/>
      <c r="AA133" s="11" t="e">
        <f t="shared" si="40"/>
        <v>#DIV/0!</v>
      </c>
      <c r="AB133" s="11">
        <f t="shared" si="41"/>
        <v>9</v>
      </c>
      <c r="AC133" s="11">
        <f t="shared" si="42"/>
        <v>8</v>
      </c>
      <c r="AD133" s="11" t="e">
        <f t="shared" si="43"/>
        <v>#DIV/0!</v>
      </c>
      <c r="AE133" s="11" t="e">
        <f t="shared" si="44"/>
        <v>#DIV/0!</v>
      </c>
      <c r="AF133" s="11" t="e">
        <f t="shared" si="45"/>
        <v>#DIV/0!</v>
      </c>
      <c r="AG133" s="11" t="e">
        <f t="shared" si="46"/>
        <v>#DIV/0!</v>
      </c>
      <c r="AH133" s="11" t="e">
        <f t="shared" si="47"/>
        <v>#DIV/0!</v>
      </c>
      <c r="AI133" s="10"/>
      <c r="AJ133" s="11" t="e">
        <f t="shared" si="48"/>
        <v>#DIV/0!</v>
      </c>
      <c r="AK133" s="11" t="e">
        <f t="shared" si="49"/>
        <v>#DIV/0!</v>
      </c>
      <c r="AL133" s="11" t="e">
        <f t="shared" si="50"/>
        <v>#DIV/0!</v>
      </c>
    </row>
    <row r="134" spans="2:38" x14ac:dyDescent="0.2">
      <c r="B134" s="4"/>
      <c r="C134" s="4"/>
      <c r="D134" s="4"/>
      <c r="E134" s="4"/>
      <c r="F134" s="4"/>
      <c r="G134" s="4"/>
      <c r="H134" s="4"/>
      <c r="I134" s="4"/>
      <c r="J134" s="9" t="e">
        <f t="shared" si="38"/>
        <v>#DIV/0!</v>
      </c>
      <c r="K134" s="4"/>
      <c r="L134" s="4"/>
      <c r="M134" s="4"/>
      <c r="N134" s="4"/>
      <c r="O134" s="7"/>
      <c r="P134" s="7"/>
      <c r="Q134" s="4"/>
      <c r="R134" s="9" t="e">
        <f t="shared" si="39"/>
        <v>#DIV/0!</v>
      </c>
      <c r="S134" s="2" t="s">
        <v>155</v>
      </c>
      <c r="T134" s="4"/>
      <c r="U134" s="10"/>
      <c r="V134" s="10"/>
      <c r="W134" s="10"/>
      <c r="X134" s="10"/>
      <c r="Y134" s="10"/>
      <c r="Z134" s="10"/>
      <c r="AA134" s="11" t="e">
        <f t="shared" si="40"/>
        <v>#DIV/0!</v>
      </c>
      <c r="AB134" s="11">
        <f t="shared" si="41"/>
        <v>9</v>
      </c>
      <c r="AC134" s="11">
        <f t="shared" si="42"/>
        <v>8</v>
      </c>
      <c r="AD134" s="11" t="e">
        <f t="shared" si="43"/>
        <v>#DIV/0!</v>
      </c>
      <c r="AE134" s="11" t="e">
        <f t="shared" si="44"/>
        <v>#DIV/0!</v>
      </c>
      <c r="AF134" s="11" t="e">
        <f t="shared" si="45"/>
        <v>#DIV/0!</v>
      </c>
      <c r="AG134" s="11" t="e">
        <f t="shared" si="46"/>
        <v>#DIV/0!</v>
      </c>
      <c r="AH134" s="11" t="e">
        <f t="shared" si="47"/>
        <v>#DIV/0!</v>
      </c>
      <c r="AI134" s="10"/>
      <c r="AJ134" s="11" t="e">
        <f t="shared" si="48"/>
        <v>#DIV/0!</v>
      </c>
      <c r="AK134" s="11" t="e">
        <f t="shared" si="49"/>
        <v>#DIV/0!</v>
      </c>
      <c r="AL134" s="11" t="e">
        <f t="shared" si="50"/>
        <v>#DIV/0!</v>
      </c>
    </row>
    <row r="135" spans="2:38" x14ac:dyDescent="0.2">
      <c r="B135" s="4"/>
      <c r="C135" s="4"/>
      <c r="D135" s="4"/>
      <c r="E135" s="4"/>
      <c r="F135" s="4"/>
      <c r="G135" s="4"/>
      <c r="H135" s="4"/>
      <c r="I135" s="4"/>
      <c r="J135" s="9" t="e">
        <f t="shared" si="38"/>
        <v>#DIV/0!</v>
      </c>
      <c r="K135" s="4"/>
      <c r="L135" s="4"/>
      <c r="M135" s="4"/>
      <c r="N135" s="4"/>
      <c r="O135" s="7"/>
      <c r="P135" s="7"/>
      <c r="Q135" s="4"/>
      <c r="R135" s="9" t="e">
        <f t="shared" si="39"/>
        <v>#DIV/0!</v>
      </c>
      <c r="S135" s="2" t="s">
        <v>155</v>
      </c>
      <c r="T135" s="4"/>
      <c r="U135" s="10"/>
      <c r="V135" s="10"/>
      <c r="W135" s="10"/>
      <c r="X135" s="10"/>
      <c r="Y135" s="10"/>
      <c r="Z135" s="10"/>
      <c r="AA135" s="11" t="e">
        <f t="shared" si="40"/>
        <v>#DIV/0!</v>
      </c>
      <c r="AB135" s="11">
        <f t="shared" si="41"/>
        <v>9</v>
      </c>
      <c r="AC135" s="11">
        <f t="shared" si="42"/>
        <v>8</v>
      </c>
      <c r="AD135" s="11" t="e">
        <f t="shared" si="43"/>
        <v>#DIV/0!</v>
      </c>
      <c r="AE135" s="11" t="e">
        <f t="shared" si="44"/>
        <v>#DIV/0!</v>
      </c>
      <c r="AF135" s="11" t="e">
        <f t="shared" si="45"/>
        <v>#DIV/0!</v>
      </c>
      <c r="AG135" s="11" t="e">
        <f t="shared" si="46"/>
        <v>#DIV/0!</v>
      </c>
      <c r="AH135" s="11" t="e">
        <f t="shared" si="47"/>
        <v>#DIV/0!</v>
      </c>
      <c r="AI135" s="10"/>
      <c r="AJ135" s="11" t="e">
        <f t="shared" si="48"/>
        <v>#DIV/0!</v>
      </c>
      <c r="AK135" s="11" t="e">
        <f t="shared" si="49"/>
        <v>#DIV/0!</v>
      </c>
      <c r="AL135" s="11" t="e">
        <f t="shared" si="50"/>
        <v>#DIV/0!</v>
      </c>
    </row>
    <row r="136" spans="2:38" x14ac:dyDescent="0.2">
      <c r="B136" s="4"/>
      <c r="C136" s="4"/>
      <c r="D136" s="4"/>
      <c r="E136" s="4"/>
      <c r="F136" s="4"/>
      <c r="G136" s="4"/>
      <c r="H136" s="4"/>
      <c r="I136" s="4"/>
      <c r="J136" s="9" t="e">
        <f t="shared" si="38"/>
        <v>#DIV/0!</v>
      </c>
      <c r="K136" s="4"/>
      <c r="L136" s="4"/>
      <c r="M136" s="4"/>
      <c r="N136" s="4"/>
      <c r="O136" s="7"/>
      <c r="P136" s="7"/>
      <c r="Q136" s="4"/>
      <c r="R136" s="9" t="e">
        <f t="shared" si="39"/>
        <v>#DIV/0!</v>
      </c>
      <c r="S136" s="2" t="s">
        <v>155</v>
      </c>
      <c r="T136" s="4"/>
      <c r="U136" s="10"/>
      <c r="V136" s="10"/>
      <c r="W136" s="10"/>
      <c r="X136" s="10"/>
      <c r="Y136" s="10"/>
      <c r="Z136" s="10"/>
      <c r="AA136" s="11" t="e">
        <f t="shared" si="40"/>
        <v>#DIV/0!</v>
      </c>
      <c r="AB136" s="11">
        <f t="shared" si="41"/>
        <v>9</v>
      </c>
      <c r="AC136" s="11">
        <f t="shared" si="42"/>
        <v>8</v>
      </c>
      <c r="AD136" s="11" t="e">
        <f t="shared" si="43"/>
        <v>#DIV/0!</v>
      </c>
      <c r="AE136" s="11" t="e">
        <f t="shared" si="44"/>
        <v>#DIV/0!</v>
      </c>
      <c r="AF136" s="11" t="e">
        <f t="shared" si="45"/>
        <v>#DIV/0!</v>
      </c>
      <c r="AG136" s="11" t="e">
        <f t="shared" si="46"/>
        <v>#DIV/0!</v>
      </c>
      <c r="AH136" s="11" t="e">
        <f t="shared" si="47"/>
        <v>#DIV/0!</v>
      </c>
      <c r="AI136" s="10"/>
      <c r="AJ136" s="11" t="e">
        <f t="shared" si="48"/>
        <v>#DIV/0!</v>
      </c>
      <c r="AK136" s="11" t="e">
        <f t="shared" si="49"/>
        <v>#DIV/0!</v>
      </c>
      <c r="AL136" s="11" t="e">
        <f t="shared" si="50"/>
        <v>#DIV/0!</v>
      </c>
    </row>
    <row r="137" spans="2:38" x14ac:dyDescent="0.2">
      <c r="B137" s="4"/>
      <c r="C137" s="4"/>
      <c r="D137" s="4"/>
      <c r="E137" s="4"/>
      <c r="F137" s="4"/>
      <c r="G137" s="4"/>
      <c r="H137" s="4"/>
      <c r="I137" s="4"/>
      <c r="J137" s="9" t="e">
        <f t="shared" si="38"/>
        <v>#DIV/0!</v>
      </c>
      <c r="K137" s="4"/>
      <c r="L137" s="4"/>
      <c r="M137" s="4"/>
      <c r="N137" s="4"/>
      <c r="O137" s="7"/>
      <c r="P137" s="7"/>
      <c r="Q137" s="4"/>
      <c r="R137" s="9" t="e">
        <f t="shared" si="39"/>
        <v>#DIV/0!</v>
      </c>
      <c r="S137" s="2" t="s">
        <v>155</v>
      </c>
      <c r="T137" s="4"/>
      <c r="U137" s="10"/>
      <c r="V137" s="10"/>
      <c r="W137" s="10"/>
      <c r="X137" s="10"/>
      <c r="Y137" s="10"/>
      <c r="Z137" s="10"/>
      <c r="AA137" s="11" t="e">
        <f t="shared" si="40"/>
        <v>#DIV/0!</v>
      </c>
      <c r="AB137" s="11">
        <f t="shared" si="41"/>
        <v>9</v>
      </c>
      <c r="AC137" s="11">
        <f t="shared" si="42"/>
        <v>8</v>
      </c>
      <c r="AD137" s="11" t="e">
        <f t="shared" si="43"/>
        <v>#DIV/0!</v>
      </c>
      <c r="AE137" s="11" t="e">
        <f t="shared" si="44"/>
        <v>#DIV/0!</v>
      </c>
      <c r="AF137" s="11" t="e">
        <f t="shared" si="45"/>
        <v>#DIV/0!</v>
      </c>
      <c r="AG137" s="11" t="e">
        <f t="shared" si="46"/>
        <v>#DIV/0!</v>
      </c>
      <c r="AH137" s="11" t="e">
        <f t="shared" si="47"/>
        <v>#DIV/0!</v>
      </c>
      <c r="AI137" s="10"/>
      <c r="AJ137" s="11" t="e">
        <f t="shared" si="48"/>
        <v>#DIV/0!</v>
      </c>
      <c r="AK137" s="11" t="e">
        <f t="shared" si="49"/>
        <v>#DIV/0!</v>
      </c>
      <c r="AL137" s="11" t="e">
        <f t="shared" si="50"/>
        <v>#DIV/0!</v>
      </c>
    </row>
    <row r="138" spans="2:38" x14ac:dyDescent="0.2">
      <c r="B138" s="4"/>
      <c r="C138" s="4"/>
      <c r="D138" s="4"/>
      <c r="E138" s="4"/>
      <c r="F138" s="4"/>
      <c r="G138" s="4"/>
      <c r="H138" s="4"/>
      <c r="I138" s="4"/>
      <c r="J138" s="9" t="e">
        <f t="shared" si="38"/>
        <v>#DIV/0!</v>
      </c>
      <c r="K138" s="4"/>
      <c r="L138" s="4"/>
      <c r="M138" s="4"/>
      <c r="N138" s="4"/>
      <c r="O138" s="7"/>
      <c r="P138" s="7"/>
      <c r="Q138" s="4"/>
      <c r="R138" s="9" t="e">
        <f t="shared" si="39"/>
        <v>#DIV/0!</v>
      </c>
      <c r="S138" s="2" t="s">
        <v>155</v>
      </c>
      <c r="T138" s="4"/>
      <c r="U138" s="10"/>
      <c r="V138" s="10"/>
      <c r="W138" s="10"/>
      <c r="X138" s="10"/>
      <c r="Y138" s="10"/>
      <c r="Z138" s="10"/>
      <c r="AA138" s="11" t="e">
        <f t="shared" si="40"/>
        <v>#DIV/0!</v>
      </c>
      <c r="AB138" s="11">
        <f t="shared" si="41"/>
        <v>9</v>
      </c>
      <c r="AC138" s="11">
        <f t="shared" si="42"/>
        <v>8</v>
      </c>
      <c r="AD138" s="11" t="e">
        <f t="shared" si="43"/>
        <v>#DIV/0!</v>
      </c>
      <c r="AE138" s="11" t="e">
        <f t="shared" si="44"/>
        <v>#DIV/0!</v>
      </c>
      <c r="AF138" s="11" t="e">
        <f t="shared" si="45"/>
        <v>#DIV/0!</v>
      </c>
      <c r="AG138" s="11" t="e">
        <f t="shared" si="46"/>
        <v>#DIV/0!</v>
      </c>
      <c r="AH138" s="11" t="e">
        <f t="shared" si="47"/>
        <v>#DIV/0!</v>
      </c>
      <c r="AI138" s="10"/>
      <c r="AJ138" s="11" t="e">
        <f t="shared" si="48"/>
        <v>#DIV/0!</v>
      </c>
      <c r="AK138" s="11" t="e">
        <f t="shared" si="49"/>
        <v>#DIV/0!</v>
      </c>
      <c r="AL138" s="11" t="e">
        <f t="shared" si="50"/>
        <v>#DIV/0!</v>
      </c>
    </row>
    <row r="139" spans="2:38" x14ac:dyDescent="0.2">
      <c r="B139" s="4"/>
      <c r="C139" s="4"/>
      <c r="D139" s="4"/>
      <c r="E139" s="4"/>
      <c r="F139" s="4"/>
      <c r="G139" s="4"/>
      <c r="H139" s="4"/>
      <c r="I139" s="4"/>
      <c r="J139" s="9" t="e">
        <f t="shared" si="38"/>
        <v>#DIV/0!</v>
      </c>
      <c r="K139" s="4"/>
      <c r="L139" s="4"/>
      <c r="M139" s="4"/>
      <c r="N139" s="4"/>
      <c r="O139" s="7"/>
      <c r="P139" s="7"/>
      <c r="Q139" s="4"/>
      <c r="R139" s="9" t="e">
        <f t="shared" si="39"/>
        <v>#DIV/0!</v>
      </c>
      <c r="S139" s="2" t="s">
        <v>155</v>
      </c>
      <c r="T139" s="4"/>
      <c r="U139" s="10"/>
      <c r="V139" s="10"/>
      <c r="W139" s="10"/>
      <c r="X139" s="10"/>
      <c r="Y139" s="10"/>
      <c r="Z139" s="10"/>
      <c r="AA139" s="11" t="e">
        <f t="shared" si="40"/>
        <v>#DIV/0!</v>
      </c>
      <c r="AB139" s="11">
        <f t="shared" si="41"/>
        <v>9</v>
      </c>
      <c r="AC139" s="11">
        <f t="shared" si="42"/>
        <v>8</v>
      </c>
      <c r="AD139" s="11" t="e">
        <f t="shared" si="43"/>
        <v>#DIV/0!</v>
      </c>
      <c r="AE139" s="11" t="e">
        <f t="shared" si="44"/>
        <v>#DIV/0!</v>
      </c>
      <c r="AF139" s="11" t="e">
        <f t="shared" si="45"/>
        <v>#DIV/0!</v>
      </c>
      <c r="AG139" s="11" t="e">
        <f t="shared" si="46"/>
        <v>#DIV/0!</v>
      </c>
      <c r="AH139" s="11" t="e">
        <f t="shared" si="47"/>
        <v>#DIV/0!</v>
      </c>
      <c r="AI139" s="10"/>
      <c r="AJ139" s="11" t="e">
        <f t="shared" si="48"/>
        <v>#DIV/0!</v>
      </c>
      <c r="AK139" s="11" t="e">
        <f t="shared" si="49"/>
        <v>#DIV/0!</v>
      </c>
      <c r="AL139" s="11" t="e">
        <f t="shared" si="50"/>
        <v>#DIV/0!</v>
      </c>
    </row>
    <row r="140" spans="2:38" x14ac:dyDescent="0.2">
      <c r="B140" s="4"/>
      <c r="C140" s="4"/>
      <c r="D140" s="4"/>
      <c r="E140" s="4"/>
      <c r="F140" s="4"/>
      <c r="G140" s="4"/>
      <c r="H140" s="4"/>
      <c r="I140" s="4"/>
      <c r="J140" s="9" t="e">
        <f t="shared" si="38"/>
        <v>#DIV/0!</v>
      </c>
      <c r="K140" s="4"/>
      <c r="L140" s="4"/>
      <c r="M140" s="4"/>
      <c r="N140" s="4"/>
      <c r="O140" s="7"/>
      <c r="P140" s="7"/>
      <c r="Q140" s="4"/>
      <c r="R140" s="9" t="e">
        <f t="shared" si="39"/>
        <v>#DIV/0!</v>
      </c>
      <c r="S140" s="2" t="s">
        <v>155</v>
      </c>
      <c r="T140" s="4"/>
      <c r="U140" s="10"/>
      <c r="V140" s="10"/>
      <c r="W140" s="10"/>
      <c r="X140" s="10"/>
      <c r="Y140" s="10"/>
      <c r="Z140" s="10"/>
      <c r="AA140" s="11" t="e">
        <f t="shared" si="40"/>
        <v>#DIV/0!</v>
      </c>
      <c r="AB140" s="11">
        <f t="shared" si="41"/>
        <v>9</v>
      </c>
      <c r="AC140" s="11">
        <f t="shared" si="42"/>
        <v>8</v>
      </c>
      <c r="AD140" s="11" t="e">
        <f t="shared" si="43"/>
        <v>#DIV/0!</v>
      </c>
      <c r="AE140" s="11" t="e">
        <f t="shared" si="44"/>
        <v>#DIV/0!</v>
      </c>
      <c r="AF140" s="11" t="e">
        <f t="shared" si="45"/>
        <v>#DIV/0!</v>
      </c>
      <c r="AG140" s="11" t="e">
        <f t="shared" si="46"/>
        <v>#DIV/0!</v>
      </c>
      <c r="AH140" s="11" t="e">
        <f t="shared" si="47"/>
        <v>#DIV/0!</v>
      </c>
      <c r="AI140" s="10"/>
      <c r="AJ140" s="11" t="e">
        <f t="shared" si="48"/>
        <v>#DIV/0!</v>
      </c>
      <c r="AK140" s="11" t="e">
        <f t="shared" si="49"/>
        <v>#DIV/0!</v>
      </c>
      <c r="AL140" s="11" t="e">
        <f t="shared" si="50"/>
        <v>#DIV/0!</v>
      </c>
    </row>
    <row r="141" spans="2:38" x14ac:dyDescent="0.2">
      <c r="B141" s="4"/>
      <c r="C141" s="4"/>
      <c r="D141" s="4"/>
      <c r="E141" s="4"/>
      <c r="F141" s="4"/>
      <c r="G141" s="4"/>
      <c r="H141" s="4"/>
      <c r="I141" s="4"/>
      <c r="J141" s="9" t="e">
        <f t="shared" si="38"/>
        <v>#DIV/0!</v>
      </c>
      <c r="K141" s="4"/>
      <c r="L141" s="4"/>
      <c r="M141" s="4"/>
      <c r="N141" s="4"/>
      <c r="O141" s="7"/>
      <c r="P141" s="7"/>
      <c r="Q141" s="4"/>
      <c r="R141" s="9" t="e">
        <f t="shared" si="39"/>
        <v>#DIV/0!</v>
      </c>
      <c r="S141" s="2" t="s">
        <v>155</v>
      </c>
      <c r="T141" s="4"/>
      <c r="U141" s="10"/>
      <c r="V141" s="10"/>
      <c r="W141" s="10"/>
      <c r="X141" s="10"/>
      <c r="Y141" s="10"/>
      <c r="Z141" s="10"/>
      <c r="AA141" s="11" t="e">
        <f t="shared" si="40"/>
        <v>#DIV/0!</v>
      </c>
      <c r="AB141" s="11">
        <f t="shared" si="41"/>
        <v>9</v>
      </c>
      <c r="AC141" s="11">
        <f t="shared" si="42"/>
        <v>8</v>
      </c>
      <c r="AD141" s="11" t="e">
        <f t="shared" si="43"/>
        <v>#DIV/0!</v>
      </c>
      <c r="AE141" s="11" t="e">
        <f t="shared" si="44"/>
        <v>#DIV/0!</v>
      </c>
      <c r="AF141" s="11" t="e">
        <f t="shared" si="45"/>
        <v>#DIV/0!</v>
      </c>
      <c r="AG141" s="11" t="e">
        <f t="shared" si="46"/>
        <v>#DIV/0!</v>
      </c>
      <c r="AH141" s="11" t="e">
        <f t="shared" si="47"/>
        <v>#DIV/0!</v>
      </c>
      <c r="AI141" s="10"/>
      <c r="AJ141" s="11" t="e">
        <f t="shared" si="48"/>
        <v>#DIV/0!</v>
      </c>
      <c r="AK141" s="11" t="e">
        <f t="shared" si="49"/>
        <v>#DIV/0!</v>
      </c>
      <c r="AL141" s="11" t="e">
        <f t="shared" si="50"/>
        <v>#DIV/0!</v>
      </c>
    </row>
    <row r="142" spans="2:38" x14ac:dyDescent="0.2">
      <c r="B142" s="4"/>
      <c r="C142" s="4"/>
      <c r="D142" s="4"/>
      <c r="E142" s="4"/>
      <c r="F142" s="4"/>
      <c r="G142" s="4"/>
      <c r="H142" s="4"/>
      <c r="I142" s="4"/>
      <c r="J142" s="9" t="e">
        <f t="shared" si="38"/>
        <v>#DIV/0!</v>
      </c>
      <c r="K142" s="4"/>
      <c r="L142" s="4"/>
      <c r="M142" s="4"/>
      <c r="N142" s="4"/>
      <c r="O142" s="7"/>
      <c r="P142" s="7"/>
      <c r="Q142" s="4"/>
      <c r="R142" s="9" t="e">
        <f t="shared" si="39"/>
        <v>#DIV/0!</v>
      </c>
      <c r="S142" s="2" t="s">
        <v>155</v>
      </c>
      <c r="T142" s="4"/>
      <c r="U142" s="10"/>
      <c r="V142" s="10"/>
      <c r="W142" s="10"/>
      <c r="X142" s="10"/>
      <c r="Y142" s="10"/>
      <c r="Z142" s="10"/>
      <c r="AA142" s="11" t="e">
        <f t="shared" si="40"/>
        <v>#DIV/0!</v>
      </c>
      <c r="AB142" s="11">
        <f t="shared" si="41"/>
        <v>9</v>
      </c>
      <c r="AC142" s="11">
        <f t="shared" si="42"/>
        <v>8</v>
      </c>
      <c r="AD142" s="11" t="e">
        <f t="shared" si="43"/>
        <v>#DIV/0!</v>
      </c>
      <c r="AE142" s="11" t="e">
        <f t="shared" si="44"/>
        <v>#DIV/0!</v>
      </c>
      <c r="AF142" s="11" t="e">
        <f t="shared" si="45"/>
        <v>#DIV/0!</v>
      </c>
      <c r="AG142" s="11" t="e">
        <f t="shared" si="46"/>
        <v>#DIV/0!</v>
      </c>
      <c r="AH142" s="11" t="e">
        <f t="shared" si="47"/>
        <v>#DIV/0!</v>
      </c>
      <c r="AI142" s="10"/>
      <c r="AJ142" s="11" t="e">
        <f t="shared" si="48"/>
        <v>#DIV/0!</v>
      </c>
      <c r="AK142" s="11" t="e">
        <f t="shared" si="49"/>
        <v>#DIV/0!</v>
      </c>
      <c r="AL142" s="11" t="e">
        <f t="shared" si="50"/>
        <v>#DIV/0!</v>
      </c>
    </row>
    <row r="143" spans="2:38" x14ac:dyDescent="0.2">
      <c r="B143" s="4"/>
      <c r="C143" s="4"/>
      <c r="D143" s="4"/>
      <c r="E143" s="4"/>
      <c r="F143" s="4"/>
      <c r="G143" s="4"/>
      <c r="H143" s="4"/>
      <c r="I143" s="4"/>
      <c r="J143" s="9" t="e">
        <f t="shared" si="38"/>
        <v>#DIV/0!</v>
      </c>
      <c r="K143" s="4"/>
      <c r="L143" s="4"/>
      <c r="M143" s="4"/>
      <c r="N143" s="4"/>
      <c r="O143" s="7"/>
      <c r="P143" s="7"/>
      <c r="Q143" s="4"/>
      <c r="R143" s="9" t="e">
        <f t="shared" si="39"/>
        <v>#DIV/0!</v>
      </c>
      <c r="S143" s="4" t="s">
        <v>156</v>
      </c>
      <c r="T143" s="4"/>
      <c r="U143" s="10"/>
      <c r="V143" s="10"/>
      <c r="W143" s="10"/>
      <c r="X143" s="10"/>
      <c r="Y143" s="10"/>
      <c r="Z143" s="10"/>
      <c r="AA143" s="11" t="e">
        <f t="shared" si="40"/>
        <v>#DIV/0!</v>
      </c>
      <c r="AB143" s="11">
        <f t="shared" si="41"/>
        <v>9</v>
      </c>
      <c r="AC143" s="11">
        <f t="shared" si="42"/>
        <v>8</v>
      </c>
      <c r="AD143" s="11" t="e">
        <f t="shared" si="43"/>
        <v>#DIV/0!</v>
      </c>
      <c r="AE143" s="11" t="e">
        <f t="shared" si="44"/>
        <v>#DIV/0!</v>
      </c>
      <c r="AF143" s="11" t="e">
        <f t="shared" si="45"/>
        <v>#DIV/0!</v>
      </c>
      <c r="AG143" s="11" t="e">
        <f t="shared" si="46"/>
        <v>#DIV/0!</v>
      </c>
      <c r="AH143" s="11" t="e">
        <f t="shared" si="47"/>
        <v>#DIV/0!</v>
      </c>
      <c r="AI143" s="10"/>
      <c r="AJ143" s="11" t="e">
        <f t="shared" si="48"/>
        <v>#DIV/0!</v>
      </c>
      <c r="AK143" s="11" t="e">
        <f t="shared" si="49"/>
        <v>#DIV/0!</v>
      </c>
      <c r="AL143" s="11" t="e">
        <f t="shared" si="50"/>
        <v>#DIV/0!</v>
      </c>
    </row>
    <row r="144" spans="2:38" x14ac:dyDescent="0.2">
      <c r="B144" s="4"/>
      <c r="C144" s="4"/>
      <c r="D144" s="4"/>
      <c r="E144" s="4"/>
      <c r="F144" s="4"/>
      <c r="G144" s="4"/>
      <c r="H144" s="4"/>
      <c r="I144" s="4"/>
      <c r="J144" s="9" t="e">
        <f t="shared" si="38"/>
        <v>#DIV/0!</v>
      </c>
      <c r="K144" s="4"/>
      <c r="L144" s="4"/>
      <c r="M144" s="4"/>
      <c r="N144" s="4"/>
      <c r="O144" s="7"/>
      <c r="P144" s="7"/>
      <c r="Q144" s="4"/>
      <c r="R144" s="9" t="e">
        <f t="shared" si="39"/>
        <v>#DIV/0!</v>
      </c>
      <c r="S144" s="4" t="s">
        <v>156</v>
      </c>
      <c r="T144" s="4"/>
      <c r="U144" s="10"/>
      <c r="V144" s="10"/>
      <c r="W144" s="10"/>
      <c r="X144" s="10"/>
      <c r="Y144" s="10"/>
      <c r="Z144" s="10"/>
      <c r="AA144" s="11" t="e">
        <f t="shared" si="40"/>
        <v>#DIV/0!</v>
      </c>
      <c r="AB144" s="11">
        <f t="shared" si="41"/>
        <v>9</v>
      </c>
      <c r="AC144" s="11">
        <f t="shared" si="42"/>
        <v>8</v>
      </c>
      <c r="AD144" s="11" t="e">
        <f t="shared" si="43"/>
        <v>#DIV/0!</v>
      </c>
      <c r="AE144" s="11" t="e">
        <f t="shared" si="44"/>
        <v>#DIV/0!</v>
      </c>
      <c r="AF144" s="11" t="e">
        <f t="shared" si="45"/>
        <v>#DIV/0!</v>
      </c>
      <c r="AG144" s="11" t="e">
        <f t="shared" si="46"/>
        <v>#DIV/0!</v>
      </c>
      <c r="AH144" s="11" t="e">
        <f t="shared" si="47"/>
        <v>#DIV/0!</v>
      </c>
      <c r="AI144" s="10"/>
      <c r="AJ144" s="11" t="e">
        <f t="shared" si="48"/>
        <v>#DIV/0!</v>
      </c>
      <c r="AK144" s="11" t="e">
        <f t="shared" si="49"/>
        <v>#DIV/0!</v>
      </c>
      <c r="AL144" s="11" t="e">
        <f t="shared" si="50"/>
        <v>#DIV/0!</v>
      </c>
    </row>
    <row r="145" spans="2:38" x14ac:dyDescent="0.2">
      <c r="B145" s="4"/>
      <c r="C145" s="4"/>
      <c r="D145" s="4"/>
      <c r="E145" s="4"/>
      <c r="F145" s="4"/>
      <c r="G145" s="4"/>
      <c r="H145" s="4"/>
      <c r="I145" s="4"/>
      <c r="J145" s="9" t="e">
        <f t="shared" si="38"/>
        <v>#DIV/0!</v>
      </c>
      <c r="K145" s="4"/>
      <c r="L145" s="4"/>
      <c r="M145" s="4"/>
      <c r="N145" s="4"/>
      <c r="O145" s="7"/>
      <c r="P145" s="7"/>
      <c r="Q145" s="4"/>
      <c r="R145" s="9" t="e">
        <f t="shared" si="39"/>
        <v>#DIV/0!</v>
      </c>
      <c r="S145" s="4" t="s">
        <v>156</v>
      </c>
      <c r="T145" s="4"/>
      <c r="U145" s="10"/>
      <c r="V145" s="10"/>
      <c r="W145" s="10"/>
      <c r="X145" s="10"/>
      <c r="Y145" s="10"/>
      <c r="Z145" s="10"/>
      <c r="AA145" s="11" t="e">
        <f t="shared" si="40"/>
        <v>#DIV/0!</v>
      </c>
      <c r="AB145" s="11">
        <f t="shared" si="41"/>
        <v>9</v>
      </c>
      <c r="AC145" s="11">
        <f t="shared" si="42"/>
        <v>8</v>
      </c>
      <c r="AD145" s="11" t="e">
        <f t="shared" si="43"/>
        <v>#DIV/0!</v>
      </c>
      <c r="AE145" s="11" t="e">
        <f t="shared" si="44"/>
        <v>#DIV/0!</v>
      </c>
      <c r="AF145" s="11" t="e">
        <f t="shared" si="45"/>
        <v>#DIV/0!</v>
      </c>
      <c r="AG145" s="11" t="e">
        <f t="shared" si="46"/>
        <v>#DIV/0!</v>
      </c>
      <c r="AH145" s="11" t="e">
        <f t="shared" si="47"/>
        <v>#DIV/0!</v>
      </c>
      <c r="AI145" s="10"/>
      <c r="AJ145" s="11" t="e">
        <f t="shared" si="48"/>
        <v>#DIV/0!</v>
      </c>
      <c r="AK145" s="11" t="e">
        <f t="shared" si="49"/>
        <v>#DIV/0!</v>
      </c>
      <c r="AL145" s="11" t="e">
        <f t="shared" si="50"/>
        <v>#DIV/0!</v>
      </c>
    </row>
    <row r="146" spans="2:38" x14ac:dyDescent="0.2">
      <c r="B146" s="4"/>
      <c r="C146" s="4"/>
      <c r="D146" s="4"/>
      <c r="E146" s="4"/>
      <c r="F146" s="4"/>
      <c r="G146" s="4"/>
      <c r="H146" s="4"/>
      <c r="I146" s="4"/>
      <c r="J146" s="9" t="e">
        <f t="shared" si="38"/>
        <v>#DIV/0!</v>
      </c>
      <c r="K146" s="4"/>
      <c r="L146" s="4"/>
      <c r="M146" s="4"/>
      <c r="N146" s="4"/>
      <c r="O146" s="7"/>
      <c r="P146" s="7"/>
      <c r="Q146" s="4"/>
      <c r="R146" s="9" t="e">
        <f t="shared" si="39"/>
        <v>#DIV/0!</v>
      </c>
      <c r="S146" s="4" t="s">
        <v>156</v>
      </c>
      <c r="T146" s="4"/>
      <c r="U146" s="10"/>
      <c r="V146" s="10"/>
      <c r="W146" s="10"/>
      <c r="X146" s="10"/>
      <c r="Y146" s="10"/>
      <c r="Z146" s="10"/>
      <c r="AA146" s="11" t="e">
        <f t="shared" si="40"/>
        <v>#DIV/0!</v>
      </c>
      <c r="AB146" s="11">
        <f t="shared" si="41"/>
        <v>9</v>
      </c>
      <c r="AC146" s="11">
        <f t="shared" si="42"/>
        <v>8</v>
      </c>
      <c r="AD146" s="11" t="e">
        <f t="shared" si="43"/>
        <v>#DIV/0!</v>
      </c>
      <c r="AE146" s="11" t="e">
        <f t="shared" si="44"/>
        <v>#DIV/0!</v>
      </c>
      <c r="AF146" s="11" t="e">
        <f t="shared" si="45"/>
        <v>#DIV/0!</v>
      </c>
      <c r="AG146" s="11" t="e">
        <f t="shared" si="46"/>
        <v>#DIV/0!</v>
      </c>
      <c r="AH146" s="11" t="e">
        <f t="shared" si="47"/>
        <v>#DIV/0!</v>
      </c>
      <c r="AI146" s="10"/>
      <c r="AJ146" s="11" t="e">
        <f t="shared" si="48"/>
        <v>#DIV/0!</v>
      </c>
      <c r="AK146" s="11" t="e">
        <f t="shared" si="49"/>
        <v>#DIV/0!</v>
      </c>
      <c r="AL146" s="11" t="e">
        <f t="shared" si="50"/>
        <v>#DIV/0!</v>
      </c>
    </row>
    <row r="147" spans="2:38" x14ac:dyDescent="0.2">
      <c r="B147" s="4"/>
      <c r="C147" s="4"/>
      <c r="D147" s="4"/>
      <c r="E147" s="4"/>
      <c r="F147" s="4"/>
      <c r="G147" s="4"/>
      <c r="H147" s="4"/>
      <c r="I147" s="4"/>
      <c r="J147" s="9" t="e">
        <f t="shared" si="38"/>
        <v>#DIV/0!</v>
      </c>
      <c r="K147" s="4"/>
      <c r="L147" s="4"/>
      <c r="M147" s="4"/>
      <c r="N147" s="4"/>
      <c r="O147" s="7"/>
      <c r="P147" s="7"/>
      <c r="Q147" s="4"/>
      <c r="R147" s="9" t="e">
        <f t="shared" si="39"/>
        <v>#DIV/0!</v>
      </c>
      <c r="S147" s="4" t="s">
        <v>156</v>
      </c>
      <c r="T147" s="4"/>
      <c r="U147" s="10"/>
      <c r="V147" s="10"/>
      <c r="W147" s="10"/>
      <c r="X147" s="10"/>
      <c r="Y147" s="10"/>
      <c r="Z147" s="10"/>
      <c r="AA147" s="11" t="e">
        <f t="shared" si="40"/>
        <v>#DIV/0!</v>
      </c>
      <c r="AB147" s="11">
        <f t="shared" si="41"/>
        <v>9</v>
      </c>
      <c r="AC147" s="11">
        <f t="shared" si="42"/>
        <v>8</v>
      </c>
      <c r="AD147" s="11" t="e">
        <f t="shared" si="43"/>
        <v>#DIV/0!</v>
      </c>
      <c r="AE147" s="11" t="e">
        <f t="shared" si="44"/>
        <v>#DIV/0!</v>
      </c>
      <c r="AF147" s="11" t="e">
        <f t="shared" si="45"/>
        <v>#DIV/0!</v>
      </c>
      <c r="AG147" s="11" t="e">
        <f t="shared" si="46"/>
        <v>#DIV/0!</v>
      </c>
      <c r="AH147" s="11" t="e">
        <f t="shared" si="47"/>
        <v>#DIV/0!</v>
      </c>
      <c r="AI147" s="10"/>
      <c r="AJ147" s="11" t="e">
        <f t="shared" si="48"/>
        <v>#DIV/0!</v>
      </c>
      <c r="AK147" s="11" t="e">
        <f t="shared" si="49"/>
        <v>#DIV/0!</v>
      </c>
      <c r="AL147" s="11" t="e">
        <f t="shared" si="50"/>
        <v>#DIV/0!</v>
      </c>
    </row>
    <row r="148" spans="2:38" x14ac:dyDescent="0.2">
      <c r="B148" s="4"/>
      <c r="C148" s="4"/>
      <c r="D148" s="4"/>
      <c r="E148" s="4"/>
      <c r="F148" s="4"/>
      <c r="G148" s="4"/>
      <c r="H148" s="4"/>
      <c r="I148" s="4"/>
      <c r="J148" s="9" t="e">
        <f t="shared" si="38"/>
        <v>#DIV/0!</v>
      </c>
      <c r="K148" s="4"/>
      <c r="L148" s="4"/>
      <c r="M148" s="4"/>
      <c r="N148" s="4"/>
      <c r="O148" s="7"/>
      <c r="P148" s="7"/>
      <c r="Q148" s="4"/>
      <c r="R148" s="9" t="e">
        <f t="shared" si="39"/>
        <v>#DIV/0!</v>
      </c>
      <c r="S148" s="4" t="s">
        <v>156</v>
      </c>
      <c r="T148" s="4"/>
      <c r="U148" s="10"/>
      <c r="V148" s="10"/>
      <c r="W148" s="10"/>
      <c r="X148" s="10"/>
      <c r="Y148" s="10"/>
      <c r="Z148" s="10"/>
      <c r="AA148" s="11" t="e">
        <f t="shared" si="40"/>
        <v>#DIV/0!</v>
      </c>
      <c r="AB148" s="11">
        <f t="shared" si="41"/>
        <v>9</v>
      </c>
      <c r="AC148" s="11">
        <f t="shared" si="42"/>
        <v>8</v>
      </c>
      <c r="AD148" s="11" t="e">
        <f t="shared" si="43"/>
        <v>#DIV/0!</v>
      </c>
      <c r="AE148" s="11" t="e">
        <f t="shared" si="44"/>
        <v>#DIV/0!</v>
      </c>
      <c r="AF148" s="11" t="e">
        <f t="shared" si="45"/>
        <v>#DIV/0!</v>
      </c>
      <c r="AG148" s="11" t="e">
        <f t="shared" si="46"/>
        <v>#DIV/0!</v>
      </c>
      <c r="AH148" s="11" t="e">
        <f t="shared" si="47"/>
        <v>#DIV/0!</v>
      </c>
      <c r="AI148" s="10"/>
      <c r="AJ148" s="11" t="e">
        <f t="shared" si="48"/>
        <v>#DIV/0!</v>
      </c>
      <c r="AK148" s="11" t="e">
        <f t="shared" si="49"/>
        <v>#DIV/0!</v>
      </c>
      <c r="AL148" s="11" t="e">
        <f t="shared" si="50"/>
        <v>#DIV/0!</v>
      </c>
    </row>
    <row r="149" spans="2:38" x14ac:dyDescent="0.2">
      <c r="B149" s="4"/>
      <c r="C149" s="4"/>
      <c r="D149" s="4"/>
      <c r="E149" s="4"/>
      <c r="F149" s="4"/>
      <c r="G149" s="4"/>
      <c r="H149" s="4"/>
      <c r="I149" s="4"/>
      <c r="J149" s="9" t="e">
        <f t="shared" si="38"/>
        <v>#DIV/0!</v>
      </c>
      <c r="K149" s="4"/>
      <c r="L149" s="4"/>
      <c r="M149" s="4"/>
      <c r="N149" s="4"/>
      <c r="O149" s="7"/>
      <c r="P149" s="7"/>
      <c r="Q149" s="4"/>
      <c r="R149" s="9" t="e">
        <f t="shared" si="39"/>
        <v>#DIV/0!</v>
      </c>
      <c r="S149" s="4" t="s">
        <v>156</v>
      </c>
      <c r="T149" s="4"/>
      <c r="U149" s="10"/>
      <c r="V149" s="10"/>
      <c r="W149" s="10"/>
      <c r="X149" s="10"/>
      <c r="Y149" s="10"/>
      <c r="Z149" s="10"/>
      <c r="AA149" s="11" t="e">
        <f t="shared" si="40"/>
        <v>#DIV/0!</v>
      </c>
      <c r="AB149" s="11">
        <f t="shared" si="41"/>
        <v>9</v>
      </c>
      <c r="AC149" s="11">
        <f t="shared" si="42"/>
        <v>8</v>
      </c>
      <c r="AD149" s="11" t="e">
        <f t="shared" si="43"/>
        <v>#DIV/0!</v>
      </c>
      <c r="AE149" s="11" t="e">
        <f t="shared" si="44"/>
        <v>#DIV/0!</v>
      </c>
      <c r="AF149" s="11" t="e">
        <f t="shared" si="45"/>
        <v>#DIV/0!</v>
      </c>
      <c r="AG149" s="11" t="e">
        <f t="shared" si="46"/>
        <v>#DIV/0!</v>
      </c>
      <c r="AH149" s="11" t="e">
        <f t="shared" si="47"/>
        <v>#DIV/0!</v>
      </c>
      <c r="AI149" s="10"/>
      <c r="AJ149" s="11" t="e">
        <f t="shared" si="48"/>
        <v>#DIV/0!</v>
      </c>
      <c r="AK149" s="11" t="e">
        <f t="shared" si="49"/>
        <v>#DIV/0!</v>
      </c>
      <c r="AL149" s="11" t="e">
        <f t="shared" si="50"/>
        <v>#DIV/0!</v>
      </c>
    </row>
    <row r="150" spans="2:38" x14ac:dyDescent="0.2">
      <c r="B150" s="4"/>
      <c r="C150" s="4"/>
      <c r="D150" s="4"/>
      <c r="E150" s="4"/>
      <c r="F150" s="4"/>
      <c r="G150" s="4"/>
      <c r="H150" s="4"/>
      <c r="I150" s="4"/>
      <c r="J150" s="9" t="e">
        <f t="shared" si="38"/>
        <v>#DIV/0!</v>
      </c>
      <c r="K150" s="4"/>
      <c r="L150" s="4"/>
      <c r="M150" s="4"/>
      <c r="N150" s="4"/>
      <c r="O150" s="7"/>
      <c r="P150" s="7"/>
      <c r="Q150" s="4"/>
      <c r="R150" s="9" t="e">
        <f t="shared" si="39"/>
        <v>#DIV/0!</v>
      </c>
      <c r="S150" s="4" t="s">
        <v>156</v>
      </c>
      <c r="T150" s="4"/>
      <c r="U150" s="10"/>
      <c r="V150" s="10"/>
      <c r="W150" s="10"/>
      <c r="X150" s="10"/>
      <c r="Y150" s="10"/>
      <c r="Z150" s="10"/>
      <c r="AA150" s="11" t="e">
        <f t="shared" si="40"/>
        <v>#DIV/0!</v>
      </c>
      <c r="AB150" s="11">
        <f t="shared" si="41"/>
        <v>9</v>
      </c>
      <c r="AC150" s="11">
        <f t="shared" si="42"/>
        <v>8</v>
      </c>
      <c r="AD150" s="11" t="e">
        <f t="shared" si="43"/>
        <v>#DIV/0!</v>
      </c>
      <c r="AE150" s="11" t="e">
        <f t="shared" si="44"/>
        <v>#DIV/0!</v>
      </c>
      <c r="AF150" s="11" t="e">
        <f t="shared" si="45"/>
        <v>#DIV/0!</v>
      </c>
      <c r="AG150" s="11" t="e">
        <f t="shared" si="46"/>
        <v>#DIV/0!</v>
      </c>
      <c r="AH150" s="11" t="e">
        <f t="shared" si="47"/>
        <v>#DIV/0!</v>
      </c>
      <c r="AI150" s="10"/>
      <c r="AJ150" s="11" t="e">
        <f t="shared" si="48"/>
        <v>#DIV/0!</v>
      </c>
      <c r="AK150" s="11" t="e">
        <f t="shared" si="49"/>
        <v>#DIV/0!</v>
      </c>
      <c r="AL150" s="11" t="e">
        <f t="shared" si="50"/>
        <v>#DIV/0!</v>
      </c>
    </row>
    <row r="151" spans="2:38" x14ac:dyDescent="0.2">
      <c r="B151" s="4"/>
      <c r="C151" s="4"/>
      <c r="D151" s="4"/>
      <c r="E151" s="4"/>
      <c r="F151" s="4"/>
      <c r="G151" s="4"/>
      <c r="H151" s="4"/>
      <c r="I151" s="4"/>
      <c r="J151" s="9" t="e">
        <f t="shared" si="38"/>
        <v>#DIV/0!</v>
      </c>
      <c r="K151" s="4"/>
      <c r="L151" s="4"/>
      <c r="M151" s="4"/>
      <c r="N151" s="4"/>
      <c r="O151" s="7"/>
      <c r="P151" s="7"/>
      <c r="Q151" s="4"/>
      <c r="R151" s="9" t="e">
        <f t="shared" si="39"/>
        <v>#DIV/0!</v>
      </c>
      <c r="S151" s="4" t="s">
        <v>156</v>
      </c>
      <c r="T151" s="4"/>
      <c r="U151" s="10"/>
      <c r="V151" s="10"/>
      <c r="W151" s="10"/>
      <c r="X151" s="10"/>
      <c r="Y151" s="10"/>
      <c r="Z151" s="10"/>
      <c r="AA151" s="11" t="e">
        <f t="shared" si="40"/>
        <v>#DIV/0!</v>
      </c>
      <c r="AB151" s="11">
        <f t="shared" si="41"/>
        <v>9</v>
      </c>
      <c r="AC151" s="11">
        <f t="shared" si="42"/>
        <v>8</v>
      </c>
      <c r="AD151" s="11" t="e">
        <f t="shared" si="43"/>
        <v>#DIV/0!</v>
      </c>
      <c r="AE151" s="11" t="e">
        <f t="shared" si="44"/>
        <v>#DIV/0!</v>
      </c>
      <c r="AF151" s="11" t="e">
        <f t="shared" si="45"/>
        <v>#DIV/0!</v>
      </c>
      <c r="AG151" s="11" t="e">
        <f t="shared" si="46"/>
        <v>#DIV/0!</v>
      </c>
      <c r="AH151" s="11" t="e">
        <f t="shared" si="47"/>
        <v>#DIV/0!</v>
      </c>
      <c r="AI151" s="10"/>
      <c r="AJ151" s="11" t="e">
        <f t="shared" si="48"/>
        <v>#DIV/0!</v>
      </c>
      <c r="AK151" s="11" t="e">
        <f t="shared" si="49"/>
        <v>#DIV/0!</v>
      </c>
      <c r="AL151" s="11" t="e">
        <f t="shared" si="50"/>
        <v>#DIV/0!</v>
      </c>
    </row>
    <row r="152" spans="2:38" x14ac:dyDescent="0.2">
      <c r="B152" s="4"/>
      <c r="C152" s="4"/>
      <c r="D152" s="4"/>
      <c r="E152" s="4"/>
      <c r="F152" s="4"/>
      <c r="G152" s="4"/>
      <c r="H152" s="4"/>
      <c r="I152" s="4"/>
      <c r="J152" s="9" t="e">
        <f t="shared" si="38"/>
        <v>#DIV/0!</v>
      </c>
      <c r="K152" s="4"/>
      <c r="L152" s="4"/>
      <c r="M152" s="4"/>
      <c r="N152" s="4"/>
      <c r="O152" s="7"/>
      <c r="P152" s="7"/>
      <c r="Q152" s="4"/>
      <c r="R152" s="9" t="e">
        <f t="shared" si="39"/>
        <v>#DIV/0!</v>
      </c>
      <c r="S152" s="4" t="s">
        <v>156</v>
      </c>
      <c r="T152" s="4"/>
      <c r="U152" s="10"/>
      <c r="V152" s="10"/>
      <c r="W152" s="10"/>
      <c r="X152" s="10"/>
      <c r="Y152" s="10"/>
      <c r="Z152" s="10"/>
      <c r="AA152" s="11" t="e">
        <f t="shared" si="40"/>
        <v>#DIV/0!</v>
      </c>
      <c r="AB152" s="11">
        <f t="shared" si="41"/>
        <v>9</v>
      </c>
      <c r="AC152" s="11">
        <f t="shared" si="42"/>
        <v>8</v>
      </c>
      <c r="AD152" s="11" t="e">
        <f t="shared" si="43"/>
        <v>#DIV/0!</v>
      </c>
      <c r="AE152" s="11" t="e">
        <f t="shared" si="44"/>
        <v>#DIV/0!</v>
      </c>
      <c r="AF152" s="11" t="e">
        <f t="shared" si="45"/>
        <v>#DIV/0!</v>
      </c>
      <c r="AG152" s="11" t="e">
        <f t="shared" si="46"/>
        <v>#DIV/0!</v>
      </c>
      <c r="AH152" s="11" t="e">
        <f t="shared" si="47"/>
        <v>#DIV/0!</v>
      </c>
      <c r="AI152" s="10"/>
      <c r="AJ152" s="11" t="e">
        <f t="shared" si="48"/>
        <v>#DIV/0!</v>
      </c>
      <c r="AK152" s="11" t="e">
        <f t="shared" si="49"/>
        <v>#DIV/0!</v>
      </c>
      <c r="AL152" s="11" t="e">
        <f t="shared" si="50"/>
        <v>#DIV/0!</v>
      </c>
    </row>
    <row r="153" spans="2:38" x14ac:dyDescent="0.2">
      <c r="B153" s="4"/>
      <c r="C153" s="4"/>
      <c r="D153" s="4"/>
      <c r="E153" s="4"/>
      <c r="F153" s="4"/>
      <c r="G153" s="4"/>
      <c r="H153" s="4"/>
      <c r="I153" s="4"/>
      <c r="J153" s="9" t="e">
        <f t="shared" si="38"/>
        <v>#DIV/0!</v>
      </c>
      <c r="K153" s="4"/>
      <c r="L153" s="4"/>
      <c r="M153" s="4"/>
      <c r="N153" s="4"/>
      <c r="O153" s="7"/>
      <c r="P153" s="7"/>
      <c r="Q153" s="4"/>
      <c r="R153" s="9" t="e">
        <f t="shared" si="39"/>
        <v>#DIV/0!</v>
      </c>
      <c r="S153" s="4" t="s">
        <v>156</v>
      </c>
      <c r="T153" s="4"/>
      <c r="U153" s="10"/>
      <c r="V153" s="10"/>
      <c r="W153" s="10"/>
      <c r="X153" s="10"/>
      <c r="Y153" s="10"/>
      <c r="Z153" s="10"/>
      <c r="AA153" s="11" t="e">
        <f t="shared" si="40"/>
        <v>#DIV/0!</v>
      </c>
      <c r="AB153" s="11">
        <f t="shared" si="41"/>
        <v>9</v>
      </c>
      <c r="AC153" s="11">
        <f t="shared" si="42"/>
        <v>8</v>
      </c>
      <c r="AD153" s="11" t="e">
        <f t="shared" si="43"/>
        <v>#DIV/0!</v>
      </c>
      <c r="AE153" s="11" t="e">
        <f t="shared" si="44"/>
        <v>#DIV/0!</v>
      </c>
      <c r="AF153" s="11" t="e">
        <f t="shared" si="45"/>
        <v>#DIV/0!</v>
      </c>
      <c r="AG153" s="11" t="e">
        <f t="shared" si="46"/>
        <v>#DIV/0!</v>
      </c>
      <c r="AH153" s="11" t="e">
        <f t="shared" si="47"/>
        <v>#DIV/0!</v>
      </c>
      <c r="AI153" s="10"/>
      <c r="AJ153" s="11" t="e">
        <f t="shared" si="48"/>
        <v>#DIV/0!</v>
      </c>
      <c r="AK153" s="11" t="e">
        <f t="shared" si="49"/>
        <v>#DIV/0!</v>
      </c>
      <c r="AL153" s="11" t="e">
        <f t="shared" si="50"/>
        <v>#DIV/0!</v>
      </c>
    </row>
    <row r="154" spans="2:38" x14ac:dyDescent="0.2">
      <c r="B154" s="4"/>
      <c r="C154" s="4"/>
      <c r="D154" s="4"/>
      <c r="E154" s="4"/>
      <c r="F154" s="4"/>
      <c r="G154" s="4"/>
      <c r="H154" s="4"/>
      <c r="I154" s="4"/>
      <c r="J154" s="9" t="e">
        <f t="shared" si="38"/>
        <v>#DIV/0!</v>
      </c>
      <c r="K154" s="4"/>
      <c r="L154" s="4"/>
      <c r="M154" s="4"/>
      <c r="N154" s="4"/>
      <c r="O154" s="7"/>
      <c r="P154" s="7"/>
      <c r="Q154" s="4"/>
      <c r="R154" s="9" t="e">
        <f t="shared" si="39"/>
        <v>#DIV/0!</v>
      </c>
      <c r="S154" s="4" t="s">
        <v>156</v>
      </c>
      <c r="T154" s="4"/>
      <c r="U154" s="10"/>
      <c r="V154" s="10"/>
      <c r="W154" s="10"/>
      <c r="X154" s="10"/>
      <c r="Y154" s="10"/>
      <c r="Z154" s="10"/>
      <c r="AA154" s="11" t="e">
        <f t="shared" si="40"/>
        <v>#DIV/0!</v>
      </c>
      <c r="AB154" s="11">
        <f t="shared" si="41"/>
        <v>9</v>
      </c>
      <c r="AC154" s="11">
        <f t="shared" si="42"/>
        <v>8</v>
      </c>
      <c r="AD154" s="11" t="e">
        <f t="shared" si="43"/>
        <v>#DIV/0!</v>
      </c>
      <c r="AE154" s="11" t="e">
        <f t="shared" si="44"/>
        <v>#DIV/0!</v>
      </c>
      <c r="AF154" s="11" t="e">
        <f t="shared" si="45"/>
        <v>#DIV/0!</v>
      </c>
      <c r="AG154" s="11" t="e">
        <f t="shared" si="46"/>
        <v>#DIV/0!</v>
      </c>
      <c r="AH154" s="11" t="e">
        <f t="shared" si="47"/>
        <v>#DIV/0!</v>
      </c>
      <c r="AI154" s="10"/>
      <c r="AJ154" s="11" t="e">
        <f t="shared" si="48"/>
        <v>#DIV/0!</v>
      </c>
      <c r="AK154" s="11" t="e">
        <f t="shared" si="49"/>
        <v>#DIV/0!</v>
      </c>
      <c r="AL154" s="11" t="e">
        <f t="shared" si="50"/>
        <v>#DIV/0!</v>
      </c>
    </row>
    <row r="155" spans="2:38" x14ac:dyDescent="0.2">
      <c r="B155" s="4"/>
      <c r="C155" s="4"/>
      <c r="D155" s="4"/>
      <c r="E155" s="4"/>
      <c r="F155" s="4"/>
      <c r="G155" s="4"/>
      <c r="H155" s="4"/>
      <c r="I155" s="4"/>
      <c r="J155" s="9" t="e">
        <f t="shared" si="38"/>
        <v>#DIV/0!</v>
      </c>
      <c r="K155" s="4"/>
      <c r="L155" s="4"/>
      <c r="M155" s="4"/>
      <c r="N155" s="4"/>
      <c r="O155" s="7"/>
      <c r="P155" s="7"/>
      <c r="Q155" s="4"/>
      <c r="R155" s="9" t="e">
        <f t="shared" si="39"/>
        <v>#DIV/0!</v>
      </c>
      <c r="S155" s="4" t="s">
        <v>156</v>
      </c>
      <c r="T155" s="4"/>
      <c r="U155" s="10"/>
      <c r="V155" s="10"/>
      <c r="W155" s="10"/>
      <c r="X155" s="10"/>
      <c r="Y155" s="10"/>
      <c r="Z155" s="10"/>
      <c r="AA155" s="11" t="e">
        <f t="shared" si="40"/>
        <v>#DIV/0!</v>
      </c>
      <c r="AB155" s="11">
        <f t="shared" si="41"/>
        <v>9</v>
      </c>
      <c r="AC155" s="11">
        <f t="shared" si="42"/>
        <v>8</v>
      </c>
      <c r="AD155" s="11" t="e">
        <f t="shared" si="43"/>
        <v>#DIV/0!</v>
      </c>
      <c r="AE155" s="11" t="e">
        <f t="shared" si="44"/>
        <v>#DIV/0!</v>
      </c>
      <c r="AF155" s="11" t="e">
        <f t="shared" si="45"/>
        <v>#DIV/0!</v>
      </c>
      <c r="AG155" s="11" t="e">
        <f t="shared" si="46"/>
        <v>#DIV/0!</v>
      </c>
      <c r="AH155" s="11" t="e">
        <f t="shared" si="47"/>
        <v>#DIV/0!</v>
      </c>
      <c r="AI155" s="10"/>
      <c r="AJ155" s="11" t="e">
        <f t="shared" si="48"/>
        <v>#DIV/0!</v>
      </c>
      <c r="AK155" s="11" t="e">
        <f t="shared" si="49"/>
        <v>#DIV/0!</v>
      </c>
      <c r="AL155" s="11" t="e">
        <f t="shared" si="50"/>
        <v>#DIV/0!</v>
      </c>
    </row>
    <row r="156" spans="2:38" x14ac:dyDescent="0.2">
      <c r="B156" s="4"/>
      <c r="C156" s="4"/>
      <c r="D156" s="4"/>
      <c r="E156" s="4"/>
      <c r="F156" s="4"/>
      <c r="G156" s="4"/>
      <c r="H156" s="4"/>
      <c r="I156" s="4"/>
      <c r="J156" s="9" t="e">
        <f t="shared" si="38"/>
        <v>#DIV/0!</v>
      </c>
      <c r="K156" s="4"/>
      <c r="L156" s="4"/>
      <c r="M156" s="4"/>
      <c r="N156" s="4"/>
      <c r="O156" s="7"/>
      <c r="P156" s="7"/>
      <c r="Q156" s="4"/>
      <c r="R156" s="9" t="e">
        <f t="shared" si="39"/>
        <v>#DIV/0!</v>
      </c>
      <c r="S156" s="4" t="s">
        <v>157</v>
      </c>
      <c r="T156" s="4"/>
      <c r="U156" s="10"/>
      <c r="V156" s="10"/>
      <c r="W156" s="10"/>
      <c r="X156" s="10"/>
      <c r="Y156" s="10"/>
      <c r="Z156" s="10"/>
      <c r="AA156" s="11" t="e">
        <f t="shared" si="40"/>
        <v>#DIV/0!</v>
      </c>
      <c r="AB156" s="11">
        <f t="shared" si="41"/>
        <v>9</v>
      </c>
      <c r="AC156" s="11">
        <f t="shared" si="42"/>
        <v>8</v>
      </c>
      <c r="AD156" s="11" t="e">
        <f t="shared" si="43"/>
        <v>#DIV/0!</v>
      </c>
      <c r="AE156" s="11" t="e">
        <f t="shared" si="44"/>
        <v>#DIV/0!</v>
      </c>
      <c r="AF156" s="11" t="e">
        <f t="shared" si="45"/>
        <v>#DIV/0!</v>
      </c>
      <c r="AG156" s="11" t="e">
        <f t="shared" si="46"/>
        <v>#DIV/0!</v>
      </c>
      <c r="AH156" s="11" t="e">
        <f t="shared" si="47"/>
        <v>#DIV/0!</v>
      </c>
      <c r="AI156" s="10"/>
      <c r="AJ156" s="11" t="e">
        <f t="shared" si="48"/>
        <v>#DIV/0!</v>
      </c>
      <c r="AK156" s="11" t="e">
        <f t="shared" si="49"/>
        <v>#DIV/0!</v>
      </c>
      <c r="AL156" s="11" t="e">
        <f t="shared" si="50"/>
        <v>#DIV/0!</v>
      </c>
    </row>
    <row r="157" spans="2:38" x14ac:dyDescent="0.2">
      <c r="B157" s="4"/>
      <c r="C157" s="4"/>
      <c r="D157" s="4"/>
      <c r="E157" s="4"/>
      <c r="F157" s="4"/>
      <c r="G157" s="4"/>
      <c r="H157" s="4"/>
      <c r="I157" s="4"/>
      <c r="J157" s="9" t="e">
        <f t="shared" si="38"/>
        <v>#DIV/0!</v>
      </c>
      <c r="K157" s="4"/>
      <c r="L157" s="4"/>
      <c r="M157" s="4"/>
      <c r="N157" s="4"/>
      <c r="O157" s="7"/>
      <c r="P157" s="7"/>
      <c r="Q157" s="4"/>
      <c r="R157" s="9" t="e">
        <f t="shared" si="39"/>
        <v>#DIV/0!</v>
      </c>
      <c r="S157" s="4" t="s">
        <v>157</v>
      </c>
      <c r="T157" s="4"/>
      <c r="U157" s="10"/>
      <c r="V157" s="10"/>
      <c r="W157" s="10"/>
      <c r="X157" s="10"/>
      <c r="Y157" s="10"/>
      <c r="Z157" s="10"/>
      <c r="AA157" s="11" t="e">
        <f t="shared" si="40"/>
        <v>#DIV/0!</v>
      </c>
      <c r="AB157" s="11">
        <f t="shared" si="41"/>
        <v>9</v>
      </c>
      <c r="AC157" s="11">
        <f t="shared" si="42"/>
        <v>8</v>
      </c>
      <c r="AD157" s="11" t="e">
        <f t="shared" si="43"/>
        <v>#DIV/0!</v>
      </c>
      <c r="AE157" s="11" t="e">
        <f t="shared" si="44"/>
        <v>#DIV/0!</v>
      </c>
      <c r="AF157" s="11" t="e">
        <f t="shared" si="45"/>
        <v>#DIV/0!</v>
      </c>
      <c r="AG157" s="11" t="e">
        <f t="shared" si="46"/>
        <v>#DIV/0!</v>
      </c>
      <c r="AH157" s="11" t="e">
        <f t="shared" si="47"/>
        <v>#DIV/0!</v>
      </c>
      <c r="AI157" s="10"/>
      <c r="AJ157" s="11" t="e">
        <f t="shared" si="48"/>
        <v>#DIV/0!</v>
      </c>
      <c r="AK157" s="11" t="e">
        <f t="shared" si="49"/>
        <v>#DIV/0!</v>
      </c>
      <c r="AL157" s="11" t="e">
        <f t="shared" si="50"/>
        <v>#DIV/0!</v>
      </c>
    </row>
    <row r="158" spans="2:38" x14ac:dyDescent="0.2">
      <c r="B158" s="4"/>
      <c r="C158" s="4"/>
      <c r="D158" s="4"/>
      <c r="E158" s="4"/>
      <c r="F158" s="4"/>
      <c r="G158" s="4"/>
      <c r="H158" s="4"/>
      <c r="I158" s="4"/>
      <c r="J158" s="9" t="e">
        <f t="shared" si="38"/>
        <v>#DIV/0!</v>
      </c>
      <c r="K158" s="4"/>
      <c r="L158" s="4"/>
      <c r="M158" s="4"/>
      <c r="N158" s="4"/>
      <c r="O158" s="7"/>
      <c r="P158" s="7"/>
      <c r="Q158" s="4"/>
      <c r="R158" s="9" t="e">
        <f t="shared" si="39"/>
        <v>#DIV/0!</v>
      </c>
      <c r="S158" s="4" t="s">
        <v>157</v>
      </c>
      <c r="T158" s="4"/>
      <c r="U158" s="10"/>
      <c r="V158" s="10"/>
      <c r="W158" s="10"/>
      <c r="X158" s="10"/>
      <c r="Y158" s="10"/>
      <c r="Z158" s="10"/>
      <c r="AA158" s="11" t="e">
        <f t="shared" si="40"/>
        <v>#DIV/0!</v>
      </c>
      <c r="AB158" s="11">
        <f t="shared" si="41"/>
        <v>9</v>
      </c>
      <c r="AC158" s="11">
        <f t="shared" si="42"/>
        <v>8</v>
      </c>
      <c r="AD158" s="11" t="e">
        <f t="shared" si="43"/>
        <v>#DIV/0!</v>
      </c>
      <c r="AE158" s="11" t="e">
        <f t="shared" si="44"/>
        <v>#DIV/0!</v>
      </c>
      <c r="AF158" s="11" t="e">
        <f t="shared" si="45"/>
        <v>#DIV/0!</v>
      </c>
      <c r="AG158" s="11" t="e">
        <f t="shared" si="46"/>
        <v>#DIV/0!</v>
      </c>
      <c r="AH158" s="11" t="e">
        <f t="shared" si="47"/>
        <v>#DIV/0!</v>
      </c>
      <c r="AI158" s="10"/>
      <c r="AJ158" s="11" t="e">
        <f t="shared" si="48"/>
        <v>#DIV/0!</v>
      </c>
      <c r="AK158" s="11" t="e">
        <f t="shared" si="49"/>
        <v>#DIV/0!</v>
      </c>
      <c r="AL158" s="11" t="e">
        <f t="shared" si="50"/>
        <v>#DIV/0!</v>
      </c>
    </row>
    <row r="159" spans="2:38" x14ac:dyDescent="0.2">
      <c r="B159" s="4"/>
      <c r="C159" s="4"/>
      <c r="D159" s="4"/>
      <c r="E159" s="4"/>
      <c r="F159" s="4"/>
      <c r="G159" s="4"/>
      <c r="H159" s="4"/>
      <c r="I159" s="4"/>
      <c r="J159" s="9" t="e">
        <f t="shared" si="38"/>
        <v>#DIV/0!</v>
      </c>
      <c r="K159" s="4"/>
      <c r="L159" s="4"/>
      <c r="M159" s="4"/>
      <c r="N159" s="4"/>
      <c r="O159" s="7"/>
      <c r="P159" s="7"/>
      <c r="Q159" s="4"/>
      <c r="R159" s="9" t="e">
        <f t="shared" si="39"/>
        <v>#DIV/0!</v>
      </c>
      <c r="S159" s="4" t="s">
        <v>157</v>
      </c>
      <c r="T159" s="4"/>
      <c r="U159" s="10"/>
      <c r="V159" s="10"/>
      <c r="W159" s="10"/>
      <c r="X159" s="10"/>
      <c r="Y159" s="10"/>
      <c r="Z159" s="10"/>
      <c r="AA159" s="11" t="e">
        <f t="shared" si="40"/>
        <v>#DIV/0!</v>
      </c>
      <c r="AB159" s="11">
        <f t="shared" si="41"/>
        <v>9</v>
      </c>
      <c r="AC159" s="11">
        <f t="shared" si="42"/>
        <v>8</v>
      </c>
      <c r="AD159" s="11" t="e">
        <f t="shared" si="43"/>
        <v>#DIV/0!</v>
      </c>
      <c r="AE159" s="11" t="e">
        <f t="shared" si="44"/>
        <v>#DIV/0!</v>
      </c>
      <c r="AF159" s="11" t="e">
        <f t="shared" si="45"/>
        <v>#DIV/0!</v>
      </c>
      <c r="AG159" s="11" t="e">
        <f t="shared" si="46"/>
        <v>#DIV/0!</v>
      </c>
      <c r="AH159" s="11" t="e">
        <f t="shared" si="47"/>
        <v>#DIV/0!</v>
      </c>
      <c r="AI159" s="10"/>
      <c r="AJ159" s="11" t="e">
        <f t="shared" si="48"/>
        <v>#DIV/0!</v>
      </c>
      <c r="AK159" s="11" t="e">
        <f t="shared" si="49"/>
        <v>#DIV/0!</v>
      </c>
      <c r="AL159" s="11" t="e">
        <f t="shared" si="50"/>
        <v>#DIV/0!</v>
      </c>
    </row>
    <row r="160" spans="2:38" x14ac:dyDescent="0.2">
      <c r="B160" s="4"/>
      <c r="C160" s="4"/>
      <c r="D160" s="4"/>
      <c r="E160" s="4"/>
      <c r="F160" s="4"/>
      <c r="G160" s="4"/>
      <c r="H160" s="4"/>
      <c r="I160" s="4"/>
      <c r="J160" s="9" t="e">
        <f t="shared" si="38"/>
        <v>#DIV/0!</v>
      </c>
      <c r="K160" s="4"/>
      <c r="L160" s="4"/>
      <c r="M160" s="4"/>
      <c r="N160" s="4"/>
      <c r="O160" s="7"/>
      <c r="P160" s="7"/>
      <c r="Q160" s="4"/>
      <c r="R160" s="9" t="e">
        <f t="shared" si="39"/>
        <v>#DIV/0!</v>
      </c>
      <c r="S160" s="4" t="s">
        <v>157</v>
      </c>
      <c r="T160" s="4"/>
      <c r="U160" s="10"/>
      <c r="V160" s="10"/>
      <c r="W160" s="10"/>
      <c r="X160" s="10"/>
      <c r="Y160" s="10"/>
      <c r="Z160" s="10"/>
      <c r="AA160" s="11" t="e">
        <f t="shared" si="40"/>
        <v>#DIV/0!</v>
      </c>
      <c r="AB160" s="11">
        <f t="shared" si="41"/>
        <v>9</v>
      </c>
      <c r="AC160" s="11">
        <f t="shared" si="42"/>
        <v>8</v>
      </c>
      <c r="AD160" s="11" t="e">
        <f t="shared" si="43"/>
        <v>#DIV/0!</v>
      </c>
      <c r="AE160" s="11" t="e">
        <f t="shared" si="44"/>
        <v>#DIV/0!</v>
      </c>
      <c r="AF160" s="11" t="e">
        <f t="shared" si="45"/>
        <v>#DIV/0!</v>
      </c>
      <c r="AG160" s="11" t="e">
        <f t="shared" si="46"/>
        <v>#DIV/0!</v>
      </c>
      <c r="AH160" s="11" t="e">
        <f t="shared" si="47"/>
        <v>#DIV/0!</v>
      </c>
      <c r="AI160" s="10"/>
      <c r="AJ160" s="11" t="e">
        <f t="shared" si="48"/>
        <v>#DIV/0!</v>
      </c>
      <c r="AK160" s="11" t="e">
        <f t="shared" si="49"/>
        <v>#DIV/0!</v>
      </c>
      <c r="AL160" s="11" t="e">
        <f t="shared" si="50"/>
        <v>#DIV/0!</v>
      </c>
    </row>
    <row r="161" spans="2:38" x14ac:dyDescent="0.2">
      <c r="B161" s="4"/>
      <c r="C161" s="4"/>
      <c r="D161" s="4"/>
      <c r="E161" s="4"/>
      <c r="F161" s="4"/>
      <c r="G161" s="4"/>
      <c r="H161" s="4"/>
      <c r="I161" s="4"/>
      <c r="J161" s="9" t="e">
        <f t="shared" si="38"/>
        <v>#DIV/0!</v>
      </c>
      <c r="K161" s="4"/>
      <c r="L161" s="4"/>
      <c r="M161" s="4"/>
      <c r="N161" s="4"/>
      <c r="O161" s="7"/>
      <c r="P161" s="7"/>
      <c r="Q161" s="4"/>
      <c r="R161" s="9" t="e">
        <f t="shared" si="39"/>
        <v>#DIV/0!</v>
      </c>
      <c r="S161" s="4" t="s">
        <v>157</v>
      </c>
      <c r="T161" s="4"/>
      <c r="U161" s="10"/>
      <c r="V161" s="10"/>
      <c r="W161" s="10"/>
      <c r="X161" s="10"/>
      <c r="Y161" s="10"/>
      <c r="Z161" s="10"/>
      <c r="AA161" s="11" t="e">
        <f t="shared" si="40"/>
        <v>#DIV/0!</v>
      </c>
      <c r="AB161" s="11">
        <f t="shared" si="41"/>
        <v>9</v>
      </c>
      <c r="AC161" s="11">
        <f t="shared" si="42"/>
        <v>8</v>
      </c>
      <c r="AD161" s="11" t="e">
        <f t="shared" si="43"/>
        <v>#DIV/0!</v>
      </c>
      <c r="AE161" s="11" t="e">
        <f t="shared" si="44"/>
        <v>#DIV/0!</v>
      </c>
      <c r="AF161" s="11" t="e">
        <f t="shared" si="45"/>
        <v>#DIV/0!</v>
      </c>
      <c r="AG161" s="11" t="e">
        <f t="shared" si="46"/>
        <v>#DIV/0!</v>
      </c>
      <c r="AH161" s="11" t="e">
        <f t="shared" si="47"/>
        <v>#DIV/0!</v>
      </c>
      <c r="AI161" s="10"/>
      <c r="AJ161" s="11" t="e">
        <f t="shared" si="48"/>
        <v>#DIV/0!</v>
      </c>
      <c r="AK161" s="11" t="e">
        <f t="shared" si="49"/>
        <v>#DIV/0!</v>
      </c>
      <c r="AL161" s="11" t="e">
        <f t="shared" si="50"/>
        <v>#DIV/0!</v>
      </c>
    </row>
    <row r="162" spans="2:38" x14ac:dyDescent="0.2">
      <c r="B162" s="4"/>
      <c r="C162" s="4"/>
      <c r="D162" s="4"/>
      <c r="E162" s="4"/>
      <c r="F162" s="4"/>
      <c r="G162" s="4"/>
      <c r="H162" s="4"/>
      <c r="I162" s="4"/>
      <c r="J162" s="9" t="e">
        <f t="shared" si="38"/>
        <v>#DIV/0!</v>
      </c>
      <c r="K162" s="4"/>
      <c r="L162" s="4"/>
      <c r="M162" s="4"/>
      <c r="N162" s="4"/>
      <c r="O162" s="7"/>
      <c r="P162" s="7"/>
      <c r="Q162" s="4"/>
      <c r="R162" s="9" t="e">
        <f t="shared" si="39"/>
        <v>#DIV/0!</v>
      </c>
      <c r="S162" s="4" t="s">
        <v>157</v>
      </c>
      <c r="T162" s="4"/>
      <c r="U162" s="10"/>
      <c r="V162" s="10"/>
      <c r="W162" s="10"/>
      <c r="X162" s="10"/>
      <c r="Y162" s="10"/>
      <c r="Z162" s="10"/>
      <c r="AA162" s="11" t="e">
        <f t="shared" si="40"/>
        <v>#DIV/0!</v>
      </c>
      <c r="AB162" s="11">
        <f t="shared" si="41"/>
        <v>9</v>
      </c>
      <c r="AC162" s="11">
        <f t="shared" si="42"/>
        <v>8</v>
      </c>
      <c r="AD162" s="11" t="e">
        <f t="shared" si="43"/>
        <v>#DIV/0!</v>
      </c>
      <c r="AE162" s="11" t="e">
        <f t="shared" si="44"/>
        <v>#DIV/0!</v>
      </c>
      <c r="AF162" s="11" t="e">
        <f t="shared" si="45"/>
        <v>#DIV/0!</v>
      </c>
      <c r="AG162" s="11" t="e">
        <f t="shared" si="46"/>
        <v>#DIV/0!</v>
      </c>
      <c r="AH162" s="11" t="e">
        <f t="shared" si="47"/>
        <v>#DIV/0!</v>
      </c>
      <c r="AI162" s="10"/>
      <c r="AJ162" s="11" t="e">
        <f t="shared" si="48"/>
        <v>#DIV/0!</v>
      </c>
      <c r="AK162" s="11" t="e">
        <f t="shared" si="49"/>
        <v>#DIV/0!</v>
      </c>
      <c r="AL162" s="11" t="e">
        <f t="shared" si="50"/>
        <v>#DIV/0!</v>
      </c>
    </row>
    <row r="163" spans="2:38" x14ac:dyDescent="0.2">
      <c r="B163" s="4"/>
      <c r="C163" s="4"/>
      <c r="D163" s="4"/>
      <c r="E163" s="4"/>
      <c r="F163" s="4"/>
      <c r="G163" s="4"/>
      <c r="H163" s="4"/>
      <c r="I163" s="4"/>
      <c r="J163" s="9" t="e">
        <f t="shared" si="38"/>
        <v>#DIV/0!</v>
      </c>
      <c r="K163" s="4"/>
      <c r="L163" s="4"/>
      <c r="M163" s="4"/>
      <c r="N163" s="4"/>
      <c r="O163" s="7"/>
      <c r="P163" s="7"/>
      <c r="Q163" s="4"/>
      <c r="R163" s="9" t="e">
        <f t="shared" si="39"/>
        <v>#DIV/0!</v>
      </c>
      <c r="S163" s="4" t="s">
        <v>157</v>
      </c>
      <c r="T163" s="4"/>
      <c r="U163" s="10"/>
      <c r="V163" s="10"/>
      <c r="W163" s="10"/>
      <c r="X163" s="10"/>
      <c r="Y163" s="10"/>
      <c r="Z163" s="10"/>
      <c r="AA163" s="11" t="e">
        <f t="shared" si="40"/>
        <v>#DIV/0!</v>
      </c>
      <c r="AB163" s="11">
        <f t="shared" si="41"/>
        <v>9</v>
      </c>
      <c r="AC163" s="11">
        <f t="shared" si="42"/>
        <v>8</v>
      </c>
      <c r="AD163" s="11" t="e">
        <f t="shared" si="43"/>
        <v>#DIV/0!</v>
      </c>
      <c r="AE163" s="11" t="e">
        <f t="shared" si="44"/>
        <v>#DIV/0!</v>
      </c>
      <c r="AF163" s="11" t="e">
        <f t="shared" si="45"/>
        <v>#DIV/0!</v>
      </c>
      <c r="AG163" s="11" t="e">
        <f t="shared" si="46"/>
        <v>#DIV/0!</v>
      </c>
      <c r="AH163" s="11" t="e">
        <f t="shared" si="47"/>
        <v>#DIV/0!</v>
      </c>
      <c r="AI163" s="10"/>
      <c r="AJ163" s="11" t="e">
        <f t="shared" si="48"/>
        <v>#DIV/0!</v>
      </c>
      <c r="AK163" s="11" t="e">
        <f t="shared" si="49"/>
        <v>#DIV/0!</v>
      </c>
      <c r="AL163" s="11" t="e">
        <f t="shared" si="50"/>
        <v>#DIV/0!</v>
      </c>
    </row>
    <row r="164" spans="2:38" x14ac:dyDescent="0.2">
      <c r="B164" s="4"/>
      <c r="C164" s="4"/>
      <c r="D164" s="4"/>
      <c r="E164" s="4"/>
      <c r="F164" s="4"/>
      <c r="G164" s="4"/>
      <c r="H164" s="4"/>
      <c r="I164" s="4"/>
      <c r="J164" s="9" t="e">
        <f t="shared" si="38"/>
        <v>#DIV/0!</v>
      </c>
      <c r="K164" s="4"/>
      <c r="L164" s="4"/>
      <c r="M164" s="4"/>
      <c r="N164" s="4"/>
      <c r="O164" s="7"/>
      <c r="P164" s="7"/>
      <c r="Q164" s="4"/>
      <c r="R164" s="9" t="e">
        <f t="shared" si="39"/>
        <v>#DIV/0!</v>
      </c>
      <c r="S164" s="4" t="s">
        <v>157</v>
      </c>
      <c r="T164" s="4"/>
      <c r="U164" s="10"/>
      <c r="V164" s="10"/>
      <c r="W164" s="10"/>
      <c r="X164" s="10"/>
      <c r="Y164" s="10"/>
      <c r="Z164" s="10"/>
      <c r="AA164" s="11" t="e">
        <f t="shared" si="40"/>
        <v>#DIV/0!</v>
      </c>
      <c r="AB164" s="11">
        <f t="shared" si="41"/>
        <v>9</v>
      </c>
      <c r="AC164" s="11">
        <f t="shared" si="42"/>
        <v>8</v>
      </c>
      <c r="AD164" s="11" t="e">
        <f t="shared" si="43"/>
        <v>#DIV/0!</v>
      </c>
      <c r="AE164" s="11" t="e">
        <f t="shared" si="44"/>
        <v>#DIV/0!</v>
      </c>
      <c r="AF164" s="11" t="e">
        <f t="shared" si="45"/>
        <v>#DIV/0!</v>
      </c>
      <c r="AG164" s="11" t="e">
        <f t="shared" si="46"/>
        <v>#DIV/0!</v>
      </c>
      <c r="AH164" s="11" t="e">
        <f t="shared" si="47"/>
        <v>#DIV/0!</v>
      </c>
      <c r="AI164" s="10"/>
      <c r="AJ164" s="11" t="e">
        <f t="shared" si="48"/>
        <v>#DIV/0!</v>
      </c>
      <c r="AK164" s="11" t="e">
        <f t="shared" si="49"/>
        <v>#DIV/0!</v>
      </c>
      <c r="AL164" s="11" t="e">
        <f t="shared" si="50"/>
        <v>#DIV/0!</v>
      </c>
    </row>
    <row r="165" spans="2:38" x14ac:dyDescent="0.2">
      <c r="B165" s="4"/>
      <c r="C165" s="4"/>
      <c r="D165" s="4"/>
      <c r="E165" s="4"/>
      <c r="F165" s="4"/>
      <c r="G165" s="4"/>
      <c r="H165" s="4"/>
      <c r="I165" s="4"/>
      <c r="J165" s="9" t="e">
        <f t="shared" si="38"/>
        <v>#DIV/0!</v>
      </c>
      <c r="K165" s="4"/>
      <c r="L165" s="4"/>
      <c r="M165" s="4"/>
      <c r="N165" s="4"/>
      <c r="O165" s="7"/>
      <c r="P165" s="7"/>
      <c r="Q165" s="4"/>
      <c r="R165" s="9" t="e">
        <f t="shared" si="39"/>
        <v>#DIV/0!</v>
      </c>
      <c r="S165" s="4" t="s">
        <v>157</v>
      </c>
      <c r="T165" s="4"/>
      <c r="U165" s="10"/>
      <c r="V165" s="10"/>
      <c r="W165" s="10"/>
      <c r="X165" s="10"/>
      <c r="Y165" s="10"/>
      <c r="Z165" s="10"/>
      <c r="AA165" s="11" t="e">
        <f t="shared" si="40"/>
        <v>#DIV/0!</v>
      </c>
      <c r="AB165" s="11">
        <f t="shared" si="41"/>
        <v>9</v>
      </c>
      <c r="AC165" s="11">
        <f t="shared" si="42"/>
        <v>8</v>
      </c>
      <c r="AD165" s="11" t="e">
        <f t="shared" si="43"/>
        <v>#DIV/0!</v>
      </c>
      <c r="AE165" s="11" t="e">
        <f t="shared" si="44"/>
        <v>#DIV/0!</v>
      </c>
      <c r="AF165" s="11" t="e">
        <f t="shared" si="45"/>
        <v>#DIV/0!</v>
      </c>
      <c r="AG165" s="11" t="e">
        <f t="shared" si="46"/>
        <v>#DIV/0!</v>
      </c>
      <c r="AH165" s="11" t="e">
        <f t="shared" si="47"/>
        <v>#DIV/0!</v>
      </c>
      <c r="AI165" s="10"/>
      <c r="AJ165" s="11" t="e">
        <f t="shared" si="48"/>
        <v>#DIV/0!</v>
      </c>
      <c r="AK165" s="11" t="e">
        <f t="shared" si="49"/>
        <v>#DIV/0!</v>
      </c>
      <c r="AL165" s="11" t="e">
        <f t="shared" si="50"/>
        <v>#DIV/0!</v>
      </c>
    </row>
    <row r="166" spans="2:38" x14ac:dyDescent="0.2">
      <c r="B166" s="4"/>
      <c r="C166" s="4"/>
      <c r="D166" s="4"/>
      <c r="E166" s="4"/>
      <c r="F166" s="4"/>
      <c r="G166" s="4"/>
      <c r="H166" s="4"/>
      <c r="I166" s="4"/>
      <c r="J166" s="9" t="e">
        <f t="shared" si="38"/>
        <v>#DIV/0!</v>
      </c>
      <c r="K166" s="4"/>
      <c r="L166" s="4"/>
      <c r="M166" s="4"/>
      <c r="N166" s="4"/>
      <c r="O166" s="7"/>
      <c r="P166" s="7"/>
      <c r="Q166" s="4"/>
      <c r="R166" s="9" t="e">
        <f t="shared" si="39"/>
        <v>#DIV/0!</v>
      </c>
      <c r="S166" s="4" t="s">
        <v>157</v>
      </c>
      <c r="T166" s="4"/>
      <c r="U166" s="10"/>
      <c r="V166" s="10"/>
      <c r="W166" s="10"/>
      <c r="X166" s="10"/>
      <c r="Y166" s="10"/>
      <c r="Z166" s="10"/>
      <c r="AA166" s="11" t="e">
        <f t="shared" si="40"/>
        <v>#DIV/0!</v>
      </c>
      <c r="AB166" s="11">
        <f t="shared" si="41"/>
        <v>9</v>
      </c>
      <c r="AC166" s="11">
        <f t="shared" si="42"/>
        <v>8</v>
      </c>
      <c r="AD166" s="11" t="e">
        <f t="shared" si="43"/>
        <v>#DIV/0!</v>
      </c>
      <c r="AE166" s="11" t="e">
        <f t="shared" si="44"/>
        <v>#DIV/0!</v>
      </c>
      <c r="AF166" s="11" t="e">
        <f t="shared" si="45"/>
        <v>#DIV/0!</v>
      </c>
      <c r="AG166" s="11" t="e">
        <f t="shared" si="46"/>
        <v>#DIV/0!</v>
      </c>
      <c r="AH166" s="11" t="e">
        <f t="shared" si="47"/>
        <v>#DIV/0!</v>
      </c>
      <c r="AI166" s="10"/>
      <c r="AJ166" s="11" t="e">
        <f t="shared" si="48"/>
        <v>#DIV/0!</v>
      </c>
      <c r="AK166" s="11" t="e">
        <f t="shared" si="49"/>
        <v>#DIV/0!</v>
      </c>
      <c r="AL166" s="11" t="e">
        <f t="shared" si="50"/>
        <v>#DIV/0!</v>
      </c>
    </row>
    <row r="167" spans="2:38" x14ac:dyDescent="0.2">
      <c r="B167" s="4"/>
      <c r="C167" s="4"/>
      <c r="D167" s="4"/>
      <c r="E167" s="4"/>
      <c r="F167" s="4"/>
      <c r="G167" s="4"/>
      <c r="H167" s="4"/>
      <c r="I167" s="4"/>
      <c r="J167" s="9" t="e">
        <f t="shared" si="38"/>
        <v>#DIV/0!</v>
      </c>
      <c r="K167" s="4"/>
      <c r="L167" s="4"/>
      <c r="M167" s="4"/>
      <c r="N167" s="4"/>
      <c r="O167" s="7"/>
      <c r="P167" s="7"/>
      <c r="Q167" s="4"/>
      <c r="R167" s="9" t="e">
        <f t="shared" si="39"/>
        <v>#DIV/0!</v>
      </c>
      <c r="S167" s="4" t="s">
        <v>157</v>
      </c>
      <c r="T167" s="4"/>
      <c r="U167" s="10"/>
      <c r="V167" s="10"/>
      <c r="W167" s="10"/>
      <c r="X167" s="10"/>
      <c r="Y167" s="10"/>
      <c r="Z167" s="10"/>
      <c r="AA167" s="11" t="e">
        <f t="shared" si="40"/>
        <v>#DIV/0!</v>
      </c>
      <c r="AB167" s="11">
        <f t="shared" si="41"/>
        <v>9</v>
      </c>
      <c r="AC167" s="11">
        <f t="shared" si="42"/>
        <v>8</v>
      </c>
      <c r="AD167" s="11" t="e">
        <f t="shared" si="43"/>
        <v>#DIV/0!</v>
      </c>
      <c r="AE167" s="11" t="e">
        <f t="shared" si="44"/>
        <v>#DIV/0!</v>
      </c>
      <c r="AF167" s="11" t="e">
        <f t="shared" si="45"/>
        <v>#DIV/0!</v>
      </c>
      <c r="AG167" s="11" t="e">
        <f t="shared" si="46"/>
        <v>#DIV/0!</v>
      </c>
      <c r="AH167" s="11" t="e">
        <f t="shared" si="47"/>
        <v>#DIV/0!</v>
      </c>
      <c r="AI167" s="10"/>
      <c r="AJ167" s="11" t="e">
        <f t="shared" si="48"/>
        <v>#DIV/0!</v>
      </c>
      <c r="AK167" s="11" t="e">
        <f t="shared" si="49"/>
        <v>#DIV/0!</v>
      </c>
      <c r="AL167" s="11" t="e">
        <f t="shared" si="50"/>
        <v>#DIV/0!</v>
      </c>
    </row>
    <row r="168" spans="2:38" x14ac:dyDescent="0.2">
      <c r="B168" s="4"/>
      <c r="C168" s="4"/>
      <c r="D168" s="4"/>
      <c r="E168" s="4"/>
      <c r="F168" s="4"/>
      <c r="G168" s="4"/>
      <c r="H168" s="4"/>
      <c r="I168" s="4"/>
      <c r="J168" s="9" t="e">
        <f t="shared" si="38"/>
        <v>#DIV/0!</v>
      </c>
      <c r="K168" s="4"/>
      <c r="L168" s="4"/>
      <c r="M168" s="4"/>
      <c r="N168" s="4"/>
      <c r="O168" s="7"/>
      <c r="P168" s="7"/>
      <c r="Q168" s="4"/>
      <c r="R168" s="9" t="e">
        <f t="shared" si="39"/>
        <v>#DIV/0!</v>
      </c>
      <c r="S168" s="4" t="s">
        <v>157</v>
      </c>
      <c r="T168" s="4"/>
      <c r="U168" s="10"/>
      <c r="V168" s="10"/>
      <c r="W168" s="10"/>
      <c r="X168" s="10"/>
      <c r="Y168" s="10"/>
      <c r="Z168" s="10"/>
      <c r="AA168" s="11" t="e">
        <f t="shared" si="40"/>
        <v>#DIV/0!</v>
      </c>
      <c r="AB168" s="11">
        <f t="shared" si="41"/>
        <v>9</v>
      </c>
      <c r="AC168" s="11">
        <f t="shared" si="42"/>
        <v>8</v>
      </c>
      <c r="AD168" s="11" t="e">
        <f t="shared" si="43"/>
        <v>#DIV/0!</v>
      </c>
      <c r="AE168" s="11" t="e">
        <f t="shared" si="44"/>
        <v>#DIV/0!</v>
      </c>
      <c r="AF168" s="11" t="e">
        <f t="shared" si="45"/>
        <v>#DIV/0!</v>
      </c>
      <c r="AG168" s="11" t="e">
        <f t="shared" si="46"/>
        <v>#DIV/0!</v>
      </c>
      <c r="AH168" s="11" t="e">
        <f t="shared" si="47"/>
        <v>#DIV/0!</v>
      </c>
      <c r="AI168" s="10"/>
      <c r="AJ168" s="11" t="e">
        <f t="shared" si="48"/>
        <v>#DIV/0!</v>
      </c>
      <c r="AK168" s="11" t="e">
        <f t="shared" si="49"/>
        <v>#DIV/0!</v>
      </c>
      <c r="AL168" s="11" t="e">
        <f t="shared" si="50"/>
        <v>#DIV/0!</v>
      </c>
    </row>
    <row r="169" spans="2:38" x14ac:dyDescent="0.2">
      <c r="B169" s="4"/>
      <c r="C169" s="4"/>
      <c r="D169" s="4"/>
      <c r="E169" s="4"/>
      <c r="F169" s="4"/>
      <c r="G169" s="4"/>
      <c r="H169" s="4"/>
      <c r="I169" s="4"/>
      <c r="J169" s="9" t="e">
        <f t="shared" si="38"/>
        <v>#DIV/0!</v>
      </c>
      <c r="K169" s="4"/>
      <c r="L169" s="4"/>
      <c r="M169" s="4"/>
      <c r="N169" s="4"/>
      <c r="O169" s="7"/>
      <c r="P169" s="7"/>
      <c r="Q169" s="4"/>
      <c r="R169" s="9" t="e">
        <f t="shared" si="39"/>
        <v>#DIV/0!</v>
      </c>
      <c r="S169" s="4" t="s">
        <v>157</v>
      </c>
      <c r="T169" s="4"/>
      <c r="U169" s="10"/>
      <c r="V169" s="10"/>
      <c r="W169" s="10"/>
      <c r="X169" s="10"/>
      <c r="Y169" s="10"/>
      <c r="Z169" s="10"/>
      <c r="AA169" s="11" t="e">
        <f t="shared" si="40"/>
        <v>#DIV/0!</v>
      </c>
      <c r="AB169" s="11">
        <f t="shared" si="41"/>
        <v>9</v>
      </c>
      <c r="AC169" s="11">
        <f t="shared" si="42"/>
        <v>8</v>
      </c>
      <c r="AD169" s="11" t="e">
        <f t="shared" si="43"/>
        <v>#DIV/0!</v>
      </c>
      <c r="AE169" s="11" t="e">
        <f t="shared" si="44"/>
        <v>#DIV/0!</v>
      </c>
      <c r="AF169" s="11" t="e">
        <f t="shared" si="45"/>
        <v>#DIV/0!</v>
      </c>
      <c r="AG169" s="11" t="e">
        <f t="shared" si="46"/>
        <v>#DIV/0!</v>
      </c>
      <c r="AH169" s="11" t="e">
        <f t="shared" si="47"/>
        <v>#DIV/0!</v>
      </c>
      <c r="AI169" s="10"/>
      <c r="AJ169" s="11" t="e">
        <f t="shared" si="48"/>
        <v>#DIV/0!</v>
      </c>
      <c r="AK169" s="11" t="e">
        <f t="shared" si="49"/>
        <v>#DIV/0!</v>
      </c>
      <c r="AL169" s="11" t="e">
        <f t="shared" si="50"/>
        <v>#DIV/0!</v>
      </c>
    </row>
    <row r="170" spans="2:38" x14ac:dyDescent="0.2">
      <c r="B170" s="4"/>
      <c r="C170" s="4"/>
      <c r="D170" s="4"/>
      <c r="E170" s="4"/>
      <c r="F170" s="4"/>
      <c r="G170" s="4"/>
      <c r="H170" s="4"/>
      <c r="I170" s="4"/>
      <c r="J170" s="9" t="e">
        <f t="shared" si="38"/>
        <v>#DIV/0!</v>
      </c>
      <c r="K170" s="4"/>
      <c r="L170" s="4"/>
      <c r="M170" s="4"/>
      <c r="N170" s="4"/>
      <c r="O170" s="7"/>
      <c r="P170" s="7"/>
      <c r="Q170" s="4"/>
      <c r="R170" s="9" t="e">
        <f t="shared" si="39"/>
        <v>#DIV/0!</v>
      </c>
      <c r="S170" s="4" t="s">
        <v>157</v>
      </c>
      <c r="T170" s="4"/>
      <c r="U170" s="10"/>
      <c r="V170" s="10"/>
      <c r="W170" s="10"/>
      <c r="X170" s="10"/>
      <c r="Y170" s="10"/>
      <c r="Z170" s="10"/>
      <c r="AA170" s="11" t="e">
        <f t="shared" si="40"/>
        <v>#DIV/0!</v>
      </c>
      <c r="AB170" s="11">
        <f t="shared" si="41"/>
        <v>9</v>
      </c>
      <c r="AC170" s="11">
        <f t="shared" si="42"/>
        <v>8</v>
      </c>
      <c r="AD170" s="11" t="e">
        <f t="shared" si="43"/>
        <v>#DIV/0!</v>
      </c>
      <c r="AE170" s="11" t="e">
        <f t="shared" si="44"/>
        <v>#DIV/0!</v>
      </c>
      <c r="AF170" s="11" t="e">
        <f t="shared" si="45"/>
        <v>#DIV/0!</v>
      </c>
      <c r="AG170" s="11" t="e">
        <f t="shared" si="46"/>
        <v>#DIV/0!</v>
      </c>
      <c r="AH170" s="11" t="e">
        <f t="shared" si="47"/>
        <v>#DIV/0!</v>
      </c>
      <c r="AI170" s="10"/>
      <c r="AJ170" s="11" t="e">
        <f t="shared" si="48"/>
        <v>#DIV/0!</v>
      </c>
      <c r="AK170" s="11" t="e">
        <f t="shared" si="49"/>
        <v>#DIV/0!</v>
      </c>
      <c r="AL170" s="11" t="e">
        <f t="shared" si="50"/>
        <v>#DIV/0!</v>
      </c>
    </row>
    <row r="171" spans="2:38" x14ac:dyDescent="0.2">
      <c r="B171" s="4"/>
      <c r="C171" s="4"/>
      <c r="D171" s="4"/>
      <c r="E171" s="4"/>
      <c r="F171" s="4"/>
      <c r="G171" s="4"/>
      <c r="H171" s="4"/>
      <c r="I171" s="4"/>
      <c r="J171" s="9" t="e">
        <f t="shared" si="38"/>
        <v>#DIV/0!</v>
      </c>
      <c r="K171" s="4"/>
      <c r="L171" s="4"/>
      <c r="M171" s="4"/>
      <c r="N171" s="4"/>
      <c r="O171" s="7"/>
      <c r="P171" s="7"/>
      <c r="Q171" s="4"/>
      <c r="R171" s="9" t="e">
        <f t="shared" si="39"/>
        <v>#DIV/0!</v>
      </c>
      <c r="S171" s="4" t="s">
        <v>158</v>
      </c>
      <c r="T171" s="4"/>
      <c r="U171" s="10"/>
      <c r="V171" s="10"/>
      <c r="W171" s="10"/>
      <c r="X171" s="10"/>
      <c r="Y171" s="10"/>
      <c r="Z171" s="10"/>
      <c r="AA171" s="11" t="e">
        <f t="shared" si="40"/>
        <v>#DIV/0!</v>
      </c>
      <c r="AB171" s="11">
        <f t="shared" si="41"/>
        <v>9</v>
      </c>
      <c r="AC171" s="11">
        <f t="shared" si="42"/>
        <v>8</v>
      </c>
      <c r="AD171" s="11" t="e">
        <f t="shared" si="43"/>
        <v>#DIV/0!</v>
      </c>
      <c r="AE171" s="11" t="e">
        <f t="shared" si="44"/>
        <v>#DIV/0!</v>
      </c>
      <c r="AF171" s="11" t="e">
        <f t="shared" si="45"/>
        <v>#DIV/0!</v>
      </c>
      <c r="AG171" s="11" t="e">
        <f t="shared" si="46"/>
        <v>#DIV/0!</v>
      </c>
      <c r="AH171" s="11" t="e">
        <f t="shared" si="47"/>
        <v>#DIV/0!</v>
      </c>
      <c r="AI171" s="10"/>
      <c r="AJ171" s="11" t="e">
        <f t="shared" si="48"/>
        <v>#DIV/0!</v>
      </c>
      <c r="AK171" s="11" t="e">
        <f t="shared" si="49"/>
        <v>#DIV/0!</v>
      </c>
      <c r="AL171" s="11" t="e">
        <f t="shared" si="50"/>
        <v>#DIV/0!</v>
      </c>
    </row>
    <row r="172" spans="2:38" x14ac:dyDescent="0.2">
      <c r="B172" s="4"/>
      <c r="C172" s="4"/>
      <c r="D172" s="4"/>
      <c r="E172" s="4"/>
      <c r="F172" s="4"/>
      <c r="G172" s="4"/>
      <c r="H172" s="4"/>
      <c r="I172" s="4"/>
      <c r="J172" s="9" t="e">
        <f t="shared" si="38"/>
        <v>#DIV/0!</v>
      </c>
      <c r="K172" s="4"/>
      <c r="L172" s="4"/>
      <c r="M172" s="4"/>
      <c r="N172" s="4"/>
      <c r="O172" s="7"/>
      <c r="P172" s="7"/>
      <c r="Q172" s="4"/>
      <c r="R172" s="9" t="e">
        <f t="shared" si="39"/>
        <v>#DIV/0!</v>
      </c>
      <c r="S172" s="4" t="s">
        <v>158</v>
      </c>
      <c r="T172" s="4"/>
      <c r="U172" s="10"/>
      <c r="V172" s="10"/>
      <c r="W172" s="10"/>
      <c r="X172" s="10"/>
      <c r="Y172" s="10"/>
      <c r="Z172" s="10"/>
      <c r="AA172" s="11" t="e">
        <f t="shared" si="40"/>
        <v>#DIV/0!</v>
      </c>
      <c r="AB172" s="11">
        <f t="shared" si="41"/>
        <v>9</v>
      </c>
      <c r="AC172" s="11">
        <f t="shared" si="42"/>
        <v>8</v>
      </c>
      <c r="AD172" s="11" t="e">
        <f t="shared" si="43"/>
        <v>#DIV/0!</v>
      </c>
      <c r="AE172" s="11" t="e">
        <f t="shared" si="44"/>
        <v>#DIV/0!</v>
      </c>
      <c r="AF172" s="11" t="e">
        <f t="shared" si="45"/>
        <v>#DIV/0!</v>
      </c>
      <c r="AG172" s="11" t="e">
        <f t="shared" si="46"/>
        <v>#DIV/0!</v>
      </c>
      <c r="AH172" s="11" t="e">
        <f t="shared" si="47"/>
        <v>#DIV/0!</v>
      </c>
      <c r="AI172" s="10"/>
      <c r="AJ172" s="11" t="e">
        <f t="shared" si="48"/>
        <v>#DIV/0!</v>
      </c>
      <c r="AK172" s="11" t="e">
        <f t="shared" si="49"/>
        <v>#DIV/0!</v>
      </c>
      <c r="AL172" s="11" t="e">
        <f t="shared" si="50"/>
        <v>#DIV/0!</v>
      </c>
    </row>
    <row r="173" spans="2:38" x14ac:dyDescent="0.2">
      <c r="B173" s="4"/>
      <c r="C173" s="4"/>
      <c r="D173" s="4"/>
      <c r="E173" s="4"/>
      <c r="F173" s="4"/>
      <c r="G173" s="4"/>
      <c r="H173" s="4"/>
      <c r="I173" s="4"/>
      <c r="J173" s="9" t="e">
        <f t="shared" si="38"/>
        <v>#DIV/0!</v>
      </c>
      <c r="K173" s="4"/>
      <c r="L173" s="4"/>
      <c r="M173" s="4"/>
      <c r="N173" s="4"/>
      <c r="O173" s="7"/>
      <c r="P173" s="7"/>
      <c r="Q173" s="4"/>
      <c r="R173" s="9" t="e">
        <f t="shared" si="39"/>
        <v>#DIV/0!</v>
      </c>
      <c r="S173" s="4" t="s">
        <v>158</v>
      </c>
      <c r="T173" s="4"/>
      <c r="U173" s="10"/>
      <c r="V173" s="10"/>
      <c r="W173" s="10"/>
      <c r="X173" s="10"/>
      <c r="Y173" s="10"/>
      <c r="Z173" s="10"/>
      <c r="AA173" s="11" t="e">
        <f t="shared" si="40"/>
        <v>#DIV/0!</v>
      </c>
      <c r="AB173" s="11">
        <f t="shared" si="41"/>
        <v>9</v>
      </c>
      <c r="AC173" s="11">
        <f t="shared" si="42"/>
        <v>8</v>
      </c>
      <c r="AD173" s="11" t="e">
        <f t="shared" si="43"/>
        <v>#DIV/0!</v>
      </c>
      <c r="AE173" s="11" t="e">
        <f t="shared" si="44"/>
        <v>#DIV/0!</v>
      </c>
      <c r="AF173" s="11" t="e">
        <f t="shared" si="45"/>
        <v>#DIV/0!</v>
      </c>
      <c r="AG173" s="11" t="e">
        <f t="shared" si="46"/>
        <v>#DIV/0!</v>
      </c>
      <c r="AH173" s="11" t="e">
        <f t="shared" si="47"/>
        <v>#DIV/0!</v>
      </c>
      <c r="AI173" s="10"/>
      <c r="AJ173" s="11" t="e">
        <f t="shared" si="48"/>
        <v>#DIV/0!</v>
      </c>
      <c r="AK173" s="11" t="e">
        <f t="shared" si="49"/>
        <v>#DIV/0!</v>
      </c>
      <c r="AL173" s="11" t="e">
        <f t="shared" si="50"/>
        <v>#DIV/0!</v>
      </c>
    </row>
    <row r="174" spans="2:38" x14ac:dyDescent="0.2">
      <c r="B174" s="4"/>
      <c r="C174" s="4"/>
      <c r="D174" s="4"/>
      <c r="E174" s="4"/>
      <c r="F174" s="4"/>
      <c r="G174" s="4"/>
      <c r="H174" s="4"/>
      <c r="I174" s="4"/>
      <c r="J174" s="9" t="e">
        <f t="shared" si="38"/>
        <v>#DIV/0!</v>
      </c>
      <c r="K174" s="4"/>
      <c r="L174" s="4"/>
      <c r="M174" s="4"/>
      <c r="N174" s="4"/>
      <c r="O174" s="7"/>
      <c r="P174" s="7"/>
      <c r="Q174" s="4"/>
      <c r="R174" s="9" t="e">
        <f t="shared" si="39"/>
        <v>#DIV/0!</v>
      </c>
      <c r="S174" s="4" t="s">
        <v>158</v>
      </c>
      <c r="T174" s="4"/>
      <c r="U174" s="10"/>
      <c r="V174" s="10"/>
      <c r="W174" s="10"/>
      <c r="X174" s="10"/>
      <c r="Y174" s="10"/>
      <c r="Z174" s="10"/>
      <c r="AA174" s="11" t="e">
        <f t="shared" si="40"/>
        <v>#DIV/0!</v>
      </c>
      <c r="AB174" s="11">
        <f t="shared" si="41"/>
        <v>9</v>
      </c>
      <c r="AC174" s="11">
        <f t="shared" si="42"/>
        <v>8</v>
      </c>
      <c r="AD174" s="11" t="e">
        <f t="shared" si="43"/>
        <v>#DIV/0!</v>
      </c>
      <c r="AE174" s="11" t="e">
        <f t="shared" si="44"/>
        <v>#DIV/0!</v>
      </c>
      <c r="AF174" s="11" t="e">
        <f t="shared" si="45"/>
        <v>#DIV/0!</v>
      </c>
      <c r="AG174" s="11" t="e">
        <f t="shared" si="46"/>
        <v>#DIV/0!</v>
      </c>
      <c r="AH174" s="11" t="e">
        <f t="shared" si="47"/>
        <v>#DIV/0!</v>
      </c>
      <c r="AI174" s="10"/>
      <c r="AJ174" s="11" t="e">
        <f t="shared" si="48"/>
        <v>#DIV/0!</v>
      </c>
      <c r="AK174" s="11" t="e">
        <f t="shared" si="49"/>
        <v>#DIV/0!</v>
      </c>
      <c r="AL174" s="11" t="e">
        <f t="shared" si="50"/>
        <v>#DIV/0!</v>
      </c>
    </row>
    <row r="175" spans="2:38" x14ac:dyDescent="0.2">
      <c r="B175" s="4"/>
      <c r="C175" s="4"/>
      <c r="D175" s="4"/>
      <c r="E175" s="4"/>
      <c r="F175" s="4"/>
      <c r="G175" s="4"/>
      <c r="H175" s="4"/>
      <c r="I175" s="4"/>
      <c r="J175" s="9" t="e">
        <f t="shared" si="38"/>
        <v>#DIV/0!</v>
      </c>
      <c r="K175" s="4"/>
      <c r="L175" s="4"/>
      <c r="M175" s="4"/>
      <c r="N175" s="4"/>
      <c r="O175" s="7"/>
      <c r="P175" s="7"/>
      <c r="Q175" s="4"/>
      <c r="R175" s="9" t="e">
        <f t="shared" si="39"/>
        <v>#DIV/0!</v>
      </c>
      <c r="S175" s="4" t="s">
        <v>158</v>
      </c>
      <c r="T175" s="4"/>
      <c r="U175" s="10"/>
      <c r="V175" s="10"/>
      <c r="W175" s="10"/>
      <c r="X175" s="10"/>
      <c r="Y175" s="10"/>
      <c r="Z175" s="10"/>
      <c r="AA175" s="11" t="e">
        <f t="shared" si="40"/>
        <v>#DIV/0!</v>
      </c>
      <c r="AB175" s="11">
        <f t="shared" si="41"/>
        <v>9</v>
      </c>
      <c r="AC175" s="11">
        <f t="shared" si="42"/>
        <v>8</v>
      </c>
      <c r="AD175" s="11" t="e">
        <f t="shared" si="43"/>
        <v>#DIV/0!</v>
      </c>
      <c r="AE175" s="11" t="e">
        <f t="shared" si="44"/>
        <v>#DIV/0!</v>
      </c>
      <c r="AF175" s="11" t="e">
        <f t="shared" si="45"/>
        <v>#DIV/0!</v>
      </c>
      <c r="AG175" s="11" t="e">
        <f t="shared" si="46"/>
        <v>#DIV/0!</v>
      </c>
      <c r="AH175" s="11" t="e">
        <f t="shared" si="47"/>
        <v>#DIV/0!</v>
      </c>
      <c r="AI175" s="10"/>
      <c r="AJ175" s="11" t="e">
        <f t="shared" si="48"/>
        <v>#DIV/0!</v>
      </c>
      <c r="AK175" s="11" t="e">
        <f t="shared" si="49"/>
        <v>#DIV/0!</v>
      </c>
      <c r="AL175" s="11" t="e">
        <f t="shared" si="50"/>
        <v>#DIV/0!</v>
      </c>
    </row>
    <row r="176" spans="2:38" x14ac:dyDescent="0.2">
      <c r="B176" s="4"/>
      <c r="C176" s="4"/>
      <c r="D176" s="4"/>
      <c r="E176" s="4"/>
      <c r="F176" s="4"/>
      <c r="G176" s="4"/>
      <c r="H176" s="4"/>
      <c r="I176" s="4"/>
      <c r="J176" s="9" t="e">
        <f t="shared" si="38"/>
        <v>#DIV/0!</v>
      </c>
      <c r="K176" s="4"/>
      <c r="L176" s="4"/>
      <c r="M176" s="4"/>
      <c r="N176" s="4"/>
      <c r="O176" s="7"/>
      <c r="P176" s="7"/>
      <c r="Q176" s="4"/>
      <c r="R176" s="9" t="e">
        <f t="shared" si="39"/>
        <v>#DIV/0!</v>
      </c>
      <c r="S176" s="4" t="s">
        <v>158</v>
      </c>
      <c r="T176" s="4"/>
      <c r="U176" s="10"/>
      <c r="V176" s="10"/>
      <c r="W176" s="10"/>
      <c r="X176" s="10"/>
      <c r="Y176" s="10"/>
      <c r="Z176" s="10"/>
      <c r="AA176" s="11" t="e">
        <f t="shared" si="40"/>
        <v>#DIV/0!</v>
      </c>
      <c r="AB176" s="11">
        <f t="shared" si="41"/>
        <v>9</v>
      </c>
      <c r="AC176" s="11">
        <f t="shared" si="42"/>
        <v>8</v>
      </c>
      <c r="AD176" s="11" t="e">
        <f t="shared" si="43"/>
        <v>#DIV/0!</v>
      </c>
      <c r="AE176" s="11" t="e">
        <f t="shared" si="44"/>
        <v>#DIV/0!</v>
      </c>
      <c r="AF176" s="11" t="e">
        <f t="shared" si="45"/>
        <v>#DIV/0!</v>
      </c>
      <c r="AG176" s="11" t="e">
        <f t="shared" si="46"/>
        <v>#DIV/0!</v>
      </c>
      <c r="AH176" s="11" t="e">
        <f t="shared" si="47"/>
        <v>#DIV/0!</v>
      </c>
      <c r="AI176" s="10"/>
      <c r="AJ176" s="11" t="e">
        <f t="shared" si="48"/>
        <v>#DIV/0!</v>
      </c>
      <c r="AK176" s="11" t="e">
        <f t="shared" si="49"/>
        <v>#DIV/0!</v>
      </c>
      <c r="AL176" s="11" t="e">
        <f t="shared" si="50"/>
        <v>#DIV/0!</v>
      </c>
    </row>
    <row r="177" spans="2:38" x14ac:dyDescent="0.2">
      <c r="B177" s="4"/>
      <c r="C177" s="4"/>
      <c r="D177" s="4"/>
      <c r="E177" s="4"/>
      <c r="F177" s="4"/>
      <c r="G177" s="4"/>
      <c r="H177" s="4"/>
      <c r="I177" s="4"/>
      <c r="J177" s="9" t="e">
        <f t="shared" si="38"/>
        <v>#DIV/0!</v>
      </c>
      <c r="K177" s="4"/>
      <c r="L177" s="4"/>
      <c r="M177" s="4"/>
      <c r="N177" s="4"/>
      <c r="O177" s="7"/>
      <c r="P177" s="7"/>
      <c r="Q177" s="4"/>
      <c r="R177" s="9" t="e">
        <f t="shared" si="39"/>
        <v>#DIV/0!</v>
      </c>
      <c r="S177" s="4" t="s">
        <v>158</v>
      </c>
      <c r="T177" s="4"/>
      <c r="U177" s="10"/>
      <c r="V177" s="10"/>
      <c r="W177" s="10"/>
      <c r="X177" s="10"/>
      <c r="Y177" s="10"/>
      <c r="Z177" s="10"/>
      <c r="AA177" s="11" t="e">
        <f t="shared" si="40"/>
        <v>#DIV/0!</v>
      </c>
      <c r="AB177" s="11">
        <f t="shared" si="41"/>
        <v>9</v>
      </c>
      <c r="AC177" s="11">
        <f t="shared" si="42"/>
        <v>8</v>
      </c>
      <c r="AD177" s="11" t="e">
        <f t="shared" si="43"/>
        <v>#DIV/0!</v>
      </c>
      <c r="AE177" s="11" t="e">
        <f t="shared" si="44"/>
        <v>#DIV/0!</v>
      </c>
      <c r="AF177" s="11" t="e">
        <f t="shared" si="45"/>
        <v>#DIV/0!</v>
      </c>
      <c r="AG177" s="11" t="e">
        <f t="shared" si="46"/>
        <v>#DIV/0!</v>
      </c>
      <c r="AH177" s="11" t="e">
        <f t="shared" si="47"/>
        <v>#DIV/0!</v>
      </c>
      <c r="AI177" s="10"/>
      <c r="AJ177" s="11" t="e">
        <f t="shared" si="48"/>
        <v>#DIV/0!</v>
      </c>
      <c r="AK177" s="11" t="e">
        <f t="shared" si="49"/>
        <v>#DIV/0!</v>
      </c>
      <c r="AL177" s="11" t="e">
        <f t="shared" si="50"/>
        <v>#DIV/0!</v>
      </c>
    </row>
    <row r="178" spans="2:38" x14ac:dyDescent="0.2">
      <c r="B178" s="4"/>
      <c r="C178" s="4"/>
      <c r="D178" s="4"/>
      <c r="E178" s="4"/>
      <c r="F178" s="4"/>
      <c r="G178" s="4"/>
      <c r="H178" s="4"/>
      <c r="I178" s="4"/>
      <c r="J178" s="9" t="e">
        <f t="shared" si="38"/>
        <v>#DIV/0!</v>
      </c>
      <c r="K178" s="4"/>
      <c r="L178" s="4"/>
      <c r="M178" s="4"/>
      <c r="N178" s="4"/>
      <c r="O178" s="7"/>
      <c r="P178" s="7"/>
      <c r="Q178" s="4"/>
      <c r="R178" s="9" t="e">
        <f t="shared" si="39"/>
        <v>#DIV/0!</v>
      </c>
      <c r="S178" s="4" t="s">
        <v>158</v>
      </c>
      <c r="T178" s="4"/>
      <c r="U178" s="10"/>
      <c r="V178" s="10"/>
      <c r="W178" s="10"/>
      <c r="X178" s="10"/>
      <c r="Y178" s="10"/>
      <c r="Z178" s="10"/>
      <c r="AA178" s="11" t="e">
        <f t="shared" si="40"/>
        <v>#DIV/0!</v>
      </c>
      <c r="AB178" s="11">
        <f t="shared" si="41"/>
        <v>9</v>
      </c>
      <c r="AC178" s="11">
        <f t="shared" si="42"/>
        <v>8</v>
      </c>
      <c r="AD178" s="11" t="e">
        <f t="shared" si="43"/>
        <v>#DIV/0!</v>
      </c>
      <c r="AE178" s="11" t="e">
        <f t="shared" si="44"/>
        <v>#DIV/0!</v>
      </c>
      <c r="AF178" s="11" t="e">
        <f t="shared" si="45"/>
        <v>#DIV/0!</v>
      </c>
      <c r="AG178" s="11" t="e">
        <f t="shared" si="46"/>
        <v>#DIV/0!</v>
      </c>
      <c r="AH178" s="11" t="e">
        <f t="shared" si="47"/>
        <v>#DIV/0!</v>
      </c>
      <c r="AI178" s="10"/>
      <c r="AJ178" s="11" t="e">
        <f t="shared" si="48"/>
        <v>#DIV/0!</v>
      </c>
      <c r="AK178" s="11" t="e">
        <f t="shared" si="49"/>
        <v>#DIV/0!</v>
      </c>
      <c r="AL178" s="11" t="e">
        <f t="shared" si="50"/>
        <v>#DIV/0!</v>
      </c>
    </row>
    <row r="179" spans="2:38" x14ac:dyDescent="0.2">
      <c r="B179" s="4"/>
      <c r="C179" s="4"/>
      <c r="D179" s="4"/>
      <c r="E179" s="4"/>
      <c r="F179" s="4"/>
      <c r="G179" s="4"/>
      <c r="H179" s="4"/>
      <c r="I179" s="4"/>
      <c r="J179" s="9" t="e">
        <f t="shared" si="38"/>
        <v>#DIV/0!</v>
      </c>
      <c r="K179" s="4"/>
      <c r="L179" s="4"/>
      <c r="M179" s="4"/>
      <c r="N179" s="4"/>
      <c r="O179" s="7"/>
      <c r="P179" s="7"/>
      <c r="Q179" s="4"/>
      <c r="R179" s="9" t="e">
        <f t="shared" si="39"/>
        <v>#DIV/0!</v>
      </c>
      <c r="S179" s="4" t="s">
        <v>158</v>
      </c>
      <c r="T179" s="4"/>
      <c r="U179" s="10"/>
      <c r="V179" s="10"/>
      <c r="W179" s="10"/>
      <c r="X179" s="10"/>
      <c r="Y179" s="10"/>
      <c r="Z179" s="10"/>
      <c r="AA179" s="11" t="e">
        <f t="shared" si="40"/>
        <v>#DIV/0!</v>
      </c>
      <c r="AB179" s="11">
        <f t="shared" si="41"/>
        <v>9</v>
      </c>
      <c r="AC179" s="11">
        <f t="shared" si="42"/>
        <v>8</v>
      </c>
      <c r="AD179" s="11" t="e">
        <f t="shared" si="43"/>
        <v>#DIV/0!</v>
      </c>
      <c r="AE179" s="11" t="e">
        <f t="shared" si="44"/>
        <v>#DIV/0!</v>
      </c>
      <c r="AF179" s="11" t="e">
        <f t="shared" si="45"/>
        <v>#DIV/0!</v>
      </c>
      <c r="AG179" s="11" t="e">
        <f t="shared" si="46"/>
        <v>#DIV/0!</v>
      </c>
      <c r="AH179" s="11" t="e">
        <f t="shared" si="47"/>
        <v>#DIV/0!</v>
      </c>
      <c r="AI179" s="10"/>
      <c r="AJ179" s="11" t="e">
        <f t="shared" si="48"/>
        <v>#DIV/0!</v>
      </c>
      <c r="AK179" s="11" t="e">
        <f t="shared" si="49"/>
        <v>#DIV/0!</v>
      </c>
      <c r="AL179" s="11" t="e">
        <f t="shared" si="50"/>
        <v>#DIV/0!</v>
      </c>
    </row>
    <row r="180" spans="2:38" x14ac:dyDescent="0.2">
      <c r="B180" s="4"/>
      <c r="C180" s="4"/>
      <c r="D180" s="4"/>
      <c r="E180" s="4"/>
      <c r="F180" s="4"/>
      <c r="G180" s="4"/>
      <c r="H180" s="4"/>
      <c r="I180" s="4"/>
      <c r="J180" s="9" t="e">
        <f t="shared" si="38"/>
        <v>#DIV/0!</v>
      </c>
      <c r="K180" s="4"/>
      <c r="L180" s="4"/>
      <c r="M180" s="4"/>
      <c r="N180" s="4"/>
      <c r="O180" s="7"/>
      <c r="P180" s="7"/>
      <c r="Q180" s="4"/>
      <c r="R180" s="9" t="e">
        <f t="shared" si="39"/>
        <v>#DIV/0!</v>
      </c>
      <c r="S180" s="4" t="s">
        <v>158</v>
      </c>
      <c r="T180" s="4"/>
      <c r="U180" s="10"/>
      <c r="V180" s="10"/>
      <c r="W180" s="10"/>
      <c r="X180" s="10"/>
      <c r="Y180" s="10"/>
      <c r="Z180" s="10"/>
      <c r="AA180" s="11" t="e">
        <f t="shared" si="40"/>
        <v>#DIV/0!</v>
      </c>
      <c r="AB180" s="11">
        <f t="shared" si="41"/>
        <v>9</v>
      </c>
      <c r="AC180" s="11">
        <f t="shared" si="42"/>
        <v>8</v>
      </c>
      <c r="AD180" s="11" t="e">
        <f t="shared" si="43"/>
        <v>#DIV/0!</v>
      </c>
      <c r="AE180" s="11" t="e">
        <f t="shared" si="44"/>
        <v>#DIV/0!</v>
      </c>
      <c r="AF180" s="11" t="e">
        <f t="shared" si="45"/>
        <v>#DIV/0!</v>
      </c>
      <c r="AG180" s="11" t="e">
        <f t="shared" si="46"/>
        <v>#DIV/0!</v>
      </c>
      <c r="AH180" s="11" t="e">
        <f t="shared" si="47"/>
        <v>#DIV/0!</v>
      </c>
      <c r="AI180" s="10"/>
      <c r="AJ180" s="11" t="e">
        <f t="shared" si="48"/>
        <v>#DIV/0!</v>
      </c>
      <c r="AK180" s="11" t="e">
        <f t="shared" si="49"/>
        <v>#DIV/0!</v>
      </c>
      <c r="AL180" s="11" t="e">
        <f t="shared" si="50"/>
        <v>#DIV/0!</v>
      </c>
    </row>
    <row r="181" spans="2:38" x14ac:dyDescent="0.2">
      <c r="B181" s="4"/>
      <c r="C181" s="4"/>
      <c r="D181" s="4"/>
      <c r="E181" s="4"/>
      <c r="F181" s="4"/>
      <c r="G181" s="4"/>
      <c r="H181" s="4"/>
      <c r="I181" s="4"/>
      <c r="J181" s="9" t="e">
        <f t="shared" si="38"/>
        <v>#DIV/0!</v>
      </c>
      <c r="K181" s="4"/>
      <c r="L181" s="4"/>
      <c r="M181" s="4"/>
      <c r="N181" s="4"/>
      <c r="O181" s="7"/>
      <c r="P181" s="7"/>
      <c r="Q181" s="4"/>
      <c r="R181" s="9" t="e">
        <f t="shared" si="39"/>
        <v>#DIV/0!</v>
      </c>
      <c r="S181" s="4" t="s">
        <v>158</v>
      </c>
      <c r="T181" s="4"/>
      <c r="U181" s="10"/>
      <c r="V181" s="10"/>
      <c r="W181" s="10"/>
      <c r="X181" s="10"/>
      <c r="Y181" s="10"/>
      <c r="Z181" s="10"/>
      <c r="AA181" s="11" t="e">
        <f t="shared" si="40"/>
        <v>#DIV/0!</v>
      </c>
      <c r="AB181" s="11">
        <f t="shared" si="41"/>
        <v>9</v>
      </c>
      <c r="AC181" s="11">
        <f t="shared" si="42"/>
        <v>8</v>
      </c>
      <c r="AD181" s="11" t="e">
        <f t="shared" si="43"/>
        <v>#DIV/0!</v>
      </c>
      <c r="AE181" s="11" t="e">
        <f t="shared" si="44"/>
        <v>#DIV/0!</v>
      </c>
      <c r="AF181" s="11" t="e">
        <f t="shared" si="45"/>
        <v>#DIV/0!</v>
      </c>
      <c r="AG181" s="11" t="e">
        <f t="shared" si="46"/>
        <v>#DIV/0!</v>
      </c>
      <c r="AH181" s="11" t="e">
        <f t="shared" si="47"/>
        <v>#DIV/0!</v>
      </c>
      <c r="AI181" s="10"/>
      <c r="AJ181" s="11" t="e">
        <f t="shared" si="48"/>
        <v>#DIV/0!</v>
      </c>
      <c r="AK181" s="11" t="e">
        <f t="shared" si="49"/>
        <v>#DIV/0!</v>
      </c>
      <c r="AL181" s="11" t="e">
        <f t="shared" si="50"/>
        <v>#DIV/0!</v>
      </c>
    </row>
    <row r="182" spans="2:38" x14ac:dyDescent="0.2">
      <c r="B182" s="4"/>
      <c r="C182" s="4"/>
      <c r="D182" s="4"/>
      <c r="E182" s="4"/>
      <c r="F182" s="4"/>
      <c r="G182" s="4"/>
      <c r="H182" s="4"/>
      <c r="I182" s="4"/>
      <c r="J182" s="9" t="e">
        <f t="shared" si="38"/>
        <v>#DIV/0!</v>
      </c>
      <c r="K182" s="4"/>
      <c r="L182" s="4"/>
      <c r="M182" s="4"/>
      <c r="N182" s="4"/>
      <c r="O182" s="7"/>
      <c r="P182" s="7"/>
      <c r="Q182" s="4"/>
      <c r="R182" s="9" t="e">
        <f t="shared" si="39"/>
        <v>#DIV/0!</v>
      </c>
      <c r="S182" s="4" t="s">
        <v>158</v>
      </c>
      <c r="T182" s="4"/>
      <c r="U182" s="10"/>
      <c r="V182" s="10"/>
      <c r="W182" s="10"/>
      <c r="X182" s="10"/>
      <c r="Y182" s="10"/>
      <c r="Z182" s="10"/>
      <c r="AA182" s="11" t="e">
        <f t="shared" si="40"/>
        <v>#DIV/0!</v>
      </c>
      <c r="AB182" s="11">
        <f t="shared" si="41"/>
        <v>9</v>
      </c>
      <c r="AC182" s="11">
        <f t="shared" si="42"/>
        <v>8</v>
      </c>
      <c r="AD182" s="11" t="e">
        <f t="shared" si="43"/>
        <v>#DIV/0!</v>
      </c>
      <c r="AE182" s="11" t="e">
        <f t="shared" si="44"/>
        <v>#DIV/0!</v>
      </c>
      <c r="AF182" s="11" t="e">
        <f t="shared" si="45"/>
        <v>#DIV/0!</v>
      </c>
      <c r="AG182" s="11" t="e">
        <f t="shared" si="46"/>
        <v>#DIV/0!</v>
      </c>
      <c r="AH182" s="11" t="e">
        <f t="shared" si="47"/>
        <v>#DIV/0!</v>
      </c>
      <c r="AI182" s="10"/>
      <c r="AJ182" s="11" t="e">
        <f t="shared" si="48"/>
        <v>#DIV/0!</v>
      </c>
      <c r="AK182" s="11" t="e">
        <f t="shared" si="49"/>
        <v>#DIV/0!</v>
      </c>
      <c r="AL182" s="11" t="e">
        <f t="shared" si="50"/>
        <v>#DIV/0!</v>
      </c>
    </row>
    <row r="183" spans="2:38" x14ac:dyDescent="0.2">
      <c r="B183" s="4"/>
      <c r="C183" s="4"/>
      <c r="D183" s="4"/>
      <c r="E183" s="4"/>
      <c r="F183" s="4"/>
      <c r="G183" s="4"/>
      <c r="H183" s="4"/>
      <c r="I183" s="4"/>
      <c r="J183" s="9" t="e">
        <f t="shared" si="38"/>
        <v>#DIV/0!</v>
      </c>
      <c r="K183" s="4"/>
      <c r="L183" s="4"/>
      <c r="M183" s="4"/>
      <c r="N183" s="4"/>
      <c r="O183" s="7"/>
      <c r="P183" s="7"/>
      <c r="Q183" s="4"/>
      <c r="R183" s="9" t="e">
        <f t="shared" si="39"/>
        <v>#DIV/0!</v>
      </c>
      <c r="S183" s="4" t="s">
        <v>158</v>
      </c>
      <c r="T183" s="4"/>
      <c r="U183" s="10"/>
      <c r="V183" s="10"/>
      <c r="W183" s="10"/>
      <c r="X183" s="10"/>
      <c r="Y183" s="10"/>
      <c r="Z183" s="10"/>
      <c r="AA183" s="11" t="e">
        <f t="shared" si="40"/>
        <v>#DIV/0!</v>
      </c>
      <c r="AB183" s="11">
        <f t="shared" si="41"/>
        <v>9</v>
      </c>
      <c r="AC183" s="11">
        <f t="shared" si="42"/>
        <v>8</v>
      </c>
      <c r="AD183" s="11" t="e">
        <f t="shared" si="43"/>
        <v>#DIV/0!</v>
      </c>
      <c r="AE183" s="11" t="e">
        <f t="shared" si="44"/>
        <v>#DIV/0!</v>
      </c>
      <c r="AF183" s="11" t="e">
        <f t="shared" si="45"/>
        <v>#DIV/0!</v>
      </c>
      <c r="AG183" s="11" t="e">
        <f t="shared" si="46"/>
        <v>#DIV/0!</v>
      </c>
      <c r="AH183" s="11" t="e">
        <f t="shared" si="47"/>
        <v>#DIV/0!</v>
      </c>
      <c r="AI183" s="10"/>
      <c r="AJ183" s="11" t="e">
        <f t="shared" si="48"/>
        <v>#DIV/0!</v>
      </c>
      <c r="AK183" s="11" t="e">
        <f t="shared" si="49"/>
        <v>#DIV/0!</v>
      </c>
      <c r="AL183" s="11" t="e">
        <f t="shared" si="50"/>
        <v>#DIV/0!</v>
      </c>
    </row>
    <row r="184" spans="2:38" x14ac:dyDescent="0.2">
      <c r="B184" s="4"/>
      <c r="C184" s="4"/>
      <c r="D184" s="4"/>
      <c r="E184" s="4"/>
      <c r="F184" s="4"/>
      <c r="G184" s="4"/>
      <c r="H184" s="4"/>
      <c r="I184" s="4"/>
      <c r="J184" s="9" t="e">
        <f t="shared" si="38"/>
        <v>#DIV/0!</v>
      </c>
      <c r="K184" s="4"/>
      <c r="L184" s="4"/>
      <c r="M184" s="4"/>
      <c r="N184" s="4"/>
      <c r="O184" s="7"/>
      <c r="P184" s="7"/>
      <c r="Q184" s="4"/>
      <c r="R184" s="9" t="e">
        <f t="shared" si="39"/>
        <v>#DIV/0!</v>
      </c>
      <c r="S184" s="4" t="s">
        <v>158</v>
      </c>
      <c r="T184" s="4"/>
      <c r="U184" s="10"/>
      <c r="V184" s="10"/>
      <c r="W184" s="10"/>
      <c r="X184" s="10"/>
      <c r="Y184" s="10"/>
      <c r="Z184" s="10"/>
      <c r="AA184" s="11" t="e">
        <f t="shared" si="40"/>
        <v>#DIV/0!</v>
      </c>
      <c r="AB184" s="11">
        <f t="shared" si="41"/>
        <v>9</v>
      </c>
      <c r="AC184" s="11">
        <f t="shared" si="42"/>
        <v>8</v>
      </c>
      <c r="AD184" s="11" t="e">
        <f t="shared" si="43"/>
        <v>#DIV/0!</v>
      </c>
      <c r="AE184" s="11" t="e">
        <f t="shared" si="44"/>
        <v>#DIV/0!</v>
      </c>
      <c r="AF184" s="11" t="e">
        <f t="shared" si="45"/>
        <v>#DIV/0!</v>
      </c>
      <c r="AG184" s="11" t="e">
        <f t="shared" si="46"/>
        <v>#DIV/0!</v>
      </c>
      <c r="AH184" s="11" t="e">
        <f t="shared" si="47"/>
        <v>#DIV/0!</v>
      </c>
      <c r="AI184" s="10"/>
      <c r="AJ184" s="11" t="e">
        <f t="shared" si="48"/>
        <v>#DIV/0!</v>
      </c>
      <c r="AK184" s="11" t="e">
        <f t="shared" si="49"/>
        <v>#DIV/0!</v>
      </c>
      <c r="AL184" s="11" t="e">
        <f t="shared" si="50"/>
        <v>#DIV/0!</v>
      </c>
    </row>
    <row r="185" spans="2:38" x14ac:dyDescent="0.2">
      <c r="B185" s="4"/>
      <c r="C185" s="4"/>
      <c r="D185" s="4"/>
      <c r="E185" s="4"/>
      <c r="F185" s="4"/>
      <c r="G185" s="4"/>
      <c r="H185" s="4"/>
      <c r="I185" s="4"/>
      <c r="J185" s="9" t="e">
        <f t="shared" si="38"/>
        <v>#DIV/0!</v>
      </c>
      <c r="K185" s="4"/>
      <c r="L185" s="4"/>
      <c r="M185" s="4"/>
      <c r="N185" s="4"/>
      <c r="O185" s="7"/>
      <c r="P185" s="7"/>
      <c r="Q185" s="4"/>
      <c r="R185" s="9" t="e">
        <f t="shared" si="39"/>
        <v>#DIV/0!</v>
      </c>
      <c r="S185" s="4" t="s">
        <v>158</v>
      </c>
      <c r="T185" s="4"/>
      <c r="U185" s="10"/>
      <c r="V185" s="10"/>
      <c r="W185" s="10"/>
      <c r="X185" s="10"/>
      <c r="Y185" s="10"/>
      <c r="Z185" s="10"/>
      <c r="AA185" s="11" t="e">
        <f t="shared" si="40"/>
        <v>#DIV/0!</v>
      </c>
      <c r="AB185" s="11">
        <f t="shared" si="41"/>
        <v>9</v>
      </c>
      <c r="AC185" s="11">
        <f t="shared" si="42"/>
        <v>8</v>
      </c>
      <c r="AD185" s="11" t="e">
        <f t="shared" si="43"/>
        <v>#DIV/0!</v>
      </c>
      <c r="AE185" s="11" t="e">
        <f t="shared" si="44"/>
        <v>#DIV/0!</v>
      </c>
      <c r="AF185" s="11" t="e">
        <f t="shared" si="45"/>
        <v>#DIV/0!</v>
      </c>
      <c r="AG185" s="11" t="e">
        <f t="shared" si="46"/>
        <v>#DIV/0!</v>
      </c>
      <c r="AH185" s="11" t="e">
        <f t="shared" si="47"/>
        <v>#DIV/0!</v>
      </c>
      <c r="AI185" s="10"/>
      <c r="AJ185" s="11" t="e">
        <f t="shared" si="48"/>
        <v>#DIV/0!</v>
      </c>
      <c r="AK185" s="11" t="e">
        <f t="shared" si="49"/>
        <v>#DIV/0!</v>
      </c>
      <c r="AL185" s="11" t="e">
        <f t="shared" si="50"/>
        <v>#DIV/0!</v>
      </c>
    </row>
    <row r="186" spans="2:38" x14ac:dyDescent="0.2">
      <c r="B186" s="4"/>
      <c r="C186" s="4"/>
      <c r="D186" s="4"/>
      <c r="E186" s="4"/>
      <c r="F186" s="4"/>
      <c r="G186" s="4"/>
      <c r="H186" s="4"/>
      <c r="I186" s="4"/>
      <c r="J186" s="9" t="e">
        <f t="shared" ref="J186:J249" si="51">ROUND(I186/B186*162, 0)</f>
        <v>#DIV/0!</v>
      </c>
      <c r="K186" s="4"/>
      <c r="L186" s="4"/>
      <c r="M186" s="4"/>
      <c r="N186" s="4"/>
      <c r="O186" s="7"/>
      <c r="P186" s="7"/>
      <c r="Q186" s="4"/>
      <c r="R186" s="9" t="e">
        <f t="shared" ref="R186:R249" si="52">ROUND(Q186/B186*162, 0)</f>
        <v>#DIV/0!</v>
      </c>
      <c r="S186" s="4" t="s">
        <v>159</v>
      </c>
      <c r="T186" s="4"/>
      <c r="U186" s="10"/>
      <c r="V186" s="10"/>
      <c r="W186" s="10"/>
      <c r="X186" s="10"/>
      <c r="Y186" s="10"/>
      <c r="Z186" s="10"/>
      <c r="AA186" s="11" t="e">
        <f t="shared" ref="AA186:AA249" si="53">IF(R186=0,8,IF(R186&lt;2,9,IF(R186&lt;3,10,IF(R186&lt;4,11,IF(R186&lt;5,12,IF(R186&lt;7,13,IF(R186&lt;9,14,IF(R186&lt;11,15,IF(R186&lt;16,16,IF(R186&lt;21,17,IF(R186&lt;26,18,IF(R186&lt;31,19,IF(R186&lt;36,20,IF(R186&lt;41,21,IF(R186&lt;46,22,IF(R186&lt;51,23,24))))))))))))))))</f>
        <v>#DIV/0!</v>
      </c>
      <c r="AB186" s="11">
        <f t="shared" ref="AB186:AB249" si="54">IF(P186&lt;0.3,9,IF(P186&lt;0.34,10,IF(P186&lt;0.365,11,IF(P186&lt;0.39,12,IF(P186&lt;0.43,13,IF(P186&lt;0.475,14,IF(P186&lt;0.5,15,16)))))))</f>
        <v>9</v>
      </c>
      <c r="AC186" s="11">
        <f t="shared" ref="AC186:AC249" si="55">IF(O186&lt;0.2,8,IF(O186&lt;0.25,7,IF(O186&lt;0.3,6,IF(O186&lt;0.35,5,4))))</f>
        <v>8</v>
      </c>
      <c r="AD186" s="11" t="e">
        <f t="shared" ref="AD186:AD249" si="56">ROUND(L186/($L186+$M186+$N186)*$AC186, 0)</f>
        <v>#DIV/0!</v>
      </c>
      <c r="AE186" s="11" t="e">
        <f t="shared" ref="AE186:AE249" si="57">ROUND(M186/($L186+$M186+$N186)*$AC186, 0)</f>
        <v>#DIV/0!</v>
      </c>
      <c r="AF186" s="11" t="e">
        <f t="shared" ref="AF186:AF249" si="58">ROUND(N186/($L186+$M186+$N186)*$AC186, 0)</f>
        <v>#DIV/0!</v>
      </c>
      <c r="AG186" s="11" t="e">
        <f t="shared" ref="AG186:AG249" si="59">ROUND(K186/($K186+E186)*(AL186-AC186-1), 0)</f>
        <v>#DIV/0!</v>
      </c>
      <c r="AH186" s="11" t="e">
        <f t="shared" ref="AH186:AH249" si="60">ROUND(F186/($K186+$E186)*($AL186-$AC186-1), 0)</f>
        <v>#DIV/0!</v>
      </c>
      <c r="AI186" s="10"/>
      <c r="AJ186" s="11" t="e">
        <f t="shared" ref="AJ186:AJ249" si="61">ROUND(G186/($K186+$E186)*($AL186-$AC186-1), 0)</f>
        <v>#DIV/0!</v>
      </c>
      <c r="AK186" s="11" t="e">
        <f t="shared" ref="AK186:AK249" si="62">ROUND(H186/($K186+$E186)*($AL186-$AC186-1), 0)</f>
        <v>#DIV/0!</v>
      </c>
      <c r="AL186" s="11" t="e">
        <f t="shared" ref="AL186:AL249" si="63">IF(J186&lt;3,22,IF(J186&lt;10,21,IF(J186&lt;20,20,IF(J186&lt;30,19,IF(J186&lt;50,18,17)))))</f>
        <v>#DIV/0!</v>
      </c>
    </row>
    <row r="187" spans="2:38" x14ac:dyDescent="0.2">
      <c r="B187" s="4"/>
      <c r="C187" s="4"/>
      <c r="D187" s="4"/>
      <c r="E187" s="4"/>
      <c r="F187" s="4"/>
      <c r="G187" s="4"/>
      <c r="H187" s="4"/>
      <c r="I187" s="4"/>
      <c r="J187" s="9" t="e">
        <f t="shared" si="51"/>
        <v>#DIV/0!</v>
      </c>
      <c r="K187" s="4"/>
      <c r="L187" s="4"/>
      <c r="M187" s="4"/>
      <c r="N187" s="4"/>
      <c r="O187" s="7"/>
      <c r="P187" s="7"/>
      <c r="Q187" s="4"/>
      <c r="R187" s="9" t="e">
        <f t="shared" si="52"/>
        <v>#DIV/0!</v>
      </c>
      <c r="S187" s="4" t="s">
        <v>159</v>
      </c>
      <c r="T187" s="4"/>
      <c r="U187" s="10"/>
      <c r="V187" s="10"/>
      <c r="W187" s="10"/>
      <c r="X187" s="10"/>
      <c r="Y187" s="10"/>
      <c r="Z187" s="10"/>
      <c r="AA187" s="11" t="e">
        <f t="shared" si="53"/>
        <v>#DIV/0!</v>
      </c>
      <c r="AB187" s="11">
        <f t="shared" si="54"/>
        <v>9</v>
      </c>
      <c r="AC187" s="11">
        <f t="shared" si="55"/>
        <v>8</v>
      </c>
      <c r="AD187" s="11" t="e">
        <f t="shared" si="56"/>
        <v>#DIV/0!</v>
      </c>
      <c r="AE187" s="11" t="e">
        <f t="shared" si="57"/>
        <v>#DIV/0!</v>
      </c>
      <c r="AF187" s="11" t="e">
        <f t="shared" si="58"/>
        <v>#DIV/0!</v>
      </c>
      <c r="AG187" s="11" t="e">
        <f t="shared" si="59"/>
        <v>#DIV/0!</v>
      </c>
      <c r="AH187" s="11" t="e">
        <f t="shared" si="60"/>
        <v>#DIV/0!</v>
      </c>
      <c r="AI187" s="10"/>
      <c r="AJ187" s="11" t="e">
        <f t="shared" si="61"/>
        <v>#DIV/0!</v>
      </c>
      <c r="AK187" s="11" t="e">
        <f t="shared" si="62"/>
        <v>#DIV/0!</v>
      </c>
      <c r="AL187" s="11" t="e">
        <f t="shared" si="63"/>
        <v>#DIV/0!</v>
      </c>
    </row>
    <row r="188" spans="2:38" x14ac:dyDescent="0.2">
      <c r="B188" s="4"/>
      <c r="C188" s="4"/>
      <c r="D188" s="4"/>
      <c r="E188" s="4"/>
      <c r="F188" s="4"/>
      <c r="G188" s="4"/>
      <c r="H188" s="4"/>
      <c r="I188" s="4"/>
      <c r="J188" s="9" t="e">
        <f t="shared" si="51"/>
        <v>#DIV/0!</v>
      </c>
      <c r="K188" s="4"/>
      <c r="L188" s="4"/>
      <c r="M188" s="4"/>
      <c r="N188" s="4"/>
      <c r="O188" s="7"/>
      <c r="P188" s="7"/>
      <c r="Q188" s="4"/>
      <c r="R188" s="9" t="e">
        <f t="shared" si="52"/>
        <v>#DIV/0!</v>
      </c>
      <c r="S188" s="4" t="s">
        <v>159</v>
      </c>
      <c r="T188" s="4"/>
      <c r="U188" s="10"/>
      <c r="V188" s="10"/>
      <c r="W188" s="10"/>
      <c r="X188" s="10"/>
      <c r="Y188" s="10"/>
      <c r="Z188" s="10"/>
      <c r="AA188" s="11" t="e">
        <f t="shared" si="53"/>
        <v>#DIV/0!</v>
      </c>
      <c r="AB188" s="11">
        <f t="shared" si="54"/>
        <v>9</v>
      </c>
      <c r="AC188" s="11">
        <f t="shared" si="55"/>
        <v>8</v>
      </c>
      <c r="AD188" s="11" t="e">
        <f t="shared" si="56"/>
        <v>#DIV/0!</v>
      </c>
      <c r="AE188" s="11" t="e">
        <f t="shared" si="57"/>
        <v>#DIV/0!</v>
      </c>
      <c r="AF188" s="11" t="e">
        <f t="shared" si="58"/>
        <v>#DIV/0!</v>
      </c>
      <c r="AG188" s="11" t="e">
        <f t="shared" si="59"/>
        <v>#DIV/0!</v>
      </c>
      <c r="AH188" s="11" t="e">
        <f t="shared" si="60"/>
        <v>#DIV/0!</v>
      </c>
      <c r="AI188" s="10"/>
      <c r="AJ188" s="11" t="e">
        <f t="shared" si="61"/>
        <v>#DIV/0!</v>
      </c>
      <c r="AK188" s="11" t="e">
        <f t="shared" si="62"/>
        <v>#DIV/0!</v>
      </c>
      <c r="AL188" s="11" t="e">
        <f t="shared" si="63"/>
        <v>#DIV/0!</v>
      </c>
    </row>
    <row r="189" spans="2:38" x14ac:dyDescent="0.2">
      <c r="B189" s="4"/>
      <c r="C189" s="4"/>
      <c r="D189" s="4"/>
      <c r="E189" s="4"/>
      <c r="F189" s="4"/>
      <c r="G189" s="4"/>
      <c r="H189" s="4"/>
      <c r="I189" s="4"/>
      <c r="J189" s="9" t="e">
        <f t="shared" si="51"/>
        <v>#DIV/0!</v>
      </c>
      <c r="K189" s="4"/>
      <c r="L189" s="4"/>
      <c r="M189" s="4"/>
      <c r="N189" s="4"/>
      <c r="O189" s="7"/>
      <c r="P189" s="7"/>
      <c r="Q189" s="4"/>
      <c r="R189" s="9" t="e">
        <f t="shared" si="52"/>
        <v>#DIV/0!</v>
      </c>
      <c r="S189" s="4" t="s">
        <v>159</v>
      </c>
      <c r="T189" s="4"/>
      <c r="U189" s="10"/>
      <c r="V189" s="10"/>
      <c r="W189" s="10"/>
      <c r="X189" s="10"/>
      <c r="Y189" s="10"/>
      <c r="Z189" s="10"/>
      <c r="AA189" s="11" t="e">
        <f t="shared" si="53"/>
        <v>#DIV/0!</v>
      </c>
      <c r="AB189" s="11">
        <f t="shared" si="54"/>
        <v>9</v>
      </c>
      <c r="AC189" s="11">
        <f t="shared" si="55"/>
        <v>8</v>
      </c>
      <c r="AD189" s="11" t="e">
        <f t="shared" si="56"/>
        <v>#DIV/0!</v>
      </c>
      <c r="AE189" s="11" t="e">
        <f t="shared" si="57"/>
        <v>#DIV/0!</v>
      </c>
      <c r="AF189" s="11" t="e">
        <f t="shared" si="58"/>
        <v>#DIV/0!</v>
      </c>
      <c r="AG189" s="11" t="e">
        <f t="shared" si="59"/>
        <v>#DIV/0!</v>
      </c>
      <c r="AH189" s="11" t="e">
        <f t="shared" si="60"/>
        <v>#DIV/0!</v>
      </c>
      <c r="AI189" s="10"/>
      <c r="AJ189" s="11" t="e">
        <f t="shared" si="61"/>
        <v>#DIV/0!</v>
      </c>
      <c r="AK189" s="11" t="e">
        <f t="shared" si="62"/>
        <v>#DIV/0!</v>
      </c>
      <c r="AL189" s="11" t="e">
        <f t="shared" si="63"/>
        <v>#DIV/0!</v>
      </c>
    </row>
    <row r="190" spans="2:38" x14ac:dyDescent="0.2">
      <c r="B190" s="4"/>
      <c r="C190" s="4"/>
      <c r="D190" s="4"/>
      <c r="E190" s="4"/>
      <c r="F190" s="4"/>
      <c r="G190" s="4"/>
      <c r="H190" s="4"/>
      <c r="I190" s="4"/>
      <c r="J190" s="9" t="e">
        <f t="shared" si="51"/>
        <v>#DIV/0!</v>
      </c>
      <c r="K190" s="4"/>
      <c r="L190" s="4"/>
      <c r="M190" s="4"/>
      <c r="N190" s="4"/>
      <c r="O190" s="7"/>
      <c r="P190" s="7"/>
      <c r="Q190" s="4"/>
      <c r="R190" s="9" t="e">
        <f t="shared" si="52"/>
        <v>#DIV/0!</v>
      </c>
      <c r="S190" s="4" t="s">
        <v>159</v>
      </c>
      <c r="T190" s="4"/>
      <c r="U190" s="10"/>
      <c r="V190" s="10"/>
      <c r="W190" s="10"/>
      <c r="X190" s="10"/>
      <c r="Y190" s="10"/>
      <c r="Z190" s="10"/>
      <c r="AA190" s="11" t="e">
        <f t="shared" si="53"/>
        <v>#DIV/0!</v>
      </c>
      <c r="AB190" s="11">
        <f t="shared" si="54"/>
        <v>9</v>
      </c>
      <c r="AC190" s="11">
        <f t="shared" si="55"/>
        <v>8</v>
      </c>
      <c r="AD190" s="11" t="e">
        <f t="shared" si="56"/>
        <v>#DIV/0!</v>
      </c>
      <c r="AE190" s="11" t="e">
        <f t="shared" si="57"/>
        <v>#DIV/0!</v>
      </c>
      <c r="AF190" s="11" t="e">
        <f t="shared" si="58"/>
        <v>#DIV/0!</v>
      </c>
      <c r="AG190" s="11" t="e">
        <f t="shared" si="59"/>
        <v>#DIV/0!</v>
      </c>
      <c r="AH190" s="11" t="e">
        <f t="shared" si="60"/>
        <v>#DIV/0!</v>
      </c>
      <c r="AI190" s="10"/>
      <c r="AJ190" s="11" t="e">
        <f t="shared" si="61"/>
        <v>#DIV/0!</v>
      </c>
      <c r="AK190" s="11" t="e">
        <f t="shared" si="62"/>
        <v>#DIV/0!</v>
      </c>
      <c r="AL190" s="11" t="e">
        <f t="shared" si="63"/>
        <v>#DIV/0!</v>
      </c>
    </row>
    <row r="191" spans="2:38" x14ac:dyDescent="0.2">
      <c r="B191" s="4"/>
      <c r="C191" s="4"/>
      <c r="D191" s="4"/>
      <c r="E191" s="4"/>
      <c r="F191" s="4"/>
      <c r="G191" s="4"/>
      <c r="H191" s="4"/>
      <c r="I191" s="4"/>
      <c r="J191" s="9" t="e">
        <f t="shared" si="51"/>
        <v>#DIV/0!</v>
      </c>
      <c r="K191" s="4"/>
      <c r="L191" s="4"/>
      <c r="M191" s="4"/>
      <c r="N191" s="4"/>
      <c r="O191" s="7"/>
      <c r="P191" s="7"/>
      <c r="Q191" s="4"/>
      <c r="R191" s="9" t="e">
        <f t="shared" si="52"/>
        <v>#DIV/0!</v>
      </c>
      <c r="S191" s="4" t="s">
        <v>159</v>
      </c>
      <c r="T191" s="4"/>
      <c r="U191" s="10"/>
      <c r="V191" s="10"/>
      <c r="W191" s="10"/>
      <c r="X191" s="10"/>
      <c r="Y191" s="10"/>
      <c r="Z191" s="10"/>
      <c r="AA191" s="11" t="e">
        <f t="shared" si="53"/>
        <v>#DIV/0!</v>
      </c>
      <c r="AB191" s="11">
        <f t="shared" si="54"/>
        <v>9</v>
      </c>
      <c r="AC191" s="11">
        <f t="shared" si="55"/>
        <v>8</v>
      </c>
      <c r="AD191" s="11" t="e">
        <f t="shared" si="56"/>
        <v>#DIV/0!</v>
      </c>
      <c r="AE191" s="11" t="e">
        <f t="shared" si="57"/>
        <v>#DIV/0!</v>
      </c>
      <c r="AF191" s="11" t="e">
        <f t="shared" si="58"/>
        <v>#DIV/0!</v>
      </c>
      <c r="AG191" s="11" t="e">
        <f t="shared" si="59"/>
        <v>#DIV/0!</v>
      </c>
      <c r="AH191" s="11" t="e">
        <f t="shared" si="60"/>
        <v>#DIV/0!</v>
      </c>
      <c r="AI191" s="10"/>
      <c r="AJ191" s="11" t="e">
        <f t="shared" si="61"/>
        <v>#DIV/0!</v>
      </c>
      <c r="AK191" s="11" t="e">
        <f t="shared" si="62"/>
        <v>#DIV/0!</v>
      </c>
      <c r="AL191" s="11" t="e">
        <f t="shared" si="63"/>
        <v>#DIV/0!</v>
      </c>
    </row>
    <row r="192" spans="2:38" x14ac:dyDescent="0.2">
      <c r="B192" s="4"/>
      <c r="C192" s="4"/>
      <c r="D192" s="4"/>
      <c r="E192" s="4"/>
      <c r="F192" s="4"/>
      <c r="G192" s="4"/>
      <c r="H192" s="4"/>
      <c r="I192" s="4"/>
      <c r="J192" s="9" t="e">
        <f t="shared" si="51"/>
        <v>#DIV/0!</v>
      </c>
      <c r="K192" s="4"/>
      <c r="L192" s="4"/>
      <c r="M192" s="4"/>
      <c r="N192" s="4"/>
      <c r="O192" s="7"/>
      <c r="P192" s="7"/>
      <c r="Q192" s="4"/>
      <c r="R192" s="9" t="e">
        <f t="shared" si="52"/>
        <v>#DIV/0!</v>
      </c>
      <c r="S192" s="4" t="s">
        <v>159</v>
      </c>
      <c r="T192" s="4"/>
      <c r="U192" s="10"/>
      <c r="V192" s="10"/>
      <c r="W192" s="10"/>
      <c r="X192" s="10"/>
      <c r="Y192" s="10"/>
      <c r="Z192" s="10"/>
      <c r="AA192" s="11" t="e">
        <f t="shared" si="53"/>
        <v>#DIV/0!</v>
      </c>
      <c r="AB192" s="11">
        <f t="shared" si="54"/>
        <v>9</v>
      </c>
      <c r="AC192" s="11">
        <f t="shared" si="55"/>
        <v>8</v>
      </c>
      <c r="AD192" s="11" t="e">
        <f t="shared" si="56"/>
        <v>#DIV/0!</v>
      </c>
      <c r="AE192" s="11" t="e">
        <f t="shared" si="57"/>
        <v>#DIV/0!</v>
      </c>
      <c r="AF192" s="11" t="e">
        <f t="shared" si="58"/>
        <v>#DIV/0!</v>
      </c>
      <c r="AG192" s="11" t="e">
        <f t="shared" si="59"/>
        <v>#DIV/0!</v>
      </c>
      <c r="AH192" s="11" t="e">
        <f t="shared" si="60"/>
        <v>#DIV/0!</v>
      </c>
      <c r="AI192" s="10"/>
      <c r="AJ192" s="11" t="e">
        <f t="shared" si="61"/>
        <v>#DIV/0!</v>
      </c>
      <c r="AK192" s="11" t="e">
        <f t="shared" si="62"/>
        <v>#DIV/0!</v>
      </c>
      <c r="AL192" s="11" t="e">
        <f t="shared" si="63"/>
        <v>#DIV/0!</v>
      </c>
    </row>
    <row r="193" spans="2:38" x14ac:dyDescent="0.2">
      <c r="B193" s="4"/>
      <c r="C193" s="4"/>
      <c r="D193" s="4"/>
      <c r="E193" s="4"/>
      <c r="F193" s="4"/>
      <c r="G193" s="4"/>
      <c r="H193" s="4"/>
      <c r="I193" s="4"/>
      <c r="J193" s="9" t="e">
        <f t="shared" si="51"/>
        <v>#DIV/0!</v>
      </c>
      <c r="K193" s="4"/>
      <c r="L193" s="4"/>
      <c r="M193" s="4"/>
      <c r="N193" s="4"/>
      <c r="O193" s="7"/>
      <c r="P193" s="7"/>
      <c r="Q193" s="4"/>
      <c r="R193" s="9" t="e">
        <f t="shared" si="52"/>
        <v>#DIV/0!</v>
      </c>
      <c r="S193" s="4" t="s">
        <v>159</v>
      </c>
      <c r="T193" s="4"/>
      <c r="U193" s="10"/>
      <c r="V193" s="10"/>
      <c r="W193" s="10"/>
      <c r="X193" s="10"/>
      <c r="Y193" s="10"/>
      <c r="Z193" s="10"/>
      <c r="AA193" s="11" t="e">
        <f t="shared" si="53"/>
        <v>#DIV/0!</v>
      </c>
      <c r="AB193" s="11">
        <f t="shared" si="54"/>
        <v>9</v>
      </c>
      <c r="AC193" s="11">
        <f t="shared" si="55"/>
        <v>8</v>
      </c>
      <c r="AD193" s="11" t="e">
        <f t="shared" si="56"/>
        <v>#DIV/0!</v>
      </c>
      <c r="AE193" s="11" t="e">
        <f t="shared" si="57"/>
        <v>#DIV/0!</v>
      </c>
      <c r="AF193" s="11" t="e">
        <f t="shared" si="58"/>
        <v>#DIV/0!</v>
      </c>
      <c r="AG193" s="11" t="e">
        <f t="shared" si="59"/>
        <v>#DIV/0!</v>
      </c>
      <c r="AH193" s="11" t="e">
        <f t="shared" si="60"/>
        <v>#DIV/0!</v>
      </c>
      <c r="AI193" s="10"/>
      <c r="AJ193" s="11" t="e">
        <f t="shared" si="61"/>
        <v>#DIV/0!</v>
      </c>
      <c r="AK193" s="11" t="e">
        <f t="shared" si="62"/>
        <v>#DIV/0!</v>
      </c>
      <c r="AL193" s="11" t="e">
        <f t="shared" si="63"/>
        <v>#DIV/0!</v>
      </c>
    </row>
    <row r="194" spans="2:38" x14ac:dyDescent="0.2">
      <c r="B194" s="4"/>
      <c r="C194" s="4"/>
      <c r="D194" s="4"/>
      <c r="E194" s="4"/>
      <c r="F194" s="4"/>
      <c r="G194" s="4"/>
      <c r="H194" s="4"/>
      <c r="I194" s="4"/>
      <c r="J194" s="9" t="e">
        <f t="shared" si="51"/>
        <v>#DIV/0!</v>
      </c>
      <c r="K194" s="4"/>
      <c r="L194" s="4"/>
      <c r="M194" s="4"/>
      <c r="N194" s="4"/>
      <c r="O194" s="7"/>
      <c r="P194" s="7"/>
      <c r="Q194" s="4"/>
      <c r="R194" s="9" t="e">
        <f t="shared" si="52"/>
        <v>#DIV/0!</v>
      </c>
      <c r="S194" s="4" t="s">
        <v>159</v>
      </c>
      <c r="T194" s="4"/>
      <c r="U194" s="10"/>
      <c r="V194" s="10"/>
      <c r="W194" s="10"/>
      <c r="X194" s="10"/>
      <c r="Y194" s="10"/>
      <c r="Z194" s="10"/>
      <c r="AA194" s="11" t="e">
        <f t="shared" si="53"/>
        <v>#DIV/0!</v>
      </c>
      <c r="AB194" s="11">
        <f t="shared" si="54"/>
        <v>9</v>
      </c>
      <c r="AC194" s="11">
        <f t="shared" si="55"/>
        <v>8</v>
      </c>
      <c r="AD194" s="11" t="e">
        <f t="shared" si="56"/>
        <v>#DIV/0!</v>
      </c>
      <c r="AE194" s="11" t="e">
        <f t="shared" si="57"/>
        <v>#DIV/0!</v>
      </c>
      <c r="AF194" s="11" t="e">
        <f t="shared" si="58"/>
        <v>#DIV/0!</v>
      </c>
      <c r="AG194" s="11" t="e">
        <f t="shared" si="59"/>
        <v>#DIV/0!</v>
      </c>
      <c r="AH194" s="11" t="e">
        <f t="shared" si="60"/>
        <v>#DIV/0!</v>
      </c>
      <c r="AI194" s="10"/>
      <c r="AJ194" s="11" t="e">
        <f t="shared" si="61"/>
        <v>#DIV/0!</v>
      </c>
      <c r="AK194" s="11" t="e">
        <f t="shared" si="62"/>
        <v>#DIV/0!</v>
      </c>
      <c r="AL194" s="11" t="e">
        <f t="shared" si="63"/>
        <v>#DIV/0!</v>
      </c>
    </row>
    <row r="195" spans="2:38" x14ac:dyDescent="0.2">
      <c r="B195" s="4"/>
      <c r="C195" s="4"/>
      <c r="D195" s="4"/>
      <c r="E195" s="4"/>
      <c r="F195" s="4"/>
      <c r="G195" s="4"/>
      <c r="H195" s="4"/>
      <c r="I195" s="4"/>
      <c r="J195" s="9" t="e">
        <f t="shared" si="51"/>
        <v>#DIV/0!</v>
      </c>
      <c r="K195" s="4"/>
      <c r="L195" s="4"/>
      <c r="M195" s="4"/>
      <c r="N195" s="4"/>
      <c r="O195" s="7"/>
      <c r="P195" s="7"/>
      <c r="Q195" s="4"/>
      <c r="R195" s="9" t="e">
        <f t="shared" si="52"/>
        <v>#DIV/0!</v>
      </c>
      <c r="S195" s="4" t="s">
        <v>159</v>
      </c>
      <c r="T195" s="4"/>
      <c r="U195" s="10"/>
      <c r="V195" s="10"/>
      <c r="W195" s="10"/>
      <c r="X195" s="10"/>
      <c r="Y195" s="10"/>
      <c r="Z195" s="10"/>
      <c r="AA195" s="11" t="e">
        <f t="shared" si="53"/>
        <v>#DIV/0!</v>
      </c>
      <c r="AB195" s="11">
        <f t="shared" si="54"/>
        <v>9</v>
      </c>
      <c r="AC195" s="11">
        <f t="shared" si="55"/>
        <v>8</v>
      </c>
      <c r="AD195" s="11" t="e">
        <f t="shared" si="56"/>
        <v>#DIV/0!</v>
      </c>
      <c r="AE195" s="11" t="e">
        <f t="shared" si="57"/>
        <v>#DIV/0!</v>
      </c>
      <c r="AF195" s="11" t="e">
        <f t="shared" si="58"/>
        <v>#DIV/0!</v>
      </c>
      <c r="AG195" s="11" t="e">
        <f t="shared" si="59"/>
        <v>#DIV/0!</v>
      </c>
      <c r="AH195" s="11" t="e">
        <f t="shared" si="60"/>
        <v>#DIV/0!</v>
      </c>
      <c r="AI195" s="10"/>
      <c r="AJ195" s="11" t="e">
        <f t="shared" si="61"/>
        <v>#DIV/0!</v>
      </c>
      <c r="AK195" s="11" t="e">
        <f t="shared" si="62"/>
        <v>#DIV/0!</v>
      </c>
      <c r="AL195" s="11" t="e">
        <f t="shared" si="63"/>
        <v>#DIV/0!</v>
      </c>
    </row>
    <row r="196" spans="2:38" x14ac:dyDescent="0.2">
      <c r="B196" s="4"/>
      <c r="C196" s="4"/>
      <c r="D196" s="4"/>
      <c r="E196" s="4"/>
      <c r="F196" s="4"/>
      <c r="G196" s="4"/>
      <c r="H196" s="4"/>
      <c r="I196" s="4"/>
      <c r="J196" s="9" t="e">
        <f t="shared" si="51"/>
        <v>#DIV/0!</v>
      </c>
      <c r="K196" s="4"/>
      <c r="L196" s="4"/>
      <c r="M196" s="4"/>
      <c r="N196" s="4"/>
      <c r="O196" s="7"/>
      <c r="P196" s="7"/>
      <c r="Q196" s="4"/>
      <c r="R196" s="9" t="e">
        <f t="shared" si="52"/>
        <v>#DIV/0!</v>
      </c>
      <c r="S196" s="4" t="s">
        <v>159</v>
      </c>
      <c r="T196" s="4"/>
      <c r="U196" s="10"/>
      <c r="V196" s="10"/>
      <c r="W196" s="10"/>
      <c r="X196" s="10"/>
      <c r="Y196" s="10"/>
      <c r="Z196" s="10"/>
      <c r="AA196" s="11" t="e">
        <f t="shared" si="53"/>
        <v>#DIV/0!</v>
      </c>
      <c r="AB196" s="11">
        <f t="shared" si="54"/>
        <v>9</v>
      </c>
      <c r="AC196" s="11">
        <f t="shared" si="55"/>
        <v>8</v>
      </c>
      <c r="AD196" s="11" t="e">
        <f t="shared" si="56"/>
        <v>#DIV/0!</v>
      </c>
      <c r="AE196" s="11" t="e">
        <f t="shared" si="57"/>
        <v>#DIV/0!</v>
      </c>
      <c r="AF196" s="11" t="e">
        <f t="shared" si="58"/>
        <v>#DIV/0!</v>
      </c>
      <c r="AG196" s="11" t="e">
        <f t="shared" si="59"/>
        <v>#DIV/0!</v>
      </c>
      <c r="AH196" s="11" t="e">
        <f t="shared" si="60"/>
        <v>#DIV/0!</v>
      </c>
      <c r="AI196" s="10"/>
      <c r="AJ196" s="11" t="e">
        <f t="shared" si="61"/>
        <v>#DIV/0!</v>
      </c>
      <c r="AK196" s="11" t="e">
        <f t="shared" si="62"/>
        <v>#DIV/0!</v>
      </c>
      <c r="AL196" s="11" t="e">
        <f t="shared" si="63"/>
        <v>#DIV/0!</v>
      </c>
    </row>
    <row r="197" spans="2:38" x14ac:dyDescent="0.2">
      <c r="B197" s="4"/>
      <c r="C197" s="4"/>
      <c r="D197" s="4"/>
      <c r="E197" s="4"/>
      <c r="F197" s="4"/>
      <c r="G197" s="4"/>
      <c r="H197" s="4"/>
      <c r="I197" s="4"/>
      <c r="J197" s="9" t="e">
        <f t="shared" si="51"/>
        <v>#DIV/0!</v>
      </c>
      <c r="K197" s="4"/>
      <c r="L197" s="4"/>
      <c r="M197" s="4"/>
      <c r="N197" s="4"/>
      <c r="O197" s="7"/>
      <c r="P197" s="7"/>
      <c r="Q197" s="4"/>
      <c r="R197" s="9" t="e">
        <f t="shared" si="52"/>
        <v>#DIV/0!</v>
      </c>
      <c r="S197" s="4" t="s">
        <v>159</v>
      </c>
      <c r="T197" s="4"/>
      <c r="U197" s="10"/>
      <c r="V197" s="10"/>
      <c r="W197" s="10"/>
      <c r="X197" s="10"/>
      <c r="Y197" s="10"/>
      <c r="Z197" s="10"/>
      <c r="AA197" s="11" t="e">
        <f t="shared" si="53"/>
        <v>#DIV/0!</v>
      </c>
      <c r="AB197" s="11">
        <f t="shared" si="54"/>
        <v>9</v>
      </c>
      <c r="AC197" s="11">
        <f t="shared" si="55"/>
        <v>8</v>
      </c>
      <c r="AD197" s="11" t="e">
        <f t="shared" si="56"/>
        <v>#DIV/0!</v>
      </c>
      <c r="AE197" s="11" t="e">
        <f t="shared" si="57"/>
        <v>#DIV/0!</v>
      </c>
      <c r="AF197" s="11" t="e">
        <f t="shared" si="58"/>
        <v>#DIV/0!</v>
      </c>
      <c r="AG197" s="11" t="e">
        <f t="shared" si="59"/>
        <v>#DIV/0!</v>
      </c>
      <c r="AH197" s="11" t="e">
        <f t="shared" si="60"/>
        <v>#DIV/0!</v>
      </c>
      <c r="AI197" s="10"/>
      <c r="AJ197" s="11" t="e">
        <f t="shared" si="61"/>
        <v>#DIV/0!</v>
      </c>
      <c r="AK197" s="11" t="e">
        <f t="shared" si="62"/>
        <v>#DIV/0!</v>
      </c>
      <c r="AL197" s="11" t="e">
        <f t="shared" si="63"/>
        <v>#DIV/0!</v>
      </c>
    </row>
    <row r="198" spans="2:38" x14ac:dyDescent="0.2">
      <c r="B198" s="4"/>
      <c r="C198" s="4"/>
      <c r="D198" s="4"/>
      <c r="E198" s="4"/>
      <c r="F198" s="4"/>
      <c r="G198" s="4"/>
      <c r="H198" s="4"/>
      <c r="I198" s="4"/>
      <c r="J198" s="9" t="e">
        <f t="shared" si="51"/>
        <v>#DIV/0!</v>
      </c>
      <c r="K198" s="4"/>
      <c r="L198" s="4"/>
      <c r="M198" s="4"/>
      <c r="N198" s="4"/>
      <c r="O198" s="7"/>
      <c r="P198" s="7"/>
      <c r="Q198" s="4"/>
      <c r="R198" s="9" t="e">
        <f t="shared" si="52"/>
        <v>#DIV/0!</v>
      </c>
      <c r="S198" s="4" t="s">
        <v>159</v>
      </c>
      <c r="T198" s="4"/>
      <c r="U198" s="10"/>
      <c r="V198" s="10"/>
      <c r="W198" s="10"/>
      <c r="X198" s="10"/>
      <c r="Y198" s="10"/>
      <c r="Z198" s="10"/>
      <c r="AA198" s="11" t="e">
        <f t="shared" si="53"/>
        <v>#DIV/0!</v>
      </c>
      <c r="AB198" s="11">
        <f t="shared" si="54"/>
        <v>9</v>
      </c>
      <c r="AC198" s="11">
        <f t="shared" si="55"/>
        <v>8</v>
      </c>
      <c r="AD198" s="11" t="e">
        <f t="shared" si="56"/>
        <v>#DIV/0!</v>
      </c>
      <c r="AE198" s="11" t="e">
        <f t="shared" si="57"/>
        <v>#DIV/0!</v>
      </c>
      <c r="AF198" s="11" t="e">
        <f t="shared" si="58"/>
        <v>#DIV/0!</v>
      </c>
      <c r="AG198" s="11" t="e">
        <f t="shared" si="59"/>
        <v>#DIV/0!</v>
      </c>
      <c r="AH198" s="11" t="e">
        <f t="shared" si="60"/>
        <v>#DIV/0!</v>
      </c>
      <c r="AI198" s="10"/>
      <c r="AJ198" s="11" t="e">
        <f t="shared" si="61"/>
        <v>#DIV/0!</v>
      </c>
      <c r="AK198" s="11" t="e">
        <f t="shared" si="62"/>
        <v>#DIV/0!</v>
      </c>
      <c r="AL198" s="11" t="e">
        <f t="shared" si="63"/>
        <v>#DIV/0!</v>
      </c>
    </row>
    <row r="199" spans="2:38" x14ac:dyDescent="0.2">
      <c r="B199" s="4"/>
      <c r="C199" s="4"/>
      <c r="D199" s="4"/>
      <c r="E199" s="4"/>
      <c r="F199" s="4"/>
      <c r="G199" s="4"/>
      <c r="H199" s="4"/>
      <c r="I199" s="4"/>
      <c r="J199" s="9" t="e">
        <f t="shared" si="51"/>
        <v>#DIV/0!</v>
      </c>
      <c r="K199" s="4"/>
      <c r="L199" s="4"/>
      <c r="M199" s="4"/>
      <c r="N199" s="4"/>
      <c r="O199" s="7"/>
      <c r="P199" s="7"/>
      <c r="Q199" s="4"/>
      <c r="R199" s="9" t="e">
        <f t="shared" si="52"/>
        <v>#DIV/0!</v>
      </c>
      <c r="S199" s="4" t="s">
        <v>159</v>
      </c>
      <c r="T199" s="4"/>
      <c r="U199" s="10"/>
      <c r="V199" s="10"/>
      <c r="W199" s="10"/>
      <c r="X199" s="10"/>
      <c r="Y199" s="10"/>
      <c r="Z199" s="10"/>
      <c r="AA199" s="11" t="e">
        <f t="shared" si="53"/>
        <v>#DIV/0!</v>
      </c>
      <c r="AB199" s="11">
        <f t="shared" si="54"/>
        <v>9</v>
      </c>
      <c r="AC199" s="11">
        <f t="shared" si="55"/>
        <v>8</v>
      </c>
      <c r="AD199" s="11" t="e">
        <f t="shared" si="56"/>
        <v>#DIV/0!</v>
      </c>
      <c r="AE199" s="11" t="e">
        <f t="shared" si="57"/>
        <v>#DIV/0!</v>
      </c>
      <c r="AF199" s="11" t="e">
        <f t="shared" si="58"/>
        <v>#DIV/0!</v>
      </c>
      <c r="AG199" s="11" t="e">
        <f t="shared" si="59"/>
        <v>#DIV/0!</v>
      </c>
      <c r="AH199" s="11" t="e">
        <f t="shared" si="60"/>
        <v>#DIV/0!</v>
      </c>
      <c r="AI199" s="10"/>
      <c r="AJ199" s="11" t="e">
        <f t="shared" si="61"/>
        <v>#DIV/0!</v>
      </c>
      <c r="AK199" s="11" t="e">
        <f t="shared" si="62"/>
        <v>#DIV/0!</v>
      </c>
      <c r="AL199" s="11" t="e">
        <f t="shared" si="63"/>
        <v>#DIV/0!</v>
      </c>
    </row>
    <row r="200" spans="2:38" x14ac:dyDescent="0.2">
      <c r="B200" s="4"/>
      <c r="C200" s="4"/>
      <c r="D200" s="4"/>
      <c r="E200" s="4"/>
      <c r="F200" s="4"/>
      <c r="G200" s="4"/>
      <c r="H200" s="4"/>
      <c r="I200" s="4"/>
      <c r="J200" s="9" t="e">
        <f t="shared" si="51"/>
        <v>#DIV/0!</v>
      </c>
      <c r="K200" s="4"/>
      <c r="L200" s="4"/>
      <c r="M200" s="4"/>
      <c r="N200" s="4"/>
      <c r="O200" s="7"/>
      <c r="P200" s="7"/>
      <c r="Q200" s="4"/>
      <c r="R200" s="9" t="e">
        <f t="shared" si="52"/>
        <v>#DIV/0!</v>
      </c>
      <c r="S200" s="4" t="s">
        <v>160</v>
      </c>
      <c r="T200" s="4"/>
      <c r="U200" s="10"/>
      <c r="V200" s="10"/>
      <c r="W200" s="10"/>
      <c r="X200" s="10"/>
      <c r="Y200" s="10"/>
      <c r="Z200" s="10"/>
      <c r="AA200" s="11" t="e">
        <f t="shared" si="53"/>
        <v>#DIV/0!</v>
      </c>
      <c r="AB200" s="11">
        <f t="shared" si="54"/>
        <v>9</v>
      </c>
      <c r="AC200" s="11">
        <f t="shared" si="55"/>
        <v>8</v>
      </c>
      <c r="AD200" s="11" t="e">
        <f t="shared" si="56"/>
        <v>#DIV/0!</v>
      </c>
      <c r="AE200" s="11" t="e">
        <f t="shared" si="57"/>
        <v>#DIV/0!</v>
      </c>
      <c r="AF200" s="11" t="e">
        <f t="shared" si="58"/>
        <v>#DIV/0!</v>
      </c>
      <c r="AG200" s="11" t="e">
        <f t="shared" si="59"/>
        <v>#DIV/0!</v>
      </c>
      <c r="AH200" s="11" t="e">
        <f t="shared" si="60"/>
        <v>#DIV/0!</v>
      </c>
      <c r="AI200" s="10"/>
      <c r="AJ200" s="11" t="e">
        <f t="shared" si="61"/>
        <v>#DIV/0!</v>
      </c>
      <c r="AK200" s="11" t="e">
        <f t="shared" si="62"/>
        <v>#DIV/0!</v>
      </c>
      <c r="AL200" s="11" t="e">
        <f t="shared" si="63"/>
        <v>#DIV/0!</v>
      </c>
    </row>
    <row r="201" spans="2:38" x14ac:dyDescent="0.2">
      <c r="B201" s="4"/>
      <c r="C201" s="4"/>
      <c r="D201" s="4"/>
      <c r="E201" s="4"/>
      <c r="F201" s="4"/>
      <c r="G201" s="4"/>
      <c r="H201" s="4"/>
      <c r="I201" s="4"/>
      <c r="J201" s="9" t="e">
        <f t="shared" si="51"/>
        <v>#DIV/0!</v>
      </c>
      <c r="K201" s="4"/>
      <c r="L201" s="4"/>
      <c r="M201" s="4"/>
      <c r="N201" s="4"/>
      <c r="O201" s="7"/>
      <c r="P201" s="7"/>
      <c r="Q201" s="4"/>
      <c r="R201" s="9" t="e">
        <f t="shared" si="52"/>
        <v>#DIV/0!</v>
      </c>
      <c r="S201" s="4" t="s">
        <v>160</v>
      </c>
      <c r="T201" s="4"/>
      <c r="U201" s="10"/>
      <c r="V201" s="10"/>
      <c r="W201" s="10"/>
      <c r="X201" s="10"/>
      <c r="Y201" s="10"/>
      <c r="Z201" s="10"/>
      <c r="AA201" s="11" t="e">
        <f t="shared" si="53"/>
        <v>#DIV/0!</v>
      </c>
      <c r="AB201" s="11">
        <f t="shared" si="54"/>
        <v>9</v>
      </c>
      <c r="AC201" s="11">
        <f t="shared" si="55"/>
        <v>8</v>
      </c>
      <c r="AD201" s="11" t="e">
        <f t="shared" si="56"/>
        <v>#DIV/0!</v>
      </c>
      <c r="AE201" s="11" t="e">
        <f t="shared" si="57"/>
        <v>#DIV/0!</v>
      </c>
      <c r="AF201" s="11" t="e">
        <f t="shared" si="58"/>
        <v>#DIV/0!</v>
      </c>
      <c r="AG201" s="11" t="e">
        <f t="shared" si="59"/>
        <v>#DIV/0!</v>
      </c>
      <c r="AH201" s="11" t="e">
        <f t="shared" si="60"/>
        <v>#DIV/0!</v>
      </c>
      <c r="AI201" s="10"/>
      <c r="AJ201" s="11" t="e">
        <f t="shared" si="61"/>
        <v>#DIV/0!</v>
      </c>
      <c r="AK201" s="11" t="e">
        <f t="shared" si="62"/>
        <v>#DIV/0!</v>
      </c>
      <c r="AL201" s="11" t="e">
        <f t="shared" si="63"/>
        <v>#DIV/0!</v>
      </c>
    </row>
    <row r="202" spans="2:38" x14ac:dyDescent="0.2">
      <c r="B202" s="4"/>
      <c r="C202" s="4"/>
      <c r="D202" s="4"/>
      <c r="E202" s="4"/>
      <c r="F202" s="4"/>
      <c r="G202" s="4"/>
      <c r="H202" s="4"/>
      <c r="I202" s="4"/>
      <c r="J202" s="9" t="e">
        <f t="shared" si="51"/>
        <v>#DIV/0!</v>
      </c>
      <c r="K202" s="4"/>
      <c r="L202" s="4"/>
      <c r="M202" s="4"/>
      <c r="N202" s="4"/>
      <c r="O202" s="7"/>
      <c r="P202" s="7"/>
      <c r="Q202" s="4"/>
      <c r="R202" s="9" t="e">
        <f t="shared" si="52"/>
        <v>#DIV/0!</v>
      </c>
      <c r="S202" s="4" t="s">
        <v>160</v>
      </c>
      <c r="T202" s="4"/>
      <c r="U202" s="10"/>
      <c r="V202" s="10"/>
      <c r="W202" s="10"/>
      <c r="X202" s="10"/>
      <c r="Y202" s="10"/>
      <c r="Z202" s="10"/>
      <c r="AA202" s="11" t="e">
        <f t="shared" si="53"/>
        <v>#DIV/0!</v>
      </c>
      <c r="AB202" s="11">
        <f t="shared" si="54"/>
        <v>9</v>
      </c>
      <c r="AC202" s="11">
        <f t="shared" si="55"/>
        <v>8</v>
      </c>
      <c r="AD202" s="11" t="e">
        <f t="shared" si="56"/>
        <v>#DIV/0!</v>
      </c>
      <c r="AE202" s="11" t="e">
        <f t="shared" si="57"/>
        <v>#DIV/0!</v>
      </c>
      <c r="AF202" s="11" t="e">
        <f t="shared" si="58"/>
        <v>#DIV/0!</v>
      </c>
      <c r="AG202" s="11" t="e">
        <f t="shared" si="59"/>
        <v>#DIV/0!</v>
      </c>
      <c r="AH202" s="11" t="e">
        <f t="shared" si="60"/>
        <v>#DIV/0!</v>
      </c>
      <c r="AI202" s="10"/>
      <c r="AJ202" s="11" t="e">
        <f t="shared" si="61"/>
        <v>#DIV/0!</v>
      </c>
      <c r="AK202" s="11" t="e">
        <f t="shared" si="62"/>
        <v>#DIV/0!</v>
      </c>
      <c r="AL202" s="11" t="e">
        <f t="shared" si="63"/>
        <v>#DIV/0!</v>
      </c>
    </row>
    <row r="203" spans="2:38" x14ac:dyDescent="0.2">
      <c r="B203" s="4"/>
      <c r="C203" s="4"/>
      <c r="D203" s="4"/>
      <c r="E203" s="4"/>
      <c r="F203" s="4"/>
      <c r="G203" s="4"/>
      <c r="H203" s="4"/>
      <c r="I203" s="4"/>
      <c r="J203" s="9" t="e">
        <f t="shared" si="51"/>
        <v>#DIV/0!</v>
      </c>
      <c r="K203" s="4"/>
      <c r="L203" s="4"/>
      <c r="M203" s="4"/>
      <c r="N203" s="4"/>
      <c r="O203" s="7"/>
      <c r="P203" s="7"/>
      <c r="Q203" s="4"/>
      <c r="R203" s="9" t="e">
        <f t="shared" si="52"/>
        <v>#DIV/0!</v>
      </c>
      <c r="S203" s="4" t="s">
        <v>160</v>
      </c>
      <c r="T203" s="4"/>
      <c r="U203" s="10"/>
      <c r="V203" s="10"/>
      <c r="W203" s="10"/>
      <c r="X203" s="10"/>
      <c r="Y203" s="10"/>
      <c r="Z203" s="10"/>
      <c r="AA203" s="11" t="e">
        <f t="shared" si="53"/>
        <v>#DIV/0!</v>
      </c>
      <c r="AB203" s="11">
        <f t="shared" si="54"/>
        <v>9</v>
      </c>
      <c r="AC203" s="11">
        <f t="shared" si="55"/>
        <v>8</v>
      </c>
      <c r="AD203" s="11" t="e">
        <f t="shared" si="56"/>
        <v>#DIV/0!</v>
      </c>
      <c r="AE203" s="11" t="e">
        <f t="shared" si="57"/>
        <v>#DIV/0!</v>
      </c>
      <c r="AF203" s="11" t="e">
        <f t="shared" si="58"/>
        <v>#DIV/0!</v>
      </c>
      <c r="AG203" s="11" t="e">
        <f t="shared" si="59"/>
        <v>#DIV/0!</v>
      </c>
      <c r="AH203" s="11" t="e">
        <f t="shared" si="60"/>
        <v>#DIV/0!</v>
      </c>
      <c r="AI203" s="10"/>
      <c r="AJ203" s="11" t="e">
        <f t="shared" si="61"/>
        <v>#DIV/0!</v>
      </c>
      <c r="AK203" s="11" t="e">
        <f t="shared" si="62"/>
        <v>#DIV/0!</v>
      </c>
      <c r="AL203" s="11" t="e">
        <f t="shared" si="63"/>
        <v>#DIV/0!</v>
      </c>
    </row>
    <row r="204" spans="2:38" x14ac:dyDescent="0.2">
      <c r="B204" s="4"/>
      <c r="C204" s="4"/>
      <c r="D204" s="4"/>
      <c r="E204" s="4"/>
      <c r="F204" s="4"/>
      <c r="G204" s="4"/>
      <c r="H204" s="4"/>
      <c r="I204" s="4"/>
      <c r="J204" s="9" t="e">
        <f t="shared" si="51"/>
        <v>#DIV/0!</v>
      </c>
      <c r="K204" s="4"/>
      <c r="L204" s="4"/>
      <c r="M204" s="4"/>
      <c r="N204" s="4"/>
      <c r="O204" s="7"/>
      <c r="P204" s="7"/>
      <c r="Q204" s="4"/>
      <c r="R204" s="9" t="e">
        <f t="shared" si="52"/>
        <v>#DIV/0!</v>
      </c>
      <c r="S204" s="4" t="s">
        <v>160</v>
      </c>
      <c r="T204" s="4"/>
      <c r="U204" s="10"/>
      <c r="V204" s="10"/>
      <c r="W204" s="10"/>
      <c r="X204" s="10"/>
      <c r="Y204" s="10"/>
      <c r="Z204" s="10"/>
      <c r="AA204" s="11" t="e">
        <f t="shared" si="53"/>
        <v>#DIV/0!</v>
      </c>
      <c r="AB204" s="11">
        <f t="shared" si="54"/>
        <v>9</v>
      </c>
      <c r="AC204" s="11">
        <f t="shared" si="55"/>
        <v>8</v>
      </c>
      <c r="AD204" s="11" t="e">
        <f t="shared" si="56"/>
        <v>#DIV/0!</v>
      </c>
      <c r="AE204" s="11" t="e">
        <f t="shared" si="57"/>
        <v>#DIV/0!</v>
      </c>
      <c r="AF204" s="11" t="e">
        <f t="shared" si="58"/>
        <v>#DIV/0!</v>
      </c>
      <c r="AG204" s="11" t="e">
        <f t="shared" si="59"/>
        <v>#DIV/0!</v>
      </c>
      <c r="AH204" s="11" t="e">
        <f t="shared" si="60"/>
        <v>#DIV/0!</v>
      </c>
      <c r="AI204" s="10"/>
      <c r="AJ204" s="11" t="e">
        <f t="shared" si="61"/>
        <v>#DIV/0!</v>
      </c>
      <c r="AK204" s="11" t="e">
        <f t="shared" si="62"/>
        <v>#DIV/0!</v>
      </c>
      <c r="AL204" s="11" t="e">
        <f t="shared" si="63"/>
        <v>#DIV/0!</v>
      </c>
    </row>
    <row r="205" spans="2:38" x14ac:dyDescent="0.2">
      <c r="B205" s="4"/>
      <c r="C205" s="4"/>
      <c r="D205" s="4"/>
      <c r="E205" s="4"/>
      <c r="F205" s="4"/>
      <c r="G205" s="4"/>
      <c r="H205" s="4"/>
      <c r="I205" s="4"/>
      <c r="J205" s="9" t="e">
        <f t="shared" si="51"/>
        <v>#DIV/0!</v>
      </c>
      <c r="K205" s="4"/>
      <c r="L205" s="4"/>
      <c r="M205" s="4"/>
      <c r="N205" s="4"/>
      <c r="O205" s="7"/>
      <c r="P205" s="7"/>
      <c r="Q205" s="4"/>
      <c r="R205" s="9" t="e">
        <f t="shared" si="52"/>
        <v>#DIV/0!</v>
      </c>
      <c r="S205" s="4" t="s">
        <v>160</v>
      </c>
      <c r="T205" s="4"/>
      <c r="U205" s="10"/>
      <c r="V205" s="10"/>
      <c r="W205" s="10"/>
      <c r="X205" s="10"/>
      <c r="Y205" s="10"/>
      <c r="Z205" s="10"/>
      <c r="AA205" s="11" t="e">
        <f t="shared" si="53"/>
        <v>#DIV/0!</v>
      </c>
      <c r="AB205" s="11">
        <f t="shared" si="54"/>
        <v>9</v>
      </c>
      <c r="AC205" s="11">
        <f t="shared" si="55"/>
        <v>8</v>
      </c>
      <c r="AD205" s="11" t="e">
        <f t="shared" si="56"/>
        <v>#DIV/0!</v>
      </c>
      <c r="AE205" s="11" t="e">
        <f t="shared" si="57"/>
        <v>#DIV/0!</v>
      </c>
      <c r="AF205" s="11" t="e">
        <f t="shared" si="58"/>
        <v>#DIV/0!</v>
      </c>
      <c r="AG205" s="11" t="e">
        <f t="shared" si="59"/>
        <v>#DIV/0!</v>
      </c>
      <c r="AH205" s="11" t="e">
        <f t="shared" si="60"/>
        <v>#DIV/0!</v>
      </c>
      <c r="AI205" s="10"/>
      <c r="AJ205" s="11" t="e">
        <f t="shared" si="61"/>
        <v>#DIV/0!</v>
      </c>
      <c r="AK205" s="11" t="e">
        <f t="shared" si="62"/>
        <v>#DIV/0!</v>
      </c>
      <c r="AL205" s="11" t="e">
        <f t="shared" si="63"/>
        <v>#DIV/0!</v>
      </c>
    </row>
    <row r="206" spans="2:38" x14ac:dyDescent="0.2">
      <c r="B206" s="4"/>
      <c r="C206" s="4"/>
      <c r="D206" s="4"/>
      <c r="E206" s="4"/>
      <c r="F206" s="4"/>
      <c r="G206" s="4"/>
      <c r="H206" s="4"/>
      <c r="I206" s="4"/>
      <c r="J206" s="9" t="e">
        <f t="shared" si="51"/>
        <v>#DIV/0!</v>
      </c>
      <c r="K206" s="4"/>
      <c r="L206" s="4"/>
      <c r="M206" s="4"/>
      <c r="N206" s="4"/>
      <c r="O206" s="7"/>
      <c r="P206" s="7"/>
      <c r="Q206" s="4"/>
      <c r="R206" s="9" t="e">
        <f t="shared" si="52"/>
        <v>#DIV/0!</v>
      </c>
      <c r="S206" s="4" t="s">
        <v>160</v>
      </c>
      <c r="T206" s="4"/>
      <c r="U206" s="10"/>
      <c r="V206" s="10"/>
      <c r="W206" s="10"/>
      <c r="X206" s="10"/>
      <c r="Y206" s="10"/>
      <c r="Z206" s="10"/>
      <c r="AA206" s="11" t="e">
        <f t="shared" si="53"/>
        <v>#DIV/0!</v>
      </c>
      <c r="AB206" s="11">
        <f t="shared" si="54"/>
        <v>9</v>
      </c>
      <c r="AC206" s="11">
        <f t="shared" si="55"/>
        <v>8</v>
      </c>
      <c r="AD206" s="11" t="e">
        <f t="shared" si="56"/>
        <v>#DIV/0!</v>
      </c>
      <c r="AE206" s="11" t="e">
        <f t="shared" si="57"/>
        <v>#DIV/0!</v>
      </c>
      <c r="AF206" s="11" t="e">
        <f t="shared" si="58"/>
        <v>#DIV/0!</v>
      </c>
      <c r="AG206" s="11" t="e">
        <f t="shared" si="59"/>
        <v>#DIV/0!</v>
      </c>
      <c r="AH206" s="11" t="e">
        <f t="shared" si="60"/>
        <v>#DIV/0!</v>
      </c>
      <c r="AI206" s="10"/>
      <c r="AJ206" s="11" t="e">
        <f t="shared" si="61"/>
        <v>#DIV/0!</v>
      </c>
      <c r="AK206" s="11" t="e">
        <f t="shared" si="62"/>
        <v>#DIV/0!</v>
      </c>
      <c r="AL206" s="11" t="e">
        <f t="shared" si="63"/>
        <v>#DIV/0!</v>
      </c>
    </row>
    <row r="207" spans="2:38" x14ac:dyDescent="0.2">
      <c r="B207" s="4"/>
      <c r="C207" s="4"/>
      <c r="D207" s="4"/>
      <c r="E207" s="4"/>
      <c r="F207" s="4"/>
      <c r="G207" s="4"/>
      <c r="H207" s="4"/>
      <c r="I207" s="4"/>
      <c r="J207" s="9" t="e">
        <f t="shared" si="51"/>
        <v>#DIV/0!</v>
      </c>
      <c r="K207" s="4"/>
      <c r="L207" s="4"/>
      <c r="M207" s="4"/>
      <c r="N207" s="4"/>
      <c r="O207" s="7"/>
      <c r="P207" s="7"/>
      <c r="Q207" s="4"/>
      <c r="R207" s="9" t="e">
        <f t="shared" si="52"/>
        <v>#DIV/0!</v>
      </c>
      <c r="S207" s="4" t="s">
        <v>160</v>
      </c>
      <c r="T207" s="4"/>
      <c r="U207" s="10"/>
      <c r="V207" s="10"/>
      <c r="W207" s="10"/>
      <c r="X207" s="10"/>
      <c r="Y207" s="10"/>
      <c r="Z207" s="10"/>
      <c r="AA207" s="11" t="e">
        <f t="shared" si="53"/>
        <v>#DIV/0!</v>
      </c>
      <c r="AB207" s="11">
        <f t="shared" si="54"/>
        <v>9</v>
      </c>
      <c r="AC207" s="11">
        <f t="shared" si="55"/>
        <v>8</v>
      </c>
      <c r="AD207" s="11" t="e">
        <f t="shared" si="56"/>
        <v>#DIV/0!</v>
      </c>
      <c r="AE207" s="11" t="e">
        <f t="shared" si="57"/>
        <v>#DIV/0!</v>
      </c>
      <c r="AF207" s="11" t="e">
        <f t="shared" si="58"/>
        <v>#DIV/0!</v>
      </c>
      <c r="AG207" s="11" t="e">
        <f t="shared" si="59"/>
        <v>#DIV/0!</v>
      </c>
      <c r="AH207" s="11" t="e">
        <f t="shared" si="60"/>
        <v>#DIV/0!</v>
      </c>
      <c r="AI207" s="10"/>
      <c r="AJ207" s="11" t="e">
        <f t="shared" si="61"/>
        <v>#DIV/0!</v>
      </c>
      <c r="AK207" s="11" t="e">
        <f t="shared" si="62"/>
        <v>#DIV/0!</v>
      </c>
      <c r="AL207" s="11" t="e">
        <f t="shared" si="63"/>
        <v>#DIV/0!</v>
      </c>
    </row>
    <row r="208" spans="2:38" x14ac:dyDescent="0.2">
      <c r="B208" s="4"/>
      <c r="C208" s="4"/>
      <c r="D208" s="4"/>
      <c r="E208" s="4"/>
      <c r="F208" s="4"/>
      <c r="G208" s="4"/>
      <c r="H208" s="4"/>
      <c r="I208" s="4"/>
      <c r="J208" s="9" t="e">
        <f t="shared" si="51"/>
        <v>#DIV/0!</v>
      </c>
      <c r="K208" s="4"/>
      <c r="L208" s="4"/>
      <c r="M208" s="4"/>
      <c r="N208" s="4"/>
      <c r="O208" s="7"/>
      <c r="P208" s="7"/>
      <c r="Q208" s="4"/>
      <c r="R208" s="9" t="e">
        <f t="shared" si="52"/>
        <v>#DIV/0!</v>
      </c>
      <c r="S208" s="4" t="s">
        <v>160</v>
      </c>
      <c r="T208" s="4"/>
      <c r="U208" s="10"/>
      <c r="V208" s="10"/>
      <c r="W208" s="10"/>
      <c r="X208" s="10"/>
      <c r="Y208" s="10"/>
      <c r="Z208" s="10"/>
      <c r="AA208" s="11" t="e">
        <f t="shared" si="53"/>
        <v>#DIV/0!</v>
      </c>
      <c r="AB208" s="11">
        <f t="shared" si="54"/>
        <v>9</v>
      </c>
      <c r="AC208" s="11">
        <f t="shared" si="55"/>
        <v>8</v>
      </c>
      <c r="AD208" s="11" t="e">
        <f t="shared" si="56"/>
        <v>#DIV/0!</v>
      </c>
      <c r="AE208" s="11" t="e">
        <f t="shared" si="57"/>
        <v>#DIV/0!</v>
      </c>
      <c r="AF208" s="11" t="e">
        <f t="shared" si="58"/>
        <v>#DIV/0!</v>
      </c>
      <c r="AG208" s="11" t="e">
        <f t="shared" si="59"/>
        <v>#DIV/0!</v>
      </c>
      <c r="AH208" s="11" t="e">
        <f t="shared" si="60"/>
        <v>#DIV/0!</v>
      </c>
      <c r="AI208" s="10"/>
      <c r="AJ208" s="11" t="e">
        <f t="shared" si="61"/>
        <v>#DIV/0!</v>
      </c>
      <c r="AK208" s="11" t="e">
        <f t="shared" si="62"/>
        <v>#DIV/0!</v>
      </c>
      <c r="AL208" s="11" t="e">
        <f t="shared" si="63"/>
        <v>#DIV/0!</v>
      </c>
    </row>
    <row r="209" spans="2:38" x14ac:dyDescent="0.2">
      <c r="B209" s="4"/>
      <c r="C209" s="4"/>
      <c r="D209" s="4"/>
      <c r="E209" s="4"/>
      <c r="F209" s="4"/>
      <c r="G209" s="4"/>
      <c r="H209" s="4"/>
      <c r="I209" s="4"/>
      <c r="J209" s="9" t="e">
        <f t="shared" si="51"/>
        <v>#DIV/0!</v>
      </c>
      <c r="K209" s="4"/>
      <c r="L209" s="4"/>
      <c r="M209" s="4"/>
      <c r="N209" s="4"/>
      <c r="O209" s="7"/>
      <c r="P209" s="7"/>
      <c r="Q209" s="4"/>
      <c r="R209" s="9" t="e">
        <f t="shared" si="52"/>
        <v>#DIV/0!</v>
      </c>
      <c r="S209" s="4" t="s">
        <v>160</v>
      </c>
      <c r="T209" s="4"/>
      <c r="U209" s="10"/>
      <c r="V209" s="10"/>
      <c r="W209" s="10"/>
      <c r="X209" s="10"/>
      <c r="Y209" s="10"/>
      <c r="Z209" s="10"/>
      <c r="AA209" s="11" t="e">
        <f t="shared" si="53"/>
        <v>#DIV/0!</v>
      </c>
      <c r="AB209" s="11">
        <f t="shared" si="54"/>
        <v>9</v>
      </c>
      <c r="AC209" s="11">
        <f t="shared" si="55"/>
        <v>8</v>
      </c>
      <c r="AD209" s="11" t="e">
        <f t="shared" si="56"/>
        <v>#DIV/0!</v>
      </c>
      <c r="AE209" s="11" t="e">
        <f t="shared" si="57"/>
        <v>#DIV/0!</v>
      </c>
      <c r="AF209" s="11" t="e">
        <f t="shared" si="58"/>
        <v>#DIV/0!</v>
      </c>
      <c r="AG209" s="11" t="e">
        <f t="shared" si="59"/>
        <v>#DIV/0!</v>
      </c>
      <c r="AH209" s="11" t="e">
        <f t="shared" si="60"/>
        <v>#DIV/0!</v>
      </c>
      <c r="AI209" s="10"/>
      <c r="AJ209" s="11" t="e">
        <f t="shared" si="61"/>
        <v>#DIV/0!</v>
      </c>
      <c r="AK209" s="11" t="e">
        <f t="shared" si="62"/>
        <v>#DIV/0!</v>
      </c>
      <c r="AL209" s="11" t="e">
        <f t="shared" si="63"/>
        <v>#DIV/0!</v>
      </c>
    </row>
    <row r="210" spans="2:38" x14ac:dyDescent="0.2">
      <c r="B210" s="4"/>
      <c r="C210" s="4"/>
      <c r="D210" s="4"/>
      <c r="E210" s="4"/>
      <c r="F210" s="4"/>
      <c r="G210" s="4"/>
      <c r="H210" s="4"/>
      <c r="I210" s="4"/>
      <c r="J210" s="9" t="e">
        <f t="shared" si="51"/>
        <v>#DIV/0!</v>
      </c>
      <c r="K210" s="4"/>
      <c r="L210" s="4"/>
      <c r="M210" s="4"/>
      <c r="N210" s="4"/>
      <c r="O210" s="7"/>
      <c r="P210" s="7"/>
      <c r="Q210" s="4"/>
      <c r="R210" s="9" t="e">
        <f t="shared" si="52"/>
        <v>#DIV/0!</v>
      </c>
      <c r="S210" s="4" t="s">
        <v>160</v>
      </c>
      <c r="T210" s="4"/>
      <c r="U210" s="10"/>
      <c r="V210" s="10"/>
      <c r="W210" s="10"/>
      <c r="X210" s="10"/>
      <c r="Y210" s="10"/>
      <c r="Z210" s="10"/>
      <c r="AA210" s="11" t="e">
        <f t="shared" si="53"/>
        <v>#DIV/0!</v>
      </c>
      <c r="AB210" s="11">
        <f t="shared" si="54"/>
        <v>9</v>
      </c>
      <c r="AC210" s="11">
        <f t="shared" si="55"/>
        <v>8</v>
      </c>
      <c r="AD210" s="11" t="e">
        <f t="shared" si="56"/>
        <v>#DIV/0!</v>
      </c>
      <c r="AE210" s="11" t="e">
        <f t="shared" si="57"/>
        <v>#DIV/0!</v>
      </c>
      <c r="AF210" s="11" t="e">
        <f t="shared" si="58"/>
        <v>#DIV/0!</v>
      </c>
      <c r="AG210" s="11" t="e">
        <f t="shared" si="59"/>
        <v>#DIV/0!</v>
      </c>
      <c r="AH210" s="11" t="e">
        <f t="shared" si="60"/>
        <v>#DIV/0!</v>
      </c>
      <c r="AI210" s="10"/>
      <c r="AJ210" s="11" t="e">
        <f t="shared" si="61"/>
        <v>#DIV/0!</v>
      </c>
      <c r="AK210" s="11" t="e">
        <f t="shared" si="62"/>
        <v>#DIV/0!</v>
      </c>
      <c r="AL210" s="11" t="e">
        <f t="shared" si="63"/>
        <v>#DIV/0!</v>
      </c>
    </row>
    <row r="211" spans="2:38" x14ac:dyDescent="0.2">
      <c r="B211" s="4"/>
      <c r="C211" s="4"/>
      <c r="D211" s="4"/>
      <c r="E211" s="4"/>
      <c r="F211" s="4"/>
      <c r="G211" s="4"/>
      <c r="H211" s="4"/>
      <c r="I211" s="4"/>
      <c r="J211" s="9" t="e">
        <f t="shared" si="51"/>
        <v>#DIV/0!</v>
      </c>
      <c r="K211" s="4"/>
      <c r="L211" s="4"/>
      <c r="M211" s="4"/>
      <c r="N211" s="4"/>
      <c r="O211" s="7"/>
      <c r="P211" s="7"/>
      <c r="Q211" s="4"/>
      <c r="R211" s="9" t="e">
        <f t="shared" si="52"/>
        <v>#DIV/0!</v>
      </c>
      <c r="S211" s="4" t="s">
        <v>160</v>
      </c>
      <c r="T211" s="4"/>
      <c r="U211" s="10"/>
      <c r="V211" s="10"/>
      <c r="W211" s="10"/>
      <c r="X211" s="10"/>
      <c r="Y211" s="10"/>
      <c r="Z211" s="10"/>
      <c r="AA211" s="11" t="e">
        <f t="shared" si="53"/>
        <v>#DIV/0!</v>
      </c>
      <c r="AB211" s="11">
        <f t="shared" si="54"/>
        <v>9</v>
      </c>
      <c r="AC211" s="11">
        <f t="shared" si="55"/>
        <v>8</v>
      </c>
      <c r="AD211" s="11" t="e">
        <f t="shared" si="56"/>
        <v>#DIV/0!</v>
      </c>
      <c r="AE211" s="11" t="e">
        <f t="shared" si="57"/>
        <v>#DIV/0!</v>
      </c>
      <c r="AF211" s="11" t="e">
        <f t="shared" si="58"/>
        <v>#DIV/0!</v>
      </c>
      <c r="AG211" s="11" t="e">
        <f t="shared" si="59"/>
        <v>#DIV/0!</v>
      </c>
      <c r="AH211" s="11" t="e">
        <f t="shared" si="60"/>
        <v>#DIV/0!</v>
      </c>
      <c r="AI211" s="10"/>
      <c r="AJ211" s="11" t="e">
        <f t="shared" si="61"/>
        <v>#DIV/0!</v>
      </c>
      <c r="AK211" s="11" t="e">
        <f t="shared" si="62"/>
        <v>#DIV/0!</v>
      </c>
      <c r="AL211" s="11" t="e">
        <f t="shared" si="63"/>
        <v>#DIV/0!</v>
      </c>
    </row>
    <row r="212" spans="2:38" x14ac:dyDescent="0.2">
      <c r="B212" s="4"/>
      <c r="C212" s="4"/>
      <c r="D212" s="4"/>
      <c r="E212" s="4"/>
      <c r="F212" s="4"/>
      <c r="G212" s="4"/>
      <c r="H212" s="4"/>
      <c r="I212" s="4"/>
      <c r="J212" s="9" t="e">
        <f t="shared" si="51"/>
        <v>#DIV/0!</v>
      </c>
      <c r="K212" s="4"/>
      <c r="L212" s="4"/>
      <c r="M212" s="4"/>
      <c r="N212" s="4"/>
      <c r="O212" s="7"/>
      <c r="P212" s="7"/>
      <c r="Q212" s="4"/>
      <c r="R212" s="9" t="e">
        <f t="shared" si="52"/>
        <v>#DIV/0!</v>
      </c>
      <c r="S212" s="4" t="s">
        <v>160</v>
      </c>
      <c r="T212" s="4"/>
      <c r="U212" s="10"/>
      <c r="V212" s="10"/>
      <c r="W212" s="10"/>
      <c r="X212" s="10"/>
      <c r="Y212" s="10"/>
      <c r="Z212" s="10"/>
      <c r="AA212" s="11" t="e">
        <f t="shared" si="53"/>
        <v>#DIV/0!</v>
      </c>
      <c r="AB212" s="11">
        <f t="shared" si="54"/>
        <v>9</v>
      </c>
      <c r="AC212" s="11">
        <f t="shared" si="55"/>
        <v>8</v>
      </c>
      <c r="AD212" s="11" t="e">
        <f t="shared" si="56"/>
        <v>#DIV/0!</v>
      </c>
      <c r="AE212" s="11" t="e">
        <f t="shared" si="57"/>
        <v>#DIV/0!</v>
      </c>
      <c r="AF212" s="11" t="e">
        <f t="shared" si="58"/>
        <v>#DIV/0!</v>
      </c>
      <c r="AG212" s="11" t="e">
        <f t="shared" si="59"/>
        <v>#DIV/0!</v>
      </c>
      <c r="AH212" s="11" t="e">
        <f t="shared" si="60"/>
        <v>#DIV/0!</v>
      </c>
      <c r="AI212" s="10"/>
      <c r="AJ212" s="11" t="e">
        <f t="shared" si="61"/>
        <v>#DIV/0!</v>
      </c>
      <c r="AK212" s="11" t="e">
        <f t="shared" si="62"/>
        <v>#DIV/0!</v>
      </c>
      <c r="AL212" s="11" t="e">
        <f t="shared" si="63"/>
        <v>#DIV/0!</v>
      </c>
    </row>
    <row r="213" spans="2:38" x14ac:dyDescent="0.2">
      <c r="B213" s="4"/>
      <c r="C213" s="4"/>
      <c r="D213" s="4"/>
      <c r="E213" s="4"/>
      <c r="F213" s="4"/>
      <c r="G213" s="4"/>
      <c r="H213" s="4"/>
      <c r="I213" s="4"/>
      <c r="J213" s="9" t="e">
        <f t="shared" si="51"/>
        <v>#DIV/0!</v>
      </c>
      <c r="K213" s="4"/>
      <c r="L213" s="4"/>
      <c r="M213" s="4"/>
      <c r="N213" s="4"/>
      <c r="O213" s="7"/>
      <c r="P213" s="7"/>
      <c r="Q213" s="4"/>
      <c r="R213" s="9" t="e">
        <f t="shared" si="52"/>
        <v>#DIV/0!</v>
      </c>
      <c r="S213" s="4" t="s">
        <v>160</v>
      </c>
      <c r="T213" s="4"/>
      <c r="U213" s="10"/>
      <c r="V213" s="10"/>
      <c r="W213" s="10"/>
      <c r="X213" s="10"/>
      <c r="Y213" s="10"/>
      <c r="Z213" s="10"/>
      <c r="AA213" s="11" t="e">
        <f t="shared" si="53"/>
        <v>#DIV/0!</v>
      </c>
      <c r="AB213" s="11">
        <f t="shared" si="54"/>
        <v>9</v>
      </c>
      <c r="AC213" s="11">
        <f t="shared" si="55"/>
        <v>8</v>
      </c>
      <c r="AD213" s="11" t="e">
        <f t="shared" si="56"/>
        <v>#DIV/0!</v>
      </c>
      <c r="AE213" s="11" t="e">
        <f t="shared" si="57"/>
        <v>#DIV/0!</v>
      </c>
      <c r="AF213" s="11" t="e">
        <f t="shared" si="58"/>
        <v>#DIV/0!</v>
      </c>
      <c r="AG213" s="11" t="e">
        <f t="shared" si="59"/>
        <v>#DIV/0!</v>
      </c>
      <c r="AH213" s="11" t="e">
        <f t="shared" si="60"/>
        <v>#DIV/0!</v>
      </c>
      <c r="AI213" s="10"/>
      <c r="AJ213" s="11" t="e">
        <f t="shared" si="61"/>
        <v>#DIV/0!</v>
      </c>
      <c r="AK213" s="11" t="e">
        <f t="shared" si="62"/>
        <v>#DIV/0!</v>
      </c>
      <c r="AL213" s="11" t="e">
        <f t="shared" si="63"/>
        <v>#DIV/0!</v>
      </c>
    </row>
    <row r="214" spans="2:38" x14ac:dyDescent="0.2">
      <c r="B214" s="4"/>
      <c r="C214" s="4"/>
      <c r="D214" s="4"/>
      <c r="E214" s="4"/>
      <c r="F214" s="4"/>
      <c r="G214" s="4"/>
      <c r="H214" s="4"/>
      <c r="I214" s="4"/>
      <c r="J214" s="9" t="e">
        <f t="shared" si="51"/>
        <v>#DIV/0!</v>
      </c>
      <c r="K214" s="4"/>
      <c r="L214" s="4"/>
      <c r="M214" s="4"/>
      <c r="N214" s="4"/>
      <c r="O214" s="7"/>
      <c r="P214" s="7"/>
      <c r="Q214" s="4"/>
      <c r="R214" s="9" t="e">
        <f t="shared" si="52"/>
        <v>#DIV/0!</v>
      </c>
      <c r="S214" s="4" t="s">
        <v>161</v>
      </c>
      <c r="T214" s="4"/>
      <c r="U214" s="10"/>
      <c r="V214" s="10"/>
      <c r="W214" s="10"/>
      <c r="X214" s="10"/>
      <c r="Y214" s="10"/>
      <c r="Z214" s="10"/>
      <c r="AA214" s="11" t="e">
        <f t="shared" si="53"/>
        <v>#DIV/0!</v>
      </c>
      <c r="AB214" s="11">
        <f t="shared" si="54"/>
        <v>9</v>
      </c>
      <c r="AC214" s="11">
        <f t="shared" si="55"/>
        <v>8</v>
      </c>
      <c r="AD214" s="11" t="e">
        <f t="shared" si="56"/>
        <v>#DIV/0!</v>
      </c>
      <c r="AE214" s="11" t="e">
        <f t="shared" si="57"/>
        <v>#DIV/0!</v>
      </c>
      <c r="AF214" s="11" t="e">
        <f t="shared" si="58"/>
        <v>#DIV/0!</v>
      </c>
      <c r="AG214" s="11" t="e">
        <f t="shared" si="59"/>
        <v>#DIV/0!</v>
      </c>
      <c r="AH214" s="11" t="e">
        <f t="shared" si="60"/>
        <v>#DIV/0!</v>
      </c>
      <c r="AI214" s="10"/>
      <c r="AJ214" s="11" t="e">
        <f t="shared" si="61"/>
        <v>#DIV/0!</v>
      </c>
      <c r="AK214" s="11" t="e">
        <f t="shared" si="62"/>
        <v>#DIV/0!</v>
      </c>
      <c r="AL214" s="11" t="e">
        <f t="shared" si="63"/>
        <v>#DIV/0!</v>
      </c>
    </row>
    <row r="215" spans="2:38" x14ac:dyDescent="0.2">
      <c r="B215" s="4"/>
      <c r="C215" s="4"/>
      <c r="D215" s="4"/>
      <c r="E215" s="4"/>
      <c r="F215" s="4"/>
      <c r="G215" s="4"/>
      <c r="H215" s="4"/>
      <c r="I215" s="4"/>
      <c r="J215" s="9" t="e">
        <f t="shared" si="51"/>
        <v>#DIV/0!</v>
      </c>
      <c r="K215" s="4"/>
      <c r="L215" s="4"/>
      <c r="M215" s="4"/>
      <c r="N215" s="4"/>
      <c r="O215" s="7"/>
      <c r="P215" s="7"/>
      <c r="Q215" s="4"/>
      <c r="R215" s="9" t="e">
        <f t="shared" si="52"/>
        <v>#DIV/0!</v>
      </c>
      <c r="S215" s="4" t="s">
        <v>161</v>
      </c>
      <c r="T215" s="4"/>
      <c r="U215" s="10"/>
      <c r="V215" s="10"/>
      <c r="W215" s="10"/>
      <c r="X215" s="10"/>
      <c r="Y215" s="10"/>
      <c r="Z215" s="10"/>
      <c r="AA215" s="11" t="e">
        <f t="shared" si="53"/>
        <v>#DIV/0!</v>
      </c>
      <c r="AB215" s="11">
        <f t="shared" si="54"/>
        <v>9</v>
      </c>
      <c r="AC215" s="11">
        <f t="shared" si="55"/>
        <v>8</v>
      </c>
      <c r="AD215" s="11" t="e">
        <f t="shared" si="56"/>
        <v>#DIV/0!</v>
      </c>
      <c r="AE215" s="11" t="e">
        <f t="shared" si="57"/>
        <v>#DIV/0!</v>
      </c>
      <c r="AF215" s="11" t="e">
        <f t="shared" si="58"/>
        <v>#DIV/0!</v>
      </c>
      <c r="AG215" s="11" t="e">
        <f t="shared" si="59"/>
        <v>#DIV/0!</v>
      </c>
      <c r="AH215" s="11" t="e">
        <f t="shared" si="60"/>
        <v>#DIV/0!</v>
      </c>
      <c r="AI215" s="10"/>
      <c r="AJ215" s="11" t="e">
        <f t="shared" si="61"/>
        <v>#DIV/0!</v>
      </c>
      <c r="AK215" s="11" t="e">
        <f t="shared" si="62"/>
        <v>#DIV/0!</v>
      </c>
      <c r="AL215" s="11" t="e">
        <f t="shared" si="63"/>
        <v>#DIV/0!</v>
      </c>
    </row>
    <row r="216" spans="2:38" x14ac:dyDescent="0.2">
      <c r="B216" s="4"/>
      <c r="C216" s="4"/>
      <c r="D216" s="4"/>
      <c r="E216" s="4"/>
      <c r="F216" s="4"/>
      <c r="G216" s="4"/>
      <c r="H216" s="4"/>
      <c r="I216" s="4"/>
      <c r="J216" s="9" t="e">
        <f t="shared" si="51"/>
        <v>#DIV/0!</v>
      </c>
      <c r="K216" s="4"/>
      <c r="L216" s="4"/>
      <c r="M216" s="4"/>
      <c r="N216" s="4"/>
      <c r="O216" s="7"/>
      <c r="P216" s="7"/>
      <c r="Q216" s="4"/>
      <c r="R216" s="9" t="e">
        <f t="shared" si="52"/>
        <v>#DIV/0!</v>
      </c>
      <c r="S216" s="4" t="s">
        <v>161</v>
      </c>
      <c r="T216" s="4"/>
      <c r="U216" s="10"/>
      <c r="V216" s="10"/>
      <c r="W216" s="10"/>
      <c r="X216" s="10"/>
      <c r="Y216" s="10"/>
      <c r="Z216" s="10"/>
      <c r="AA216" s="11" t="e">
        <f t="shared" si="53"/>
        <v>#DIV/0!</v>
      </c>
      <c r="AB216" s="11">
        <f t="shared" si="54"/>
        <v>9</v>
      </c>
      <c r="AC216" s="11">
        <f t="shared" si="55"/>
        <v>8</v>
      </c>
      <c r="AD216" s="11" t="e">
        <f t="shared" si="56"/>
        <v>#DIV/0!</v>
      </c>
      <c r="AE216" s="11" t="e">
        <f t="shared" si="57"/>
        <v>#DIV/0!</v>
      </c>
      <c r="AF216" s="11" t="e">
        <f t="shared" si="58"/>
        <v>#DIV/0!</v>
      </c>
      <c r="AG216" s="11" t="e">
        <f t="shared" si="59"/>
        <v>#DIV/0!</v>
      </c>
      <c r="AH216" s="11" t="e">
        <f t="shared" si="60"/>
        <v>#DIV/0!</v>
      </c>
      <c r="AI216" s="10"/>
      <c r="AJ216" s="11" t="e">
        <f t="shared" si="61"/>
        <v>#DIV/0!</v>
      </c>
      <c r="AK216" s="11" t="e">
        <f t="shared" si="62"/>
        <v>#DIV/0!</v>
      </c>
      <c r="AL216" s="11" t="e">
        <f t="shared" si="63"/>
        <v>#DIV/0!</v>
      </c>
    </row>
    <row r="217" spans="2:38" x14ac:dyDescent="0.2">
      <c r="B217" s="4"/>
      <c r="C217" s="4"/>
      <c r="D217" s="4"/>
      <c r="E217" s="4"/>
      <c r="F217" s="4"/>
      <c r="G217" s="4"/>
      <c r="H217" s="4"/>
      <c r="I217" s="4"/>
      <c r="J217" s="9" t="e">
        <f t="shared" si="51"/>
        <v>#DIV/0!</v>
      </c>
      <c r="K217" s="4"/>
      <c r="L217" s="4"/>
      <c r="M217" s="4"/>
      <c r="N217" s="4"/>
      <c r="O217" s="7"/>
      <c r="P217" s="7"/>
      <c r="Q217" s="4"/>
      <c r="R217" s="9" t="e">
        <f t="shared" si="52"/>
        <v>#DIV/0!</v>
      </c>
      <c r="S217" s="4" t="s">
        <v>161</v>
      </c>
      <c r="T217" s="4"/>
      <c r="U217" s="10"/>
      <c r="V217" s="10"/>
      <c r="W217" s="10"/>
      <c r="X217" s="10"/>
      <c r="Y217" s="10"/>
      <c r="Z217" s="10"/>
      <c r="AA217" s="11" t="e">
        <f t="shared" si="53"/>
        <v>#DIV/0!</v>
      </c>
      <c r="AB217" s="11">
        <f t="shared" si="54"/>
        <v>9</v>
      </c>
      <c r="AC217" s="11">
        <f t="shared" si="55"/>
        <v>8</v>
      </c>
      <c r="AD217" s="11" t="e">
        <f t="shared" si="56"/>
        <v>#DIV/0!</v>
      </c>
      <c r="AE217" s="11" t="e">
        <f t="shared" si="57"/>
        <v>#DIV/0!</v>
      </c>
      <c r="AF217" s="11" t="e">
        <f t="shared" si="58"/>
        <v>#DIV/0!</v>
      </c>
      <c r="AG217" s="11" t="e">
        <f t="shared" si="59"/>
        <v>#DIV/0!</v>
      </c>
      <c r="AH217" s="11" t="e">
        <f t="shared" si="60"/>
        <v>#DIV/0!</v>
      </c>
      <c r="AI217" s="10"/>
      <c r="AJ217" s="11" t="e">
        <f t="shared" si="61"/>
        <v>#DIV/0!</v>
      </c>
      <c r="AK217" s="11" t="e">
        <f t="shared" si="62"/>
        <v>#DIV/0!</v>
      </c>
      <c r="AL217" s="11" t="e">
        <f t="shared" si="63"/>
        <v>#DIV/0!</v>
      </c>
    </row>
    <row r="218" spans="2:38" x14ac:dyDescent="0.2">
      <c r="B218" s="4"/>
      <c r="C218" s="4"/>
      <c r="D218" s="4"/>
      <c r="E218" s="4"/>
      <c r="F218" s="4"/>
      <c r="G218" s="4"/>
      <c r="H218" s="4"/>
      <c r="I218" s="4"/>
      <c r="J218" s="9" t="e">
        <f t="shared" si="51"/>
        <v>#DIV/0!</v>
      </c>
      <c r="K218" s="4"/>
      <c r="L218" s="4"/>
      <c r="M218" s="4"/>
      <c r="N218" s="4"/>
      <c r="O218" s="7"/>
      <c r="P218" s="7"/>
      <c r="Q218" s="4"/>
      <c r="R218" s="9" t="e">
        <f t="shared" si="52"/>
        <v>#DIV/0!</v>
      </c>
      <c r="S218" s="4" t="s">
        <v>161</v>
      </c>
      <c r="T218" s="4"/>
      <c r="U218" s="10"/>
      <c r="V218" s="10"/>
      <c r="W218" s="10"/>
      <c r="X218" s="10"/>
      <c r="Y218" s="10"/>
      <c r="Z218" s="10"/>
      <c r="AA218" s="11" t="e">
        <f t="shared" si="53"/>
        <v>#DIV/0!</v>
      </c>
      <c r="AB218" s="11">
        <f t="shared" si="54"/>
        <v>9</v>
      </c>
      <c r="AC218" s="11">
        <f t="shared" si="55"/>
        <v>8</v>
      </c>
      <c r="AD218" s="11" t="e">
        <f t="shared" si="56"/>
        <v>#DIV/0!</v>
      </c>
      <c r="AE218" s="11" t="e">
        <f t="shared" si="57"/>
        <v>#DIV/0!</v>
      </c>
      <c r="AF218" s="11" t="e">
        <f t="shared" si="58"/>
        <v>#DIV/0!</v>
      </c>
      <c r="AG218" s="11" t="e">
        <f t="shared" si="59"/>
        <v>#DIV/0!</v>
      </c>
      <c r="AH218" s="11" t="e">
        <f t="shared" si="60"/>
        <v>#DIV/0!</v>
      </c>
      <c r="AI218" s="10"/>
      <c r="AJ218" s="11" t="e">
        <f t="shared" si="61"/>
        <v>#DIV/0!</v>
      </c>
      <c r="AK218" s="11" t="e">
        <f t="shared" si="62"/>
        <v>#DIV/0!</v>
      </c>
      <c r="AL218" s="11" t="e">
        <f t="shared" si="63"/>
        <v>#DIV/0!</v>
      </c>
    </row>
    <row r="219" spans="2:38" x14ac:dyDescent="0.2">
      <c r="B219" s="4"/>
      <c r="C219" s="4"/>
      <c r="D219" s="4"/>
      <c r="E219" s="4"/>
      <c r="F219" s="4"/>
      <c r="G219" s="4"/>
      <c r="H219" s="4"/>
      <c r="I219" s="4"/>
      <c r="J219" s="9" t="e">
        <f t="shared" si="51"/>
        <v>#DIV/0!</v>
      </c>
      <c r="K219" s="4"/>
      <c r="L219" s="4"/>
      <c r="M219" s="4"/>
      <c r="N219" s="4"/>
      <c r="O219" s="7"/>
      <c r="P219" s="7"/>
      <c r="Q219" s="4"/>
      <c r="R219" s="9" t="e">
        <f t="shared" si="52"/>
        <v>#DIV/0!</v>
      </c>
      <c r="S219" s="4" t="s">
        <v>161</v>
      </c>
      <c r="T219" s="4"/>
      <c r="U219" s="10"/>
      <c r="V219" s="10"/>
      <c r="W219" s="10"/>
      <c r="X219" s="10"/>
      <c r="Y219" s="10"/>
      <c r="Z219" s="10"/>
      <c r="AA219" s="11" t="e">
        <f t="shared" si="53"/>
        <v>#DIV/0!</v>
      </c>
      <c r="AB219" s="11">
        <f t="shared" si="54"/>
        <v>9</v>
      </c>
      <c r="AC219" s="11">
        <f t="shared" si="55"/>
        <v>8</v>
      </c>
      <c r="AD219" s="11" t="e">
        <f t="shared" si="56"/>
        <v>#DIV/0!</v>
      </c>
      <c r="AE219" s="11" t="e">
        <f t="shared" si="57"/>
        <v>#DIV/0!</v>
      </c>
      <c r="AF219" s="11" t="e">
        <f t="shared" si="58"/>
        <v>#DIV/0!</v>
      </c>
      <c r="AG219" s="11" t="e">
        <f t="shared" si="59"/>
        <v>#DIV/0!</v>
      </c>
      <c r="AH219" s="11" t="e">
        <f t="shared" si="60"/>
        <v>#DIV/0!</v>
      </c>
      <c r="AI219" s="10"/>
      <c r="AJ219" s="11" t="e">
        <f t="shared" si="61"/>
        <v>#DIV/0!</v>
      </c>
      <c r="AK219" s="11" t="e">
        <f t="shared" si="62"/>
        <v>#DIV/0!</v>
      </c>
      <c r="AL219" s="11" t="e">
        <f t="shared" si="63"/>
        <v>#DIV/0!</v>
      </c>
    </row>
    <row r="220" spans="2:38" x14ac:dyDescent="0.2">
      <c r="B220" s="4"/>
      <c r="C220" s="4"/>
      <c r="D220" s="4"/>
      <c r="E220" s="4"/>
      <c r="F220" s="4"/>
      <c r="G220" s="4"/>
      <c r="H220" s="4"/>
      <c r="I220" s="4"/>
      <c r="J220" s="9" t="e">
        <f t="shared" si="51"/>
        <v>#DIV/0!</v>
      </c>
      <c r="K220" s="4"/>
      <c r="L220" s="4"/>
      <c r="M220" s="4"/>
      <c r="N220" s="4"/>
      <c r="O220" s="7"/>
      <c r="P220" s="7"/>
      <c r="Q220" s="4"/>
      <c r="R220" s="9" t="e">
        <f t="shared" si="52"/>
        <v>#DIV/0!</v>
      </c>
      <c r="S220" s="4" t="s">
        <v>161</v>
      </c>
      <c r="T220" s="4"/>
      <c r="U220" s="10"/>
      <c r="V220" s="10"/>
      <c r="W220" s="10"/>
      <c r="X220" s="10"/>
      <c r="Y220" s="10"/>
      <c r="Z220" s="10"/>
      <c r="AA220" s="11" t="e">
        <f t="shared" si="53"/>
        <v>#DIV/0!</v>
      </c>
      <c r="AB220" s="11">
        <f t="shared" si="54"/>
        <v>9</v>
      </c>
      <c r="AC220" s="11">
        <f t="shared" si="55"/>
        <v>8</v>
      </c>
      <c r="AD220" s="11" t="e">
        <f t="shared" si="56"/>
        <v>#DIV/0!</v>
      </c>
      <c r="AE220" s="11" t="e">
        <f t="shared" si="57"/>
        <v>#DIV/0!</v>
      </c>
      <c r="AF220" s="11" t="e">
        <f t="shared" si="58"/>
        <v>#DIV/0!</v>
      </c>
      <c r="AG220" s="11" t="e">
        <f t="shared" si="59"/>
        <v>#DIV/0!</v>
      </c>
      <c r="AH220" s="11" t="e">
        <f t="shared" si="60"/>
        <v>#DIV/0!</v>
      </c>
      <c r="AI220" s="10"/>
      <c r="AJ220" s="11" t="e">
        <f t="shared" si="61"/>
        <v>#DIV/0!</v>
      </c>
      <c r="AK220" s="11" t="e">
        <f t="shared" si="62"/>
        <v>#DIV/0!</v>
      </c>
      <c r="AL220" s="11" t="e">
        <f t="shared" si="63"/>
        <v>#DIV/0!</v>
      </c>
    </row>
    <row r="221" spans="2:38" x14ac:dyDescent="0.2">
      <c r="B221" s="4"/>
      <c r="C221" s="4"/>
      <c r="D221" s="4"/>
      <c r="E221" s="4"/>
      <c r="F221" s="4"/>
      <c r="G221" s="4"/>
      <c r="H221" s="4"/>
      <c r="I221" s="4"/>
      <c r="J221" s="9" t="e">
        <f t="shared" si="51"/>
        <v>#DIV/0!</v>
      </c>
      <c r="K221" s="4"/>
      <c r="L221" s="4"/>
      <c r="M221" s="4"/>
      <c r="N221" s="4"/>
      <c r="O221" s="7"/>
      <c r="P221" s="7"/>
      <c r="Q221" s="4"/>
      <c r="R221" s="9" t="e">
        <f t="shared" si="52"/>
        <v>#DIV/0!</v>
      </c>
      <c r="S221" s="4" t="s">
        <v>161</v>
      </c>
      <c r="T221" s="4"/>
      <c r="U221" s="10"/>
      <c r="V221" s="10"/>
      <c r="W221" s="10"/>
      <c r="X221" s="10"/>
      <c r="Y221" s="10"/>
      <c r="Z221" s="10"/>
      <c r="AA221" s="11" t="e">
        <f t="shared" si="53"/>
        <v>#DIV/0!</v>
      </c>
      <c r="AB221" s="11">
        <f t="shared" si="54"/>
        <v>9</v>
      </c>
      <c r="AC221" s="11">
        <f t="shared" si="55"/>
        <v>8</v>
      </c>
      <c r="AD221" s="11" t="e">
        <f t="shared" si="56"/>
        <v>#DIV/0!</v>
      </c>
      <c r="AE221" s="11" t="e">
        <f t="shared" si="57"/>
        <v>#DIV/0!</v>
      </c>
      <c r="AF221" s="11" t="e">
        <f t="shared" si="58"/>
        <v>#DIV/0!</v>
      </c>
      <c r="AG221" s="11" t="e">
        <f t="shared" si="59"/>
        <v>#DIV/0!</v>
      </c>
      <c r="AH221" s="11" t="e">
        <f t="shared" si="60"/>
        <v>#DIV/0!</v>
      </c>
      <c r="AI221" s="10"/>
      <c r="AJ221" s="11" t="e">
        <f t="shared" si="61"/>
        <v>#DIV/0!</v>
      </c>
      <c r="AK221" s="11" t="e">
        <f t="shared" si="62"/>
        <v>#DIV/0!</v>
      </c>
      <c r="AL221" s="11" t="e">
        <f t="shared" si="63"/>
        <v>#DIV/0!</v>
      </c>
    </row>
    <row r="222" spans="2:38" x14ac:dyDescent="0.2">
      <c r="B222" s="4"/>
      <c r="C222" s="4"/>
      <c r="D222" s="4"/>
      <c r="E222" s="4"/>
      <c r="F222" s="4"/>
      <c r="G222" s="4"/>
      <c r="H222" s="4"/>
      <c r="I222" s="4"/>
      <c r="J222" s="9" t="e">
        <f t="shared" si="51"/>
        <v>#DIV/0!</v>
      </c>
      <c r="K222" s="4"/>
      <c r="L222" s="4"/>
      <c r="M222" s="4"/>
      <c r="N222" s="4"/>
      <c r="O222" s="7"/>
      <c r="P222" s="7"/>
      <c r="Q222" s="4"/>
      <c r="R222" s="9" t="e">
        <f t="shared" si="52"/>
        <v>#DIV/0!</v>
      </c>
      <c r="S222" s="4" t="s">
        <v>161</v>
      </c>
      <c r="T222" s="4"/>
      <c r="U222" s="10"/>
      <c r="V222" s="10"/>
      <c r="W222" s="10"/>
      <c r="X222" s="10"/>
      <c r="Y222" s="10"/>
      <c r="Z222" s="10"/>
      <c r="AA222" s="11" t="e">
        <f t="shared" si="53"/>
        <v>#DIV/0!</v>
      </c>
      <c r="AB222" s="11">
        <f t="shared" si="54"/>
        <v>9</v>
      </c>
      <c r="AC222" s="11">
        <f t="shared" si="55"/>
        <v>8</v>
      </c>
      <c r="AD222" s="11" t="e">
        <f t="shared" si="56"/>
        <v>#DIV/0!</v>
      </c>
      <c r="AE222" s="11" t="e">
        <f t="shared" si="57"/>
        <v>#DIV/0!</v>
      </c>
      <c r="AF222" s="11" t="e">
        <f t="shared" si="58"/>
        <v>#DIV/0!</v>
      </c>
      <c r="AG222" s="11" t="e">
        <f t="shared" si="59"/>
        <v>#DIV/0!</v>
      </c>
      <c r="AH222" s="11" t="e">
        <f t="shared" si="60"/>
        <v>#DIV/0!</v>
      </c>
      <c r="AI222" s="10"/>
      <c r="AJ222" s="11" t="e">
        <f t="shared" si="61"/>
        <v>#DIV/0!</v>
      </c>
      <c r="AK222" s="11" t="e">
        <f t="shared" si="62"/>
        <v>#DIV/0!</v>
      </c>
      <c r="AL222" s="11" t="e">
        <f t="shared" si="63"/>
        <v>#DIV/0!</v>
      </c>
    </row>
    <row r="223" spans="2:38" x14ac:dyDescent="0.2">
      <c r="B223" s="4"/>
      <c r="C223" s="4"/>
      <c r="D223" s="4"/>
      <c r="E223" s="4"/>
      <c r="F223" s="4"/>
      <c r="G223" s="4"/>
      <c r="H223" s="4"/>
      <c r="I223" s="4"/>
      <c r="J223" s="9" t="e">
        <f t="shared" si="51"/>
        <v>#DIV/0!</v>
      </c>
      <c r="K223" s="4"/>
      <c r="L223" s="4"/>
      <c r="M223" s="4"/>
      <c r="N223" s="4"/>
      <c r="O223" s="7"/>
      <c r="P223" s="7"/>
      <c r="Q223" s="4"/>
      <c r="R223" s="9" t="e">
        <f t="shared" si="52"/>
        <v>#DIV/0!</v>
      </c>
      <c r="S223" s="4" t="s">
        <v>161</v>
      </c>
      <c r="T223" s="4"/>
      <c r="U223" s="10"/>
      <c r="V223" s="10"/>
      <c r="W223" s="10"/>
      <c r="X223" s="10"/>
      <c r="Y223" s="10"/>
      <c r="Z223" s="10"/>
      <c r="AA223" s="11" t="e">
        <f t="shared" si="53"/>
        <v>#DIV/0!</v>
      </c>
      <c r="AB223" s="11">
        <f t="shared" si="54"/>
        <v>9</v>
      </c>
      <c r="AC223" s="11">
        <f t="shared" si="55"/>
        <v>8</v>
      </c>
      <c r="AD223" s="11" t="e">
        <f t="shared" si="56"/>
        <v>#DIV/0!</v>
      </c>
      <c r="AE223" s="11" t="e">
        <f t="shared" si="57"/>
        <v>#DIV/0!</v>
      </c>
      <c r="AF223" s="11" t="e">
        <f t="shared" si="58"/>
        <v>#DIV/0!</v>
      </c>
      <c r="AG223" s="11" t="e">
        <f t="shared" si="59"/>
        <v>#DIV/0!</v>
      </c>
      <c r="AH223" s="11" t="e">
        <f t="shared" si="60"/>
        <v>#DIV/0!</v>
      </c>
      <c r="AI223" s="10"/>
      <c r="AJ223" s="11" t="e">
        <f t="shared" si="61"/>
        <v>#DIV/0!</v>
      </c>
      <c r="AK223" s="11" t="e">
        <f t="shared" si="62"/>
        <v>#DIV/0!</v>
      </c>
      <c r="AL223" s="11" t="e">
        <f t="shared" si="63"/>
        <v>#DIV/0!</v>
      </c>
    </row>
    <row r="224" spans="2:38" x14ac:dyDescent="0.2">
      <c r="B224" s="4"/>
      <c r="C224" s="4"/>
      <c r="D224" s="4"/>
      <c r="E224" s="4"/>
      <c r="F224" s="4"/>
      <c r="G224" s="4"/>
      <c r="H224" s="4"/>
      <c r="I224" s="4"/>
      <c r="J224" s="9" t="e">
        <f t="shared" si="51"/>
        <v>#DIV/0!</v>
      </c>
      <c r="K224" s="4"/>
      <c r="L224" s="4"/>
      <c r="M224" s="4"/>
      <c r="N224" s="4"/>
      <c r="O224" s="7"/>
      <c r="P224" s="7"/>
      <c r="Q224" s="4"/>
      <c r="R224" s="9" t="e">
        <f t="shared" si="52"/>
        <v>#DIV/0!</v>
      </c>
      <c r="S224" s="4" t="s">
        <v>161</v>
      </c>
      <c r="T224" s="4"/>
      <c r="U224" s="10"/>
      <c r="V224" s="10"/>
      <c r="W224" s="10"/>
      <c r="X224" s="10"/>
      <c r="Y224" s="10"/>
      <c r="Z224" s="10"/>
      <c r="AA224" s="11" t="e">
        <f t="shared" si="53"/>
        <v>#DIV/0!</v>
      </c>
      <c r="AB224" s="11">
        <f t="shared" si="54"/>
        <v>9</v>
      </c>
      <c r="AC224" s="11">
        <f t="shared" si="55"/>
        <v>8</v>
      </c>
      <c r="AD224" s="11" t="e">
        <f t="shared" si="56"/>
        <v>#DIV/0!</v>
      </c>
      <c r="AE224" s="11" t="e">
        <f t="shared" si="57"/>
        <v>#DIV/0!</v>
      </c>
      <c r="AF224" s="11" t="e">
        <f t="shared" si="58"/>
        <v>#DIV/0!</v>
      </c>
      <c r="AG224" s="11" t="e">
        <f t="shared" si="59"/>
        <v>#DIV/0!</v>
      </c>
      <c r="AH224" s="11" t="e">
        <f t="shared" si="60"/>
        <v>#DIV/0!</v>
      </c>
      <c r="AI224" s="10"/>
      <c r="AJ224" s="11" t="e">
        <f t="shared" si="61"/>
        <v>#DIV/0!</v>
      </c>
      <c r="AK224" s="11" t="e">
        <f t="shared" si="62"/>
        <v>#DIV/0!</v>
      </c>
      <c r="AL224" s="11" t="e">
        <f t="shared" si="63"/>
        <v>#DIV/0!</v>
      </c>
    </row>
    <row r="225" spans="2:38" x14ac:dyDescent="0.2">
      <c r="B225" s="4"/>
      <c r="C225" s="4"/>
      <c r="D225" s="4"/>
      <c r="E225" s="4"/>
      <c r="F225" s="4"/>
      <c r="G225" s="4"/>
      <c r="H225" s="4"/>
      <c r="I225" s="4"/>
      <c r="J225" s="9" t="e">
        <f t="shared" si="51"/>
        <v>#DIV/0!</v>
      </c>
      <c r="K225" s="4"/>
      <c r="L225" s="4"/>
      <c r="M225" s="4"/>
      <c r="N225" s="4"/>
      <c r="O225" s="7"/>
      <c r="P225" s="7"/>
      <c r="Q225" s="4"/>
      <c r="R225" s="9" t="e">
        <f t="shared" si="52"/>
        <v>#DIV/0!</v>
      </c>
      <c r="S225" s="4" t="s">
        <v>161</v>
      </c>
      <c r="T225" s="4"/>
      <c r="U225" s="10"/>
      <c r="V225" s="10"/>
      <c r="W225" s="10"/>
      <c r="X225" s="10"/>
      <c r="Y225" s="10"/>
      <c r="Z225" s="10"/>
      <c r="AA225" s="11" t="e">
        <f t="shared" si="53"/>
        <v>#DIV/0!</v>
      </c>
      <c r="AB225" s="11">
        <f t="shared" si="54"/>
        <v>9</v>
      </c>
      <c r="AC225" s="11">
        <f t="shared" si="55"/>
        <v>8</v>
      </c>
      <c r="AD225" s="11" t="e">
        <f t="shared" si="56"/>
        <v>#DIV/0!</v>
      </c>
      <c r="AE225" s="11" t="e">
        <f t="shared" si="57"/>
        <v>#DIV/0!</v>
      </c>
      <c r="AF225" s="11" t="e">
        <f t="shared" si="58"/>
        <v>#DIV/0!</v>
      </c>
      <c r="AG225" s="11" t="e">
        <f t="shared" si="59"/>
        <v>#DIV/0!</v>
      </c>
      <c r="AH225" s="11" t="e">
        <f t="shared" si="60"/>
        <v>#DIV/0!</v>
      </c>
      <c r="AI225" s="10"/>
      <c r="AJ225" s="11" t="e">
        <f t="shared" si="61"/>
        <v>#DIV/0!</v>
      </c>
      <c r="AK225" s="11" t="e">
        <f t="shared" si="62"/>
        <v>#DIV/0!</v>
      </c>
      <c r="AL225" s="11" t="e">
        <f t="shared" si="63"/>
        <v>#DIV/0!</v>
      </c>
    </row>
    <row r="226" spans="2:38" x14ac:dyDescent="0.2">
      <c r="B226" s="4"/>
      <c r="C226" s="4"/>
      <c r="D226" s="4"/>
      <c r="E226" s="4"/>
      <c r="F226" s="4"/>
      <c r="G226" s="4"/>
      <c r="H226" s="4"/>
      <c r="I226" s="4"/>
      <c r="J226" s="9" t="e">
        <f t="shared" si="51"/>
        <v>#DIV/0!</v>
      </c>
      <c r="K226" s="4"/>
      <c r="L226" s="4"/>
      <c r="M226" s="4"/>
      <c r="N226" s="4"/>
      <c r="O226" s="7"/>
      <c r="P226" s="7"/>
      <c r="Q226" s="4"/>
      <c r="R226" s="9" t="e">
        <f t="shared" si="52"/>
        <v>#DIV/0!</v>
      </c>
      <c r="S226" s="4" t="s">
        <v>161</v>
      </c>
      <c r="T226" s="4"/>
      <c r="U226" s="10"/>
      <c r="V226" s="10"/>
      <c r="W226" s="10"/>
      <c r="X226" s="10"/>
      <c r="Y226" s="10"/>
      <c r="Z226" s="10"/>
      <c r="AA226" s="11" t="e">
        <f t="shared" si="53"/>
        <v>#DIV/0!</v>
      </c>
      <c r="AB226" s="11">
        <f t="shared" si="54"/>
        <v>9</v>
      </c>
      <c r="AC226" s="11">
        <f t="shared" si="55"/>
        <v>8</v>
      </c>
      <c r="AD226" s="11" t="e">
        <f t="shared" si="56"/>
        <v>#DIV/0!</v>
      </c>
      <c r="AE226" s="11" t="e">
        <f t="shared" si="57"/>
        <v>#DIV/0!</v>
      </c>
      <c r="AF226" s="11" t="e">
        <f t="shared" si="58"/>
        <v>#DIV/0!</v>
      </c>
      <c r="AG226" s="11" t="e">
        <f t="shared" si="59"/>
        <v>#DIV/0!</v>
      </c>
      <c r="AH226" s="11" t="e">
        <f t="shared" si="60"/>
        <v>#DIV/0!</v>
      </c>
      <c r="AI226" s="10"/>
      <c r="AJ226" s="11" t="e">
        <f t="shared" si="61"/>
        <v>#DIV/0!</v>
      </c>
      <c r="AK226" s="11" t="e">
        <f t="shared" si="62"/>
        <v>#DIV/0!</v>
      </c>
      <c r="AL226" s="11" t="e">
        <f t="shared" si="63"/>
        <v>#DIV/0!</v>
      </c>
    </row>
    <row r="227" spans="2:38" x14ac:dyDescent="0.2">
      <c r="B227" s="4"/>
      <c r="C227" s="4"/>
      <c r="D227" s="4"/>
      <c r="E227" s="4"/>
      <c r="F227" s="4"/>
      <c r="G227" s="4"/>
      <c r="H227" s="4"/>
      <c r="I227" s="4"/>
      <c r="J227" s="9" t="e">
        <f t="shared" si="51"/>
        <v>#DIV/0!</v>
      </c>
      <c r="K227" s="4"/>
      <c r="L227" s="4"/>
      <c r="M227" s="4"/>
      <c r="N227" s="4"/>
      <c r="O227" s="7"/>
      <c r="P227" s="7"/>
      <c r="Q227" s="4"/>
      <c r="R227" s="9" t="e">
        <f t="shared" si="52"/>
        <v>#DIV/0!</v>
      </c>
      <c r="S227" s="4" t="s">
        <v>161</v>
      </c>
      <c r="T227" s="4"/>
      <c r="U227" s="10"/>
      <c r="V227" s="10"/>
      <c r="W227" s="10"/>
      <c r="X227" s="10"/>
      <c r="Y227" s="10"/>
      <c r="Z227" s="10"/>
      <c r="AA227" s="11" t="e">
        <f t="shared" si="53"/>
        <v>#DIV/0!</v>
      </c>
      <c r="AB227" s="11">
        <f t="shared" si="54"/>
        <v>9</v>
      </c>
      <c r="AC227" s="11">
        <f t="shared" si="55"/>
        <v>8</v>
      </c>
      <c r="AD227" s="11" t="e">
        <f t="shared" si="56"/>
        <v>#DIV/0!</v>
      </c>
      <c r="AE227" s="11" t="e">
        <f t="shared" si="57"/>
        <v>#DIV/0!</v>
      </c>
      <c r="AF227" s="11" t="e">
        <f t="shared" si="58"/>
        <v>#DIV/0!</v>
      </c>
      <c r="AG227" s="11" t="e">
        <f t="shared" si="59"/>
        <v>#DIV/0!</v>
      </c>
      <c r="AH227" s="11" t="e">
        <f t="shared" si="60"/>
        <v>#DIV/0!</v>
      </c>
      <c r="AI227" s="10"/>
      <c r="AJ227" s="11" t="e">
        <f t="shared" si="61"/>
        <v>#DIV/0!</v>
      </c>
      <c r="AK227" s="11" t="e">
        <f t="shared" si="62"/>
        <v>#DIV/0!</v>
      </c>
      <c r="AL227" s="11" t="e">
        <f t="shared" si="63"/>
        <v>#DIV/0!</v>
      </c>
    </row>
    <row r="228" spans="2:38" x14ac:dyDescent="0.2">
      <c r="B228" s="4"/>
      <c r="C228" s="4"/>
      <c r="D228" s="4"/>
      <c r="E228" s="4"/>
      <c r="F228" s="4"/>
      <c r="G228" s="4"/>
      <c r="H228" s="4"/>
      <c r="I228" s="4"/>
      <c r="J228" s="9" t="e">
        <f t="shared" si="51"/>
        <v>#DIV/0!</v>
      </c>
      <c r="K228" s="4"/>
      <c r="L228" s="4"/>
      <c r="M228" s="4"/>
      <c r="N228" s="4"/>
      <c r="O228" s="7"/>
      <c r="P228" s="7"/>
      <c r="Q228" s="4"/>
      <c r="R228" s="9" t="e">
        <f t="shared" si="52"/>
        <v>#DIV/0!</v>
      </c>
      <c r="S228" s="4" t="s">
        <v>161</v>
      </c>
      <c r="T228" s="4"/>
      <c r="U228" s="10"/>
      <c r="V228" s="10"/>
      <c r="W228" s="10"/>
      <c r="X228" s="10"/>
      <c r="Y228" s="10"/>
      <c r="Z228" s="10"/>
      <c r="AA228" s="11" t="e">
        <f t="shared" si="53"/>
        <v>#DIV/0!</v>
      </c>
      <c r="AB228" s="11">
        <f t="shared" si="54"/>
        <v>9</v>
      </c>
      <c r="AC228" s="11">
        <f t="shared" si="55"/>
        <v>8</v>
      </c>
      <c r="AD228" s="11" t="e">
        <f t="shared" si="56"/>
        <v>#DIV/0!</v>
      </c>
      <c r="AE228" s="11" t="e">
        <f t="shared" si="57"/>
        <v>#DIV/0!</v>
      </c>
      <c r="AF228" s="11" t="e">
        <f t="shared" si="58"/>
        <v>#DIV/0!</v>
      </c>
      <c r="AG228" s="11" t="e">
        <f t="shared" si="59"/>
        <v>#DIV/0!</v>
      </c>
      <c r="AH228" s="11" t="e">
        <f t="shared" si="60"/>
        <v>#DIV/0!</v>
      </c>
      <c r="AI228" s="10"/>
      <c r="AJ228" s="11" t="e">
        <f t="shared" si="61"/>
        <v>#DIV/0!</v>
      </c>
      <c r="AK228" s="11" t="e">
        <f t="shared" si="62"/>
        <v>#DIV/0!</v>
      </c>
      <c r="AL228" s="11" t="e">
        <f t="shared" si="63"/>
        <v>#DIV/0!</v>
      </c>
    </row>
    <row r="229" spans="2:38" x14ac:dyDescent="0.2">
      <c r="B229" s="4"/>
      <c r="C229" s="4"/>
      <c r="D229" s="4"/>
      <c r="E229" s="4"/>
      <c r="F229" s="4"/>
      <c r="G229" s="4"/>
      <c r="H229" s="4"/>
      <c r="I229" s="4"/>
      <c r="J229" s="9" t="e">
        <f t="shared" si="51"/>
        <v>#DIV/0!</v>
      </c>
      <c r="K229" s="4"/>
      <c r="L229" s="4"/>
      <c r="M229" s="4"/>
      <c r="N229" s="4"/>
      <c r="O229" s="7"/>
      <c r="P229" s="7"/>
      <c r="Q229" s="4"/>
      <c r="R229" s="9" t="e">
        <f t="shared" si="52"/>
        <v>#DIV/0!</v>
      </c>
      <c r="S229" s="2" t="s">
        <v>162</v>
      </c>
      <c r="T229" s="4"/>
      <c r="U229" s="10"/>
      <c r="V229" s="10"/>
      <c r="W229" s="10"/>
      <c r="X229" s="10"/>
      <c r="Y229" s="10"/>
      <c r="Z229" s="10"/>
      <c r="AA229" s="11" t="e">
        <f t="shared" si="53"/>
        <v>#DIV/0!</v>
      </c>
      <c r="AB229" s="11">
        <f t="shared" si="54"/>
        <v>9</v>
      </c>
      <c r="AC229" s="11">
        <f t="shared" si="55"/>
        <v>8</v>
      </c>
      <c r="AD229" s="11" t="e">
        <f t="shared" si="56"/>
        <v>#DIV/0!</v>
      </c>
      <c r="AE229" s="11" t="e">
        <f t="shared" si="57"/>
        <v>#DIV/0!</v>
      </c>
      <c r="AF229" s="11" t="e">
        <f t="shared" si="58"/>
        <v>#DIV/0!</v>
      </c>
      <c r="AG229" s="11" t="e">
        <f t="shared" si="59"/>
        <v>#DIV/0!</v>
      </c>
      <c r="AH229" s="11" t="e">
        <f t="shared" si="60"/>
        <v>#DIV/0!</v>
      </c>
      <c r="AI229" s="10"/>
      <c r="AJ229" s="11" t="e">
        <f t="shared" si="61"/>
        <v>#DIV/0!</v>
      </c>
      <c r="AK229" s="11" t="e">
        <f t="shared" si="62"/>
        <v>#DIV/0!</v>
      </c>
      <c r="AL229" s="11" t="e">
        <f t="shared" si="63"/>
        <v>#DIV/0!</v>
      </c>
    </row>
    <row r="230" spans="2:38" x14ac:dyDescent="0.2">
      <c r="B230" s="4"/>
      <c r="C230" s="4"/>
      <c r="D230" s="4"/>
      <c r="E230" s="4"/>
      <c r="F230" s="4"/>
      <c r="G230" s="4"/>
      <c r="H230" s="4"/>
      <c r="I230" s="4"/>
      <c r="J230" s="9" t="e">
        <f t="shared" si="51"/>
        <v>#DIV/0!</v>
      </c>
      <c r="K230" s="4"/>
      <c r="L230" s="4"/>
      <c r="M230" s="4"/>
      <c r="N230" s="4"/>
      <c r="O230" s="7"/>
      <c r="P230" s="7"/>
      <c r="Q230" s="4"/>
      <c r="R230" s="9" t="e">
        <f t="shared" si="52"/>
        <v>#DIV/0!</v>
      </c>
      <c r="S230" s="2" t="s">
        <v>162</v>
      </c>
      <c r="T230" s="4"/>
      <c r="U230" s="10"/>
      <c r="V230" s="10"/>
      <c r="W230" s="10"/>
      <c r="X230" s="10"/>
      <c r="Y230" s="10"/>
      <c r="Z230" s="10"/>
      <c r="AA230" s="11" t="e">
        <f t="shared" si="53"/>
        <v>#DIV/0!</v>
      </c>
      <c r="AB230" s="11">
        <f t="shared" si="54"/>
        <v>9</v>
      </c>
      <c r="AC230" s="11">
        <f t="shared" si="55"/>
        <v>8</v>
      </c>
      <c r="AD230" s="11" t="e">
        <f t="shared" si="56"/>
        <v>#DIV/0!</v>
      </c>
      <c r="AE230" s="11" t="e">
        <f t="shared" si="57"/>
        <v>#DIV/0!</v>
      </c>
      <c r="AF230" s="11" t="e">
        <f t="shared" si="58"/>
        <v>#DIV/0!</v>
      </c>
      <c r="AG230" s="11" t="e">
        <f t="shared" si="59"/>
        <v>#DIV/0!</v>
      </c>
      <c r="AH230" s="11" t="e">
        <f t="shared" si="60"/>
        <v>#DIV/0!</v>
      </c>
      <c r="AI230" s="10"/>
      <c r="AJ230" s="11" t="e">
        <f t="shared" si="61"/>
        <v>#DIV/0!</v>
      </c>
      <c r="AK230" s="11" t="e">
        <f t="shared" si="62"/>
        <v>#DIV/0!</v>
      </c>
      <c r="AL230" s="11" t="e">
        <f t="shared" si="63"/>
        <v>#DIV/0!</v>
      </c>
    </row>
    <row r="231" spans="2:38" x14ac:dyDescent="0.2">
      <c r="B231" s="4"/>
      <c r="C231" s="4"/>
      <c r="D231" s="4"/>
      <c r="E231" s="4"/>
      <c r="F231" s="4"/>
      <c r="G231" s="4"/>
      <c r="H231" s="4"/>
      <c r="I231" s="4"/>
      <c r="J231" s="9" t="e">
        <f t="shared" si="51"/>
        <v>#DIV/0!</v>
      </c>
      <c r="K231" s="4"/>
      <c r="L231" s="4"/>
      <c r="M231" s="4"/>
      <c r="N231" s="4"/>
      <c r="O231" s="7"/>
      <c r="P231" s="7"/>
      <c r="Q231" s="4"/>
      <c r="R231" s="9" t="e">
        <f t="shared" si="52"/>
        <v>#DIV/0!</v>
      </c>
      <c r="S231" s="2" t="s">
        <v>162</v>
      </c>
      <c r="T231" s="4"/>
      <c r="U231" s="10"/>
      <c r="V231" s="10"/>
      <c r="W231" s="10"/>
      <c r="X231" s="10"/>
      <c r="Y231" s="10"/>
      <c r="Z231" s="10"/>
      <c r="AA231" s="11" t="e">
        <f t="shared" si="53"/>
        <v>#DIV/0!</v>
      </c>
      <c r="AB231" s="11">
        <f t="shared" si="54"/>
        <v>9</v>
      </c>
      <c r="AC231" s="11">
        <f t="shared" si="55"/>
        <v>8</v>
      </c>
      <c r="AD231" s="11" t="e">
        <f t="shared" si="56"/>
        <v>#DIV/0!</v>
      </c>
      <c r="AE231" s="11" t="e">
        <f t="shared" si="57"/>
        <v>#DIV/0!</v>
      </c>
      <c r="AF231" s="11" t="e">
        <f t="shared" si="58"/>
        <v>#DIV/0!</v>
      </c>
      <c r="AG231" s="11" t="e">
        <f t="shared" si="59"/>
        <v>#DIV/0!</v>
      </c>
      <c r="AH231" s="11" t="e">
        <f t="shared" si="60"/>
        <v>#DIV/0!</v>
      </c>
      <c r="AI231" s="10"/>
      <c r="AJ231" s="11" t="e">
        <f t="shared" si="61"/>
        <v>#DIV/0!</v>
      </c>
      <c r="AK231" s="11" t="e">
        <f t="shared" si="62"/>
        <v>#DIV/0!</v>
      </c>
      <c r="AL231" s="11" t="e">
        <f t="shared" si="63"/>
        <v>#DIV/0!</v>
      </c>
    </row>
    <row r="232" spans="2:38" x14ac:dyDescent="0.2">
      <c r="B232" s="4"/>
      <c r="C232" s="4"/>
      <c r="D232" s="4"/>
      <c r="E232" s="4"/>
      <c r="F232" s="4"/>
      <c r="G232" s="4"/>
      <c r="H232" s="4"/>
      <c r="I232" s="4"/>
      <c r="J232" s="9" t="e">
        <f t="shared" si="51"/>
        <v>#DIV/0!</v>
      </c>
      <c r="K232" s="4"/>
      <c r="L232" s="4"/>
      <c r="M232" s="4"/>
      <c r="N232" s="4"/>
      <c r="O232" s="7"/>
      <c r="P232" s="7"/>
      <c r="Q232" s="4"/>
      <c r="R232" s="9" t="e">
        <f t="shared" si="52"/>
        <v>#DIV/0!</v>
      </c>
      <c r="S232" s="2" t="s">
        <v>162</v>
      </c>
      <c r="T232" s="4"/>
      <c r="U232" s="10"/>
      <c r="V232" s="10"/>
      <c r="W232" s="10"/>
      <c r="X232" s="10"/>
      <c r="Y232" s="10"/>
      <c r="Z232" s="10"/>
      <c r="AA232" s="11" t="e">
        <f t="shared" si="53"/>
        <v>#DIV/0!</v>
      </c>
      <c r="AB232" s="11">
        <f t="shared" si="54"/>
        <v>9</v>
      </c>
      <c r="AC232" s="11">
        <f t="shared" si="55"/>
        <v>8</v>
      </c>
      <c r="AD232" s="11" t="e">
        <f t="shared" si="56"/>
        <v>#DIV/0!</v>
      </c>
      <c r="AE232" s="11" t="e">
        <f t="shared" si="57"/>
        <v>#DIV/0!</v>
      </c>
      <c r="AF232" s="11" t="e">
        <f t="shared" si="58"/>
        <v>#DIV/0!</v>
      </c>
      <c r="AG232" s="11" t="e">
        <f t="shared" si="59"/>
        <v>#DIV/0!</v>
      </c>
      <c r="AH232" s="11" t="e">
        <f t="shared" si="60"/>
        <v>#DIV/0!</v>
      </c>
      <c r="AI232" s="10"/>
      <c r="AJ232" s="11" t="e">
        <f t="shared" si="61"/>
        <v>#DIV/0!</v>
      </c>
      <c r="AK232" s="11" t="e">
        <f t="shared" si="62"/>
        <v>#DIV/0!</v>
      </c>
      <c r="AL232" s="11" t="e">
        <f t="shared" si="63"/>
        <v>#DIV/0!</v>
      </c>
    </row>
    <row r="233" spans="2:38" x14ac:dyDescent="0.2">
      <c r="B233" s="4"/>
      <c r="C233" s="4"/>
      <c r="D233" s="4"/>
      <c r="E233" s="4"/>
      <c r="F233" s="4"/>
      <c r="G233" s="4"/>
      <c r="H233" s="4"/>
      <c r="I233" s="4"/>
      <c r="J233" s="9" t="e">
        <f t="shared" si="51"/>
        <v>#DIV/0!</v>
      </c>
      <c r="K233" s="4"/>
      <c r="L233" s="4"/>
      <c r="M233" s="4"/>
      <c r="N233" s="4"/>
      <c r="O233" s="7"/>
      <c r="P233" s="7"/>
      <c r="Q233" s="4"/>
      <c r="R233" s="9" t="e">
        <f t="shared" si="52"/>
        <v>#DIV/0!</v>
      </c>
      <c r="S233" s="2" t="s">
        <v>162</v>
      </c>
      <c r="T233" s="4"/>
      <c r="U233" s="10"/>
      <c r="V233" s="10"/>
      <c r="W233" s="10"/>
      <c r="X233" s="10"/>
      <c r="Y233" s="10"/>
      <c r="Z233" s="10"/>
      <c r="AA233" s="11" t="e">
        <f t="shared" si="53"/>
        <v>#DIV/0!</v>
      </c>
      <c r="AB233" s="11">
        <f t="shared" si="54"/>
        <v>9</v>
      </c>
      <c r="AC233" s="11">
        <f t="shared" si="55"/>
        <v>8</v>
      </c>
      <c r="AD233" s="11" t="e">
        <f t="shared" si="56"/>
        <v>#DIV/0!</v>
      </c>
      <c r="AE233" s="11" t="e">
        <f t="shared" si="57"/>
        <v>#DIV/0!</v>
      </c>
      <c r="AF233" s="11" t="e">
        <f t="shared" si="58"/>
        <v>#DIV/0!</v>
      </c>
      <c r="AG233" s="11" t="e">
        <f t="shared" si="59"/>
        <v>#DIV/0!</v>
      </c>
      <c r="AH233" s="11" t="e">
        <f t="shared" si="60"/>
        <v>#DIV/0!</v>
      </c>
      <c r="AI233" s="10"/>
      <c r="AJ233" s="11" t="e">
        <f t="shared" si="61"/>
        <v>#DIV/0!</v>
      </c>
      <c r="AK233" s="11" t="e">
        <f t="shared" si="62"/>
        <v>#DIV/0!</v>
      </c>
      <c r="AL233" s="11" t="e">
        <f t="shared" si="63"/>
        <v>#DIV/0!</v>
      </c>
    </row>
    <row r="234" spans="2:38" x14ac:dyDescent="0.2">
      <c r="B234" s="4"/>
      <c r="C234" s="4"/>
      <c r="D234" s="4"/>
      <c r="E234" s="4"/>
      <c r="F234" s="4"/>
      <c r="G234" s="4"/>
      <c r="H234" s="4"/>
      <c r="I234" s="4"/>
      <c r="J234" s="9" t="e">
        <f t="shared" si="51"/>
        <v>#DIV/0!</v>
      </c>
      <c r="K234" s="4"/>
      <c r="L234" s="4"/>
      <c r="M234" s="4"/>
      <c r="N234" s="4"/>
      <c r="O234" s="7"/>
      <c r="P234" s="7"/>
      <c r="Q234" s="4"/>
      <c r="R234" s="9" t="e">
        <f t="shared" si="52"/>
        <v>#DIV/0!</v>
      </c>
      <c r="S234" s="2" t="s">
        <v>162</v>
      </c>
      <c r="T234" s="4"/>
      <c r="U234" s="10"/>
      <c r="V234" s="10"/>
      <c r="W234" s="10"/>
      <c r="X234" s="10"/>
      <c r="Y234" s="10"/>
      <c r="Z234" s="10"/>
      <c r="AA234" s="11" t="e">
        <f t="shared" si="53"/>
        <v>#DIV/0!</v>
      </c>
      <c r="AB234" s="11">
        <f t="shared" si="54"/>
        <v>9</v>
      </c>
      <c r="AC234" s="11">
        <f t="shared" si="55"/>
        <v>8</v>
      </c>
      <c r="AD234" s="11" t="e">
        <f t="shared" si="56"/>
        <v>#DIV/0!</v>
      </c>
      <c r="AE234" s="11" t="e">
        <f t="shared" si="57"/>
        <v>#DIV/0!</v>
      </c>
      <c r="AF234" s="11" t="e">
        <f t="shared" si="58"/>
        <v>#DIV/0!</v>
      </c>
      <c r="AG234" s="11" t="e">
        <f t="shared" si="59"/>
        <v>#DIV/0!</v>
      </c>
      <c r="AH234" s="11" t="e">
        <f t="shared" si="60"/>
        <v>#DIV/0!</v>
      </c>
      <c r="AI234" s="10"/>
      <c r="AJ234" s="11" t="e">
        <f t="shared" si="61"/>
        <v>#DIV/0!</v>
      </c>
      <c r="AK234" s="11" t="e">
        <f t="shared" si="62"/>
        <v>#DIV/0!</v>
      </c>
      <c r="AL234" s="11" t="e">
        <f t="shared" si="63"/>
        <v>#DIV/0!</v>
      </c>
    </row>
    <row r="235" spans="2:38" x14ac:dyDescent="0.2">
      <c r="B235" s="4"/>
      <c r="C235" s="4"/>
      <c r="D235" s="4"/>
      <c r="E235" s="4"/>
      <c r="F235" s="4"/>
      <c r="G235" s="4"/>
      <c r="H235" s="4"/>
      <c r="I235" s="4"/>
      <c r="J235" s="9" t="e">
        <f t="shared" si="51"/>
        <v>#DIV/0!</v>
      </c>
      <c r="K235" s="4"/>
      <c r="L235" s="4"/>
      <c r="M235" s="4"/>
      <c r="N235" s="4"/>
      <c r="O235" s="7"/>
      <c r="P235" s="7"/>
      <c r="Q235" s="4"/>
      <c r="R235" s="9" t="e">
        <f t="shared" si="52"/>
        <v>#DIV/0!</v>
      </c>
      <c r="S235" s="2" t="s">
        <v>162</v>
      </c>
      <c r="T235" s="4"/>
      <c r="U235" s="10"/>
      <c r="V235" s="10"/>
      <c r="W235" s="10"/>
      <c r="X235" s="10"/>
      <c r="Y235" s="10"/>
      <c r="Z235" s="10"/>
      <c r="AA235" s="11" t="e">
        <f t="shared" si="53"/>
        <v>#DIV/0!</v>
      </c>
      <c r="AB235" s="11">
        <f t="shared" si="54"/>
        <v>9</v>
      </c>
      <c r="AC235" s="11">
        <f t="shared" si="55"/>
        <v>8</v>
      </c>
      <c r="AD235" s="11" t="e">
        <f t="shared" si="56"/>
        <v>#DIV/0!</v>
      </c>
      <c r="AE235" s="11" t="e">
        <f t="shared" si="57"/>
        <v>#DIV/0!</v>
      </c>
      <c r="AF235" s="11" t="e">
        <f t="shared" si="58"/>
        <v>#DIV/0!</v>
      </c>
      <c r="AG235" s="11" t="e">
        <f t="shared" si="59"/>
        <v>#DIV/0!</v>
      </c>
      <c r="AH235" s="11" t="e">
        <f t="shared" si="60"/>
        <v>#DIV/0!</v>
      </c>
      <c r="AI235" s="10"/>
      <c r="AJ235" s="11" t="e">
        <f t="shared" si="61"/>
        <v>#DIV/0!</v>
      </c>
      <c r="AK235" s="11" t="e">
        <f t="shared" si="62"/>
        <v>#DIV/0!</v>
      </c>
      <c r="AL235" s="11" t="e">
        <f t="shared" si="63"/>
        <v>#DIV/0!</v>
      </c>
    </row>
    <row r="236" spans="2:38" x14ac:dyDescent="0.2">
      <c r="B236" s="4"/>
      <c r="C236" s="4"/>
      <c r="D236" s="4"/>
      <c r="E236" s="4"/>
      <c r="F236" s="4"/>
      <c r="G236" s="4"/>
      <c r="H236" s="4"/>
      <c r="I236" s="4"/>
      <c r="J236" s="9" t="e">
        <f t="shared" si="51"/>
        <v>#DIV/0!</v>
      </c>
      <c r="K236" s="4"/>
      <c r="L236" s="4"/>
      <c r="M236" s="4"/>
      <c r="N236" s="4"/>
      <c r="O236" s="7"/>
      <c r="P236" s="7"/>
      <c r="Q236" s="4"/>
      <c r="R236" s="9" t="e">
        <f t="shared" si="52"/>
        <v>#DIV/0!</v>
      </c>
      <c r="S236" s="2" t="s">
        <v>162</v>
      </c>
      <c r="T236" s="4"/>
      <c r="U236" s="10"/>
      <c r="V236" s="10"/>
      <c r="W236" s="10"/>
      <c r="X236" s="10"/>
      <c r="Y236" s="10"/>
      <c r="Z236" s="10"/>
      <c r="AA236" s="11" t="e">
        <f t="shared" si="53"/>
        <v>#DIV/0!</v>
      </c>
      <c r="AB236" s="11">
        <f t="shared" si="54"/>
        <v>9</v>
      </c>
      <c r="AC236" s="11">
        <f t="shared" si="55"/>
        <v>8</v>
      </c>
      <c r="AD236" s="11" t="e">
        <f t="shared" si="56"/>
        <v>#DIV/0!</v>
      </c>
      <c r="AE236" s="11" t="e">
        <f t="shared" si="57"/>
        <v>#DIV/0!</v>
      </c>
      <c r="AF236" s="11" t="e">
        <f t="shared" si="58"/>
        <v>#DIV/0!</v>
      </c>
      <c r="AG236" s="11" t="e">
        <f t="shared" si="59"/>
        <v>#DIV/0!</v>
      </c>
      <c r="AH236" s="11" t="e">
        <f t="shared" si="60"/>
        <v>#DIV/0!</v>
      </c>
      <c r="AI236" s="10"/>
      <c r="AJ236" s="11" t="e">
        <f t="shared" si="61"/>
        <v>#DIV/0!</v>
      </c>
      <c r="AK236" s="11" t="e">
        <f t="shared" si="62"/>
        <v>#DIV/0!</v>
      </c>
      <c r="AL236" s="11" t="e">
        <f t="shared" si="63"/>
        <v>#DIV/0!</v>
      </c>
    </row>
    <row r="237" spans="2:38" x14ac:dyDescent="0.2">
      <c r="B237" s="4"/>
      <c r="C237" s="4"/>
      <c r="D237" s="4"/>
      <c r="E237" s="4"/>
      <c r="F237" s="4"/>
      <c r="G237" s="4"/>
      <c r="H237" s="4"/>
      <c r="I237" s="4"/>
      <c r="J237" s="9" t="e">
        <f t="shared" si="51"/>
        <v>#DIV/0!</v>
      </c>
      <c r="K237" s="4"/>
      <c r="L237" s="4"/>
      <c r="M237" s="4"/>
      <c r="N237" s="4"/>
      <c r="O237" s="7"/>
      <c r="P237" s="7"/>
      <c r="Q237" s="4"/>
      <c r="R237" s="9" t="e">
        <f t="shared" si="52"/>
        <v>#DIV/0!</v>
      </c>
      <c r="S237" s="2" t="s">
        <v>162</v>
      </c>
      <c r="T237" s="4"/>
      <c r="U237" s="10"/>
      <c r="V237" s="10"/>
      <c r="W237" s="10"/>
      <c r="X237" s="10"/>
      <c r="Y237" s="10"/>
      <c r="Z237" s="10"/>
      <c r="AA237" s="11" t="e">
        <f t="shared" si="53"/>
        <v>#DIV/0!</v>
      </c>
      <c r="AB237" s="11">
        <f t="shared" si="54"/>
        <v>9</v>
      </c>
      <c r="AC237" s="11">
        <f t="shared" si="55"/>
        <v>8</v>
      </c>
      <c r="AD237" s="11" t="e">
        <f t="shared" si="56"/>
        <v>#DIV/0!</v>
      </c>
      <c r="AE237" s="11" t="e">
        <f t="shared" si="57"/>
        <v>#DIV/0!</v>
      </c>
      <c r="AF237" s="11" t="e">
        <f t="shared" si="58"/>
        <v>#DIV/0!</v>
      </c>
      <c r="AG237" s="11" t="e">
        <f t="shared" si="59"/>
        <v>#DIV/0!</v>
      </c>
      <c r="AH237" s="11" t="e">
        <f t="shared" si="60"/>
        <v>#DIV/0!</v>
      </c>
      <c r="AI237" s="10"/>
      <c r="AJ237" s="11" t="e">
        <f t="shared" si="61"/>
        <v>#DIV/0!</v>
      </c>
      <c r="AK237" s="11" t="e">
        <f t="shared" si="62"/>
        <v>#DIV/0!</v>
      </c>
      <c r="AL237" s="11" t="e">
        <f t="shared" si="63"/>
        <v>#DIV/0!</v>
      </c>
    </row>
    <row r="238" spans="2:38" x14ac:dyDescent="0.2">
      <c r="B238" s="4"/>
      <c r="C238" s="4"/>
      <c r="D238" s="4"/>
      <c r="E238" s="4"/>
      <c r="F238" s="4"/>
      <c r="G238" s="4"/>
      <c r="H238" s="4"/>
      <c r="I238" s="4"/>
      <c r="J238" s="9" t="e">
        <f t="shared" si="51"/>
        <v>#DIV/0!</v>
      </c>
      <c r="K238" s="4"/>
      <c r="L238" s="4"/>
      <c r="M238" s="4"/>
      <c r="N238" s="4"/>
      <c r="O238" s="7"/>
      <c r="P238" s="7"/>
      <c r="Q238" s="4"/>
      <c r="R238" s="9" t="e">
        <f t="shared" si="52"/>
        <v>#DIV/0!</v>
      </c>
      <c r="S238" s="2" t="s">
        <v>162</v>
      </c>
      <c r="T238" s="4"/>
      <c r="U238" s="10"/>
      <c r="V238" s="10"/>
      <c r="W238" s="10"/>
      <c r="X238" s="10"/>
      <c r="Y238" s="10"/>
      <c r="Z238" s="10"/>
      <c r="AA238" s="11" t="e">
        <f t="shared" si="53"/>
        <v>#DIV/0!</v>
      </c>
      <c r="AB238" s="11">
        <f t="shared" si="54"/>
        <v>9</v>
      </c>
      <c r="AC238" s="11">
        <f t="shared" si="55"/>
        <v>8</v>
      </c>
      <c r="AD238" s="11" t="e">
        <f t="shared" si="56"/>
        <v>#DIV/0!</v>
      </c>
      <c r="AE238" s="11" t="e">
        <f t="shared" si="57"/>
        <v>#DIV/0!</v>
      </c>
      <c r="AF238" s="11" t="e">
        <f t="shared" si="58"/>
        <v>#DIV/0!</v>
      </c>
      <c r="AG238" s="11" t="e">
        <f t="shared" si="59"/>
        <v>#DIV/0!</v>
      </c>
      <c r="AH238" s="11" t="e">
        <f t="shared" si="60"/>
        <v>#DIV/0!</v>
      </c>
      <c r="AI238" s="10"/>
      <c r="AJ238" s="11" t="e">
        <f t="shared" si="61"/>
        <v>#DIV/0!</v>
      </c>
      <c r="AK238" s="11" t="e">
        <f t="shared" si="62"/>
        <v>#DIV/0!</v>
      </c>
      <c r="AL238" s="11" t="e">
        <f t="shared" si="63"/>
        <v>#DIV/0!</v>
      </c>
    </row>
    <row r="239" spans="2:38" x14ac:dyDescent="0.2">
      <c r="B239" s="4"/>
      <c r="C239" s="4"/>
      <c r="D239" s="4"/>
      <c r="E239" s="4"/>
      <c r="F239" s="4"/>
      <c r="G239" s="4"/>
      <c r="H239" s="4"/>
      <c r="I239" s="4"/>
      <c r="J239" s="9" t="e">
        <f t="shared" si="51"/>
        <v>#DIV/0!</v>
      </c>
      <c r="K239" s="4"/>
      <c r="L239" s="4"/>
      <c r="M239" s="4"/>
      <c r="N239" s="4"/>
      <c r="O239" s="7"/>
      <c r="P239" s="7"/>
      <c r="Q239" s="4"/>
      <c r="R239" s="9" t="e">
        <f t="shared" si="52"/>
        <v>#DIV/0!</v>
      </c>
      <c r="S239" s="2" t="s">
        <v>162</v>
      </c>
      <c r="T239" s="4"/>
      <c r="U239" s="10"/>
      <c r="V239" s="10"/>
      <c r="W239" s="10"/>
      <c r="X239" s="10"/>
      <c r="Y239" s="10"/>
      <c r="Z239" s="10"/>
      <c r="AA239" s="11" t="e">
        <f t="shared" si="53"/>
        <v>#DIV/0!</v>
      </c>
      <c r="AB239" s="11">
        <f t="shared" si="54"/>
        <v>9</v>
      </c>
      <c r="AC239" s="11">
        <f t="shared" si="55"/>
        <v>8</v>
      </c>
      <c r="AD239" s="11" t="e">
        <f t="shared" si="56"/>
        <v>#DIV/0!</v>
      </c>
      <c r="AE239" s="11" t="e">
        <f t="shared" si="57"/>
        <v>#DIV/0!</v>
      </c>
      <c r="AF239" s="11" t="e">
        <f t="shared" si="58"/>
        <v>#DIV/0!</v>
      </c>
      <c r="AG239" s="11" t="e">
        <f t="shared" si="59"/>
        <v>#DIV/0!</v>
      </c>
      <c r="AH239" s="11" t="e">
        <f t="shared" si="60"/>
        <v>#DIV/0!</v>
      </c>
      <c r="AI239" s="10"/>
      <c r="AJ239" s="11" t="e">
        <f t="shared" si="61"/>
        <v>#DIV/0!</v>
      </c>
      <c r="AK239" s="11" t="e">
        <f t="shared" si="62"/>
        <v>#DIV/0!</v>
      </c>
      <c r="AL239" s="11" t="e">
        <f t="shared" si="63"/>
        <v>#DIV/0!</v>
      </c>
    </row>
    <row r="240" spans="2:38" x14ac:dyDescent="0.2">
      <c r="B240" s="4"/>
      <c r="C240" s="4"/>
      <c r="D240" s="4"/>
      <c r="E240" s="4"/>
      <c r="F240" s="4"/>
      <c r="G240" s="4"/>
      <c r="H240" s="4"/>
      <c r="I240" s="4"/>
      <c r="J240" s="9" t="e">
        <f t="shared" si="51"/>
        <v>#DIV/0!</v>
      </c>
      <c r="K240" s="4"/>
      <c r="L240" s="4"/>
      <c r="M240" s="4"/>
      <c r="N240" s="4"/>
      <c r="O240" s="7"/>
      <c r="P240" s="7"/>
      <c r="Q240" s="4"/>
      <c r="R240" s="9" t="e">
        <f t="shared" si="52"/>
        <v>#DIV/0!</v>
      </c>
      <c r="S240" s="2" t="s">
        <v>162</v>
      </c>
      <c r="T240" s="4"/>
      <c r="U240" s="10"/>
      <c r="V240" s="10"/>
      <c r="W240" s="10"/>
      <c r="X240" s="10"/>
      <c r="Y240" s="10"/>
      <c r="Z240" s="10"/>
      <c r="AA240" s="11" t="e">
        <f t="shared" si="53"/>
        <v>#DIV/0!</v>
      </c>
      <c r="AB240" s="11">
        <f t="shared" si="54"/>
        <v>9</v>
      </c>
      <c r="AC240" s="11">
        <f t="shared" si="55"/>
        <v>8</v>
      </c>
      <c r="AD240" s="11" t="e">
        <f t="shared" si="56"/>
        <v>#DIV/0!</v>
      </c>
      <c r="AE240" s="11" t="e">
        <f t="shared" si="57"/>
        <v>#DIV/0!</v>
      </c>
      <c r="AF240" s="11" t="e">
        <f t="shared" si="58"/>
        <v>#DIV/0!</v>
      </c>
      <c r="AG240" s="11" t="e">
        <f t="shared" si="59"/>
        <v>#DIV/0!</v>
      </c>
      <c r="AH240" s="11" t="e">
        <f t="shared" si="60"/>
        <v>#DIV/0!</v>
      </c>
      <c r="AI240" s="10"/>
      <c r="AJ240" s="11" t="e">
        <f t="shared" si="61"/>
        <v>#DIV/0!</v>
      </c>
      <c r="AK240" s="11" t="e">
        <f t="shared" si="62"/>
        <v>#DIV/0!</v>
      </c>
      <c r="AL240" s="11" t="e">
        <f t="shared" si="63"/>
        <v>#DIV/0!</v>
      </c>
    </row>
    <row r="241" spans="2:38" x14ac:dyDescent="0.2">
      <c r="B241" s="4"/>
      <c r="C241" s="4"/>
      <c r="D241" s="4"/>
      <c r="E241" s="4"/>
      <c r="F241" s="4"/>
      <c r="G241" s="4"/>
      <c r="H241" s="4"/>
      <c r="I241" s="4"/>
      <c r="J241" s="9" t="e">
        <f t="shared" si="51"/>
        <v>#DIV/0!</v>
      </c>
      <c r="K241" s="4"/>
      <c r="L241" s="4"/>
      <c r="M241" s="4"/>
      <c r="N241" s="4"/>
      <c r="O241" s="7"/>
      <c r="P241" s="7"/>
      <c r="Q241" s="4"/>
      <c r="R241" s="9" t="e">
        <f t="shared" si="52"/>
        <v>#DIV/0!</v>
      </c>
      <c r="S241" s="2" t="s">
        <v>162</v>
      </c>
      <c r="T241" s="4"/>
      <c r="U241" s="10"/>
      <c r="V241" s="10"/>
      <c r="W241" s="10"/>
      <c r="X241" s="10"/>
      <c r="Y241" s="10"/>
      <c r="Z241" s="10"/>
      <c r="AA241" s="11" t="e">
        <f t="shared" si="53"/>
        <v>#DIV/0!</v>
      </c>
      <c r="AB241" s="11">
        <f t="shared" si="54"/>
        <v>9</v>
      </c>
      <c r="AC241" s="11">
        <f t="shared" si="55"/>
        <v>8</v>
      </c>
      <c r="AD241" s="11" t="e">
        <f t="shared" si="56"/>
        <v>#DIV/0!</v>
      </c>
      <c r="AE241" s="11" t="e">
        <f t="shared" si="57"/>
        <v>#DIV/0!</v>
      </c>
      <c r="AF241" s="11" t="e">
        <f t="shared" si="58"/>
        <v>#DIV/0!</v>
      </c>
      <c r="AG241" s="11" t="e">
        <f t="shared" si="59"/>
        <v>#DIV/0!</v>
      </c>
      <c r="AH241" s="11" t="e">
        <f t="shared" si="60"/>
        <v>#DIV/0!</v>
      </c>
      <c r="AI241" s="10"/>
      <c r="AJ241" s="11" t="e">
        <f t="shared" si="61"/>
        <v>#DIV/0!</v>
      </c>
      <c r="AK241" s="11" t="e">
        <f t="shared" si="62"/>
        <v>#DIV/0!</v>
      </c>
      <c r="AL241" s="11" t="e">
        <f t="shared" si="63"/>
        <v>#DIV/0!</v>
      </c>
    </row>
    <row r="242" spans="2:38" x14ac:dyDescent="0.2">
      <c r="B242" s="4"/>
      <c r="C242" s="4"/>
      <c r="D242" s="4"/>
      <c r="E242" s="4"/>
      <c r="F242" s="4"/>
      <c r="G242" s="4"/>
      <c r="H242" s="4"/>
      <c r="I242" s="4"/>
      <c r="J242" s="9" t="e">
        <f t="shared" si="51"/>
        <v>#DIV/0!</v>
      </c>
      <c r="K242" s="4"/>
      <c r="L242" s="4"/>
      <c r="M242" s="4"/>
      <c r="N242" s="4"/>
      <c r="O242" s="7"/>
      <c r="P242" s="7"/>
      <c r="Q242" s="4"/>
      <c r="R242" s="9" t="e">
        <f t="shared" si="52"/>
        <v>#DIV/0!</v>
      </c>
      <c r="S242" s="2" t="s">
        <v>162</v>
      </c>
      <c r="T242" s="4"/>
      <c r="U242" s="10"/>
      <c r="V242" s="10"/>
      <c r="W242" s="10"/>
      <c r="X242" s="10"/>
      <c r="Y242" s="10"/>
      <c r="Z242" s="10"/>
      <c r="AA242" s="11" t="e">
        <f t="shared" si="53"/>
        <v>#DIV/0!</v>
      </c>
      <c r="AB242" s="11">
        <f t="shared" si="54"/>
        <v>9</v>
      </c>
      <c r="AC242" s="11">
        <f t="shared" si="55"/>
        <v>8</v>
      </c>
      <c r="AD242" s="11" t="e">
        <f t="shared" si="56"/>
        <v>#DIV/0!</v>
      </c>
      <c r="AE242" s="11" t="e">
        <f t="shared" si="57"/>
        <v>#DIV/0!</v>
      </c>
      <c r="AF242" s="11" t="e">
        <f t="shared" si="58"/>
        <v>#DIV/0!</v>
      </c>
      <c r="AG242" s="11" t="e">
        <f t="shared" si="59"/>
        <v>#DIV/0!</v>
      </c>
      <c r="AH242" s="11" t="e">
        <f t="shared" si="60"/>
        <v>#DIV/0!</v>
      </c>
      <c r="AI242" s="10"/>
      <c r="AJ242" s="11" t="e">
        <f t="shared" si="61"/>
        <v>#DIV/0!</v>
      </c>
      <c r="AK242" s="11" t="e">
        <f t="shared" si="62"/>
        <v>#DIV/0!</v>
      </c>
      <c r="AL242" s="11" t="e">
        <f t="shared" si="63"/>
        <v>#DIV/0!</v>
      </c>
    </row>
    <row r="243" spans="2:38" x14ac:dyDescent="0.2">
      <c r="B243" s="4"/>
      <c r="C243" s="4"/>
      <c r="D243" s="4"/>
      <c r="E243" s="4"/>
      <c r="F243" s="4"/>
      <c r="G243" s="4"/>
      <c r="H243" s="4"/>
      <c r="I243" s="4"/>
      <c r="J243" s="9" t="e">
        <f t="shared" si="51"/>
        <v>#DIV/0!</v>
      </c>
      <c r="K243" s="4"/>
      <c r="L243" s="4"/>
      <c r="M243" s="4"/>
      <c r="N243" s="4"/>
      <c r="O243" s="7"/>
      <c r="P243" s="7"/>
      <c r="Q243" s="4"/>
      <c r="R243" s="9" t="e">
        <f t="shared" si="52"/>
        <v>#DIV/0!</v>
      </c>
      <c r="S243" s="2" t="s">
        <v>163</v>
      </c>
      <c r="T243" s="4"/>
      <c r="U243" s="10"/>
      <c r="V243" s="10"/>
      <c r="W243" s="10"/>
      <c r="X243" s="10"/>
      <c r="Y243" s="10"/>
      <c r="Z243" s="10"/>
      <c r="AA243" s="11" t="e">
        <f t="shared" si="53"/>
        <v>#DIV/0!</v>
      </c>
      <c r="AB243" s="11">
        <f t="shared" si="54"/>
        <v>9</v>
      </c>
      <c r="AC243" s="11">
        <f t="shared" si="55"/>
        <v>8</v>
      </c>
      <c r="AD243" s="11" t="e">
        <f t="shared" si="56"/>
        <v>#DIV/0!</v>
      </c>
      <c r="AE243" s="11" t="e">
        <f t="shared" si="57"/>
        <v>#DIV/0!</v>
      </c>
      <c r="AF243" s="11" t="e">
        <f t="shared" si="58"/>
        <v>#DIV/0!</v>
      </c>
      <c r="AG243" s="11" t="e">
        <f t="shared" si="59"/>
        <v>#DIV/0!</v>
      </c>
      <c r="AH243" s="11" t="e">
        <f t="shared" si="60"/>
        <v>#DIV/0!</v>
      </c>
      <c r="AI243" s="10"/>
      <c r="AJ243" s="11" t="e">
        <f t="shared" si="61"/>
        <v>#DIV/0!</v>
      </c>
      <c r="AK243" s="11" t="e">
        <f t="shared" si="62"/>
        <v>#DIV/0!</v>
      </c>
      <c r="AL243" s="11" t="e">
        <f t="shared" si="63"/>
        <v>#DIV/0!</v>
      </c>
    </row>
    <row r="244" spans="2:38" x14ac:dyDescent="0.2">
      <c r="B244" s="4"/>
      <c r="C244" s="4"/>
      <c r="D244" s="4"/>
      <c r="E244" s="4"/>
      <c r="F244" s="4"/>
      <c r="G244" s="4"/>
      <c r="H244" s="4"/>
      <c r="I244" s="4"/>
      <c r="J244" s="9" t="e">
        <f t="shared" si="51"/>
        <v>#DIV/0!</v>
      </c>
      <c r="K244" s="4"/>
      <c r="L244" s="4"/>
      <c r="M244" s="4"/>
      <c r="N244" s="4"/>
      <c r="O244" s="7"/>
      <c r="P244" s="7"/>
      <c r="Q244" s="4"/>
      <c r="R244" s="9" t="e">
        <f t="shared" si="52"/>
        <v>#DIV/0!</v>
      </c>
      <c r="S244" s="2" t="s">
        <v>163</v>
      </c>
      <c r="T244" s="4"/>
      <c r="U244" s="10"/>
      <c r="V244" s="10"/>
      <c r="W244" s="10"/>
      <c r="X244" s="10"/>
      <c r="Y244" s="10"/>
      <c r="Z244" s="10"/>
      <c r="AA244" s="11" t="e">
        <f t="shared" si="53"/>
        <v>#DIV/0!</v>
      </c>
      <c r="AB244" s="11">
        <f t="shared" si="54"/>
        <v>9</v>
      </c>
      <c r="AC244" s="11">
        <f t="shared" si="55"/>
        <v>8</v>
      </c>
      <c r="AD244" s="11" t="e">
        <f t="shared" si="56"/>
        <v>#DIV/0!</v>
      </c>
      <c r="AE244" s="11" t="e">
        <f t="shared" si="57"/>
        <v>#DIV/0!</v>
      </c>
      <c r="AF244" s="11" t="e">
        <f t="shared" si="58"/>
        <v>#DIV/0!</v>
      </c>
      <c r="AG244" s="11" t="e">
        <f t="shared" si="59"/>
        <v>#DIV/0!</v>
      </c>
      <c r="AH244" s="11" t="e">
        <f t="shared" si="60"/>
        <v>#DIV/0!</v>
      </c>
      <c r="AI244" s="10"/>
      <c r="AJ244" s="11" t="e">
        <f t="shared" si="61"/>
        <v>#DIV/0!</v>
      </c>
      <c r="AK244" s="11" t="e">
        <f t="shared" si="62"/>
        <v>#DIV/0!</v>
      </c>
      <c r="AL244" s="11" t="e">
        <f t="shared" si="63"/>
        <v>#DIV/0!</v>
      </c>
    </row>
    <row r="245" spans="2:38" x14ac:dyDescent="0.2">
      <c r="B245" s="4"/>
      <c r="C245" s="4"/>
      <c r="D245" s="4"/>
      <c r="E245" s="4"/>
      <c r="F245" s="4"/>
      <c r="G245" s="4"/>
      <c r="H245" s="4"/>
      <c r="I245" s="4"/>
      <c r="J245" s="9" t="e">
        <f t="shared" si="51"/>
        <v>#DIV/0!</v>
      </c>
      <c r="K245" s="4"/>
      <c r="L245" s="4"/>
      <c r="M245" s="4"/>
      <c r="N245" s="4"/>
      <c r="O245" s="7"/>
      <c r="P245" s="7"/>
      <c r="Q245" s="4"/>
      <c r="R245" s="9" t="e">
        <f t="shared" si="52"/>
        <v>#DIV/0!</v>
      </c>
      <c r="S245" s="2" t="s">
        <v>163</v>
      </c>
      <c r="T245" s="4"/>
      <c r="U245" s="10"/>
      <c r="V245" s="10"/>
      <c r="W245" s="10"/>
      <c r="X245" s="10"/>
      <c r="Y245" s="10"/>
      <c r="Z245" s="10"/>
      <c r="AA245" s="11" t="e">
        <f t="shared" si="53"/>
        <v>#DIV/0!</v>
      </c>
      <c r="AB245" s="11">
        <f t="shared" si="54"/>
        <v>9</v>
      </c>
      <c r="AC245" s="11">
        <f t="shared" si="55"/>
        <v>8</v>
      </c>
      <c r="AD245" s="11" t="e">
        <f t="shared" si="56"/>
        <v>#DIV/0!</v>
      </c>
      <c r="AE245" s="11" t="e">
        <f t="shared" si="57"/>
        <v>#DIV/0!</v>
      </c>
      <c r="AF245" s="11" t="e">
        <f t="shared" si="58"/>
        <v>#DIV/0!</v>
      </c>
      <c r="AG245" s="11" t="e">
        <f t="shared" si="59"/>
        <v>#DIV/0!</v>
      </c>
      <c r="AH245" s="11" t="e">
        <f t="shared" si="60"/>
        <v>#DIV/0!</v>
      </c>
      <c r="AI245" s="10"/>
      <c r="AJ245" s="11" t="e">
        <f t="shared" si="61"/>
        <v>#DIV/0!</v>
      </c>
      <c r="AK245" s="11" t="e">
        <f t="shared" si="62"/>
        <v>#DIV/0!</v>
      </c>
      <c r="AL245" s="11" t="e">
        <f t="shared" si="63"/>
        <v>#DIV/0!</v>
      </c>
    </row>
    <row r="246" spans="2:38" x14ac:dyDescent="0.2">
      <c r="B246" s="4"/>
      <c r="C246" s="4"/>
      <c r="D246" s="4"/>
      <c r="E246" s="4"/>
      <c r="F246" s="4"/>
      <c r="G246" s="4"/>
      <c r="H246" s="4"/>
      <c r="I246" s="4"/>
      <c r="J246" s="9" t="e">
        <f t="shared" si="51"/>
        <v>#DIV/0!</v>
      </c>
      <c r="K246" s="4"/>
      <c r="L246" s="4"/>
      <c r="M246" s="4"/>
      <c r="N246" s="4"/>
      <c r="O246" s="7"/>
      <c r="P246" s="7"/>
      <c r="Q246" s="4"/>
      <c r="R246" s="9" t="e">
        <f t="shared" si="52"/>
        <v>#DIV/0!</v>
      </c>
      <c r="S246" s="2" t="s">
        <v>163</v>
      </c>
      <c r="T246" s="4"/>
      <c r="U246" s="10"/>
      <c r="V246" s="10"/>
      <c r="W246" s="10"/>
      <c r="X246" s="10"/>
      <c r="Y246" s="10"/>
      <c r="Z246" s="10"/>
      <c r="AA246" s="11" t="e">
        <f t="shared" si="53"/>
        <v>#DIV/0!</v>
      </c>
      <c r="AB246" s="11">
        <f t="shared" si="54"/>
        <v>9</v>
      </c>
      <c r="AC246" s="11">
        <f t="shared" si="55"/>
        <v>8</v>
      </c>
      <c r="AD246" s="11" t="e">
        <f t="shared" si="56"/>
        <v>#DIV/0!</v>
      </c>
      <c r="AE246" s="11" t="e">
        <f t="shared" si="57"/>
        <v>#DIV/0!</v>
      </c>
      <c r="AF246" s="11" t="e">
        <f t="shared" si="58"/>
        <v>#DIV/0!</v>
      </c>
      <c r="AG246" s="11" t="e">
        <f t="shared" si="59"/>
        <v>#DIV/0!</v>
      </c>
      <c r="AH246" s="11" t="e">
        <f t="shared" si="60"/>
        <v>#DIV/0!</v>
      </c>
      <c r="AI246" s="10"/>
      <c r="AJ246" s="11" t="e">
        <f t="shared" si="61"/>
        <v>#DIV/0!</v>
      </c>
      <c r="AK246" s="11" t="e">
        <f t="shared" si="62"/>
        <v>#DIV/0!</v>
      </c>
      <c r="AL246" s="11" t="e">
        <f t="shared" si="63"/>
        <v>#DIV/0!</v>
      </c>
    </row>
    <row r="247" spans="2:38" x14ac:dyDescent="0.2">
      <c r="B247" s="4"/>
      <c r="C247" s="4"/>
      <c r="D247" s="4"/>
      <c r="E247" s="4"/>
      <c r="F247" s="4"/>
      <c r="G247" s="4"/>
      <c r="H247" s="4"/>
      <c r="I247" s="4"/>
      <c r="J247" s="9" t="e">
        <f t="shared" si="51"/>
        <v>#DIV/0!</v>
      </c>
      <c r="K247" s="4"/>
      <c r="L247" s="4"/>
      <c r="M247" s="4"/>
      <c r="N247" s="4"/>
      <c r="O247" s="7"/>
      <c r="P247" s="7"/>
      <c r="Q247" s="4"/>
      <c r="R247" s="9" t="e">
        <f t="shared" si="52"/>
        <v>#DIV/0!</v>
      </c>
      <c r="S247" s="2" t="s">
        <v>163</v>
      </c>
      <c r="T247" s="4"/>
      <c r="U247" s="10"/>
      <c r="V247" s="10"/>
      <c r="W247" s="10"/>
      <c r="X247" s="10"/>
      <c r="Y247" s="10"/>
      <c r="Z247" s="10"/>
      <c r="AA247" s="11" t="e">
        <f t="shared" si="53"/>
        <v>#DIV/0!</v>
      </c>
      <c r="AB247" s="11">
        <f t="shared" si="54"/>
        <v>9</v>
      </c>
      <c r="AC247" s="11">
        <f t="shared" si="55"/>
        <v>8</v>
      </c>
      <c r="AD247" s="11" t="e">
        <f t="shared" si="56"/>
        <v>#DIV/0!</v>
      </c>
      <c r="AE247" s="11" t="e">
        <f t="shared" si="57"/>
        <v>#DIV/0!</v>
      </c>
      <c r="AF247" s="11" t="e">
        <f t="shared" si="58"/>
        <v>#DIV/0!</v>
      </c>
      <c r="AG247" s="11" t="e">
        <f t="shared" si="59"/>
        <v>#DIV/0!</v>
      </c>
      <c r="AH247" s="11" t="e">
        <f t="shared" si="60"/>
        <v>#DIV/0!</v>
      </c>
      <c r="AI247" s="10"/>
      <c r="AJ247" s="11" t="e">
        <f t="shared" si="61"/>
        <v>#DIV/0!</v>
      </c>
      <c r="AK247" s="11" t="e">
        <f t="shared" si="62"/>
        <v>#DIV/0!</v>
      </c>
      <c r="AL247" s="11" t="e">
        <f t="shared" si="63"/>
        <v>#DIV/0!</v>
      </c>
    </row>
    <row r="248" spans="2:38" x14ac:dyDescent="0.2">
      <c r="B248" s="4"/>
      <c r="C248" s="4"/>
      <c r="D248" s="4"/>
      <c r="E248" s="4"/>
      <c r="F248" s="4"/>
      <c r="G248" s="4"/>
      <c r="H248" s="4"/>
      <c r="I248" s="4"/>
      <c r="J248" s="9" t="e">
        <f t="shared" si="51"/>
        <v>#DIV/0!</v>
      </c>
      <c r="K248" s="4"/>
      <c r="L248" s="4"/>
      <c r="M248" s="4"/>
      <c r="N248" s="4"/>
      <c r="O248" s="7"/>
      <c r="P248" s="7"/>
      <c r="Q248" s="4"/>
      <c r="R248" s="9" t="e">
        <f t="shared" si="52"/>
        <v>#DIV/0!</v>
      </c>
      <c r="S248" s="2" t="s">
        <v>163</v>
      </c>
      <c r="T248" s="4"/>
      <c r="U248" s="10"/>
      <c r="V248" s="10"/>
      <c r="W248" s="10"/>
      <c r="X248" s="10"/>
      <c r="Y248" s="10"/>
      <c r="Z248" s="10"/>
      <c r="AA248" s="11" t="e">
        <f t="shared" si="53"/>
        <v>#DIV/0!</v>
      </c>
      <c r="AB248" s="11">
        <f t="shared" si="54"/>
        <v>9</v>
      </c>
      <c r="AC248" s="11">
        <f t="shared" si="55"/>
        <v>8</v>
      </c>
      <c r="AD248" s="11" t="e">
        <f t="shared" si="56"/>
        <v>#DIV/0!</v>
      </c>
      <c r="AE248" s="11" t="e">
        <f t="shared" si="57"/>
        <v>#DIV/0!</v>
      </c>
      <c r="AF248" s="11" t="e">
        <f t="shared" si="58"/>
        <v>#DIV/0!</v>
      </c>
      <c r="AG248" s="11" t="e">
        <f t="shared" si="59"/>
        <v>#DIV/0!</v>
      </c>
      <c r="AH248" s="11" t="e">
        <f t="shared" si="60"/>
        <v>#DIV/0!</v>
      </c>
      <c r="AI248" s="10"/>
      <c r="AJ248" s="11" t="e">
        <f t="shared" si="61"/>
        <v>#DIV/0!</v>
      </c>
      <c r="AK248" s="11" t="e">
        <f t="shared" si="62"/>
        <v>#DIV/0!</v>
      </c>
      <c r="AL248" s="11" t="e">
        <f t="shared" si="63"/>
        <v>#DIV/0!</v>
      </c>
    </row>
    <row r="249" spans="2:38" x14ac:dyDescent="0.2">
      <c r="B249" s="4"/>
      <c r="C249" s="4"/>
      <c r="D249" s="4"/>
      <c r="E249" s="4"/>
      <c r="F249" s="4"/>
      <c r="G249" s="4"/>
      <c r="H249" s="4"/>
      <c r="I249" s="4"/>
      <c r="J249" s="9" t="e">
        <f t="shared" si="51"/>
        <v>#DIV/0!</v>
      </c>
      <c r="K249" s="4"/>
      <c r="L249" s="4"/>
      <c r="M249" s="4"/>
      <c r="N249" s="4"/>
      <c r="O249" s="7"/>
      <c r="P249" s="7"/>
      <c r="Q249" s="4"/>
      <c r="R249" s="9" t="e">
        <f t="shared" si="52"/>
        <v>#DIV/0!</v>
      </c>
      <c r="S249" s="2" t="s">
        <v>163</v>
      </c>
      <c r="T249" s="4"/>
      <c r="U249" s="10"/>
      <c r="V249" s="10"/>
      <c r="W249" s="10"/>
      <c r="X249" s="10"/>
      <c r="Y249" s="10"/>
      <c r="Z249" s="10"/>
      <c r="AA249" s="11" t="e">
        <f t="shared" si="53"/>
        <v>#DIV/0!</v>
      </c>
      <c r="AB249" s="11">
        <f t="shared" si="54"/>
        <v>9</v>
      </c>
      <c r="AC249" s="11">
        <f t="shared" si="55"/>
        <v>8</v>
      </c>
      <c r="AD249" s="11" t="e">
        <f t="shared" si="56"/>
        <v>#DIV/0!</v>
      </c>
      <c r="AE249" s="11" t="e">
        <f t="shared" si="57"/>
        <v>#DIV/0!</v>
      </c>
      <c r="AF249" s="11" t="e">
        <f t="shared" si="58"/>
        <v>#DIV/0!</v>
      </c>
      <c r="AG249" s="11" t="e">
        <f t="shared" si="59"/>
        <v>#DIV/0!</v>
      </c>
      <c r="AH249" s="11" t="e">
        <f t="shared" si="60"/>
        <v>#DIV/0!</v>
      </c>
      <c r="AI249" s="10"/>
      <c r="AJ249" s="11" t="e">
        <f t="shared" si="61"/>
        <v>#DIV/0!</v>
      </c>
      <c r="AK249" s="11" t="e">
        <f t="shared" si="62"/>
        <v>#DIV/0!</v>
      </c>
      <c r="AL249" s="11" t="e">
        <f t="shared" si="63"/>
        <v>#DIV/0!</v>
      </c>
    </row>
    <row r="250" spans="2:38" x14ac:dyDescent="0.2">
      <c r="B250" s="4"/>
      <c r="C250" s="4"/>
      <c r="D250" s="4"/>
      <c r="E250" s="4"/>
      <c r="F250" s="4"/>
      <c r="G250" s="4"/>
      <c r="H250" s="4"/>
      <c r="I250" s="4"/>
      <c r="J250" s="9" t="e">
        <f t="shared" ref="J250:J313" si="64">ROUND(I250/B250*162, 0)</f>
        <v>#DIV/0!</v>
      </c>
      <c r="K250" s="4"/>
      <c r="L250" s="4"/>
      <c r="M250" s="4"/>
      <c r="N250" s="4"/>
      <c r="O250" s="7"/>
      <c r="P250" s="7"/>
      <c r="Q250" s="4"/>
      <c r="R250" s="9" t="e">
        <f t="shared" ref="R250:R313" si="65">ROUND(Q250/B250*162, 0)</f>
        <v>#DIV/0!</v>
      </c>
      <c r="S250" s="2" t="s">
        <v>163</v>
      </c>
      <c r="T250" s="4"/>
      <c r="U250" s="10"/>
      <c r="V250" s="10"/>
      <c r="W250" s="10"/>
      <c r="X250" s="10"/>
      <c r="Y250" s="10"/>
      <c r="Z250" s="10"/>
      <c r="AA250" s="11" t="e">
        <f t="shared" ref="AA250:AA313" si="66">IF(R250=0,8,IF(R250&lt;2,9,IF(R250&lt;3,10,IF(R250&lt;4,11,IF(R250&lt;5,12,IF(R250&lt;7,13,IF(R250&lt;9,14,IF(R250&lt;11,15,IF(R250&lt;16,16,IF(R250&lt;21,17,IF(R250&lt;26,18,IF(R250&lt;31,19,IF(R250&lt;36,20,IF(R250&lt;41,21,IF(R250&lt;46,22,IF(R250&lt;51,23,24))))))))))))))))</f>
        <v>#DIV/0!</v>
      </c>
      <c r="AB250" s="11">
        <f t="shared" ref="AB250:AB313" si="67">IF(P250&lt;0.3,9,IF(P250&lt;0.34,10,IF(P250&lt;0.365,11,IF(P250&lt;0.39,12,IF(P250&lt;0.43,13,IF(P250&lt;0.475,14,IF(P250&lt;0.5,15,16)))))))</f>
        <v>9</v>
      </c>
      <c r="AC250" s="11">
        <f t="shared" ref="AC250:AC313" si="68">IF(O250&lt;0.2,8,IF(O250&lt;0.25,7,IF(O250&lt;0.3,6,IF(O250&lt;0.35,5,4))))</f>
        <v>8</v>
      </c>
      <c r="AD250" s="11" t="e">
        <f t="shared" ref="AD250:AD313" si="69">ROUND(L250/($L250+$M250+$N250)*$AC250, 0)</f>
        <v>#DIV/0!</v>
      </c>
      <c r="AE250" s="11" t="e">
        <f t="shared" ref="AE250:AE313" si="70">ROUND(M250/($L250+$M250+$N250)*$AC250, 0)</f>
        <v>#DIV/0!</v>
      </c>
      <c r="AF250" s="11" t="e">
        <f t="shared" ref="AF250:AF313" si="71">ROUND(N250/($L250+$M250+$N250)*$AC250, 0)</f>
        <v>#DIV/0!</v>
      </c>
      <c r="AG250" s="11" t="e">
        <f t="shared" ref="AG250:AG313" si="72">ROUND(K250/($K250+E250)*(AL250-AC250-1), 0)</f>
        <v>#DIV/0!</v>
      </c>
      <c r="AH250" s="11" t="e">
        <f t="shared" ref="AH250:AH313" si="73">ROUND(F250/($K250+$E250)*($AL250-$AC250-1), 0)</f>
        <v>#DIV/0!</v>
      </c>
      <c r="AI250" s="10"/>
      <c r="AJ250" s="11" t="e">
        <f t="shared" ref="AJ250:AJ313" si="74">ROUND(G250/($K250+$E250)*($AL250-$AC250-1), 0)</f>
        <v>#DIV/0!</v>
      </c>
      <c r="AK250" s="11" t="e">
        <f t="shared" ref="AK250:AK313" si="75">ROUND(H250/($K250+$E250)*($AL250-$AC250-1), 0)</f>
        <v>#DIV/0!</v>
      </c>
      <c r="AL250" s="11" t="e">
        <f t="shared" ref="AL250:AL313" si="76">IF(J250&lt;3,22,IF(J250&lt;10,21,IF(J250&lt;20,20,IF(J250&lt;30,19,IF(J250&lt;50,18,17)))))</f>
        <v>#DIV/0!</v>
      </c>
    </row>
    <row r="251" spans="2:38" x14ac:dyDescent="0.2">
      <c r="B251" s="4"/>
      <c r="C251" s="4"/>
      <c r="D251" s="4"/>
      <c r="E251" s="4"/>
      <c r="F251" s="4"/>
      <c r="G251" s="4"/>
      <c r="H251" s="4"/>
      <c r="I251" s="4"/>
      <c r="J251" s="9" t="e">
        <f t="shared" si="64"/>
        <v>#DIV/0!</v>
      </c>
      <c r="K251" s="4"/>
      <c r="L251" s="4"/>
      <c r="M251" s="4"/>
      <c r="N251" s="4"/>
      <c r="O251" s="7"/>
      <c r="P251" s="7"/>
      <c r="Q251" s="4"/>
      <c r="R251" s="9" t="e">
        <f t="shared" si="65"/>
        <v>#DIV/0!</v>
      </c>
      <c r="S251" s="2" t="s">
        <v>163</v>
      </c>
      <c r="T251" s="4"/>
      <c r="U251" s="10"/>
      <c r="V251" s="10"/>
      <c r="W251" s="10"/>
      <c r="X251" s="10"/>
      <c r="Y251" s="10"/>
      <c r="Z251" s="10"/>
      <c r="AA251" s="11" t="e">
        <f t="shared" si="66"/>
        <v>#DIV/0!</v>
      </c>
      <c r="AB251" s="11">
        <f t="shared" si="67"/>
        <v>9</v>
      </c>
      <c r="AC251" s="11">
        <f t="shared" si="68"/>
        <v>8</v>
      </c>
      <c r="AD251" s="11" t="e">
        <f t="shared" si="69"/>
        <v>#DIV/0!</v>
      </c>
      <c r="AE251" s="11" t="e">
        <f t="shared" si="70"/>
        <v>#DIV/0!</v>
      </c>
      <c r="AF251" s="11" t="e">
        <f t="shared" si="71"/>
        <v>#DIV/0!</v>
      </c>
      <c r="AG251" s="11" t="e">
        <f t="shared" si="72"/>
        <v>#DIV/0!</v>
      </c>
      <c r="AH251" s="11" t="e">
        <f t="shared" si="73"/>
        <v>#DIV/0!</v>
      </c>
      <c r="AI251" s="10"/>
      <c r="AJ251" s="11" t="e">
        <f t="shared" si="74"/>
        <v>#DIV/0!</v>
      </c>
      <c r="AK251" s="11" t="e">
        <f t="shared" si="75"/>
        <v>#DIV/0!</v>
      </c>
      <c r="AL251" s="11" t="e">
        <f t="shared" si="76"/>
        <v>#DIV/0!</v>
      </c>
    </row>
    <row r="252" spans="2:38" x14ac:dyDescent="0.2">
      <c r="B252" s="4"/>
      <c r="C252" s="4"/>
      <c r="D252" s="4"/>
      <c r="E252" s="4"/>
      <c r="F252" s="4"/>
      <c r="G252" s="4"/>
      <c r="H252" s="4"/>
      <c r="I252" s="4"/>
      <c r="J252" s="9" t="e">
        <f t="shared" si="64"/>
        <v>#DIV/0!</v>
      </c>
      <c r="K252" s="4"/>
      <c r="L252" s="4"/>
      <c r="M252" s="4"/>
      <c r="N252" s="4"/>
      <c r="O252" s="7"/>
      <c r="P252" s="7"/>
      <c r="Q252" s="4"/>
      <c r="R252" s="9" t="e">
        <f t="shared" si="65"/>
        <v>#DIV/0!</v>
      </c>
      <c r="S252" s="2" t="s">
        <v>163</v>
      </c>
      <c r="T252" s="4"/>
      <c r="U252" s="10"/>
      <c r="V252" s="10"/>
      <c r="W252" s="10"/>
      <c r="X252" s="10"/>
      <c r="Y252" s="10"/>
      <c r="Z252" s="10"/>
      <c r="AA252" s="11" t="e">
        <f t="shared" si="66"/>
        <v>#DIV/0!</v>
      </c>
      <c r="AB252" s="11">
        <f t="shared" si="67"/>
        <v>9</v>
      </c>
      <c r="AC252" s="11">
        <f t="shared" si="68"/>
        <v>8</v>
      </c>
      <c r="AD252" s="11" t="e">
        <f t="shared" si="69"/>
        <v>#DIV/0!</v>
      </c>
      <c r="AE252" s="11" t="e">
        <f t="shared" si="70"/>
        <v>#DIV/0!</v>
      </c>
      <c r="AF252" s="11" t="e">
        <f t="shared" si="71"/>
        <v>#DIV/0!</v>
      </c>
      <c r="AG252" s="11" t="e">
        <f t="shared" si="72"/>
        <v>#DIV/0!</v>
      </c>
      <c r="AH252" s="11" t="e">
        <f t="shared" si="73"/>
        <v>#DIV/0!</v>
      </c>
      <c r="AI252" s="10"/>
      <c r="AJ252" s="11" t="e">
        <f t="shared" si="74"/>
        <v>#DIV/0!</v>
      </c>
      <c r="AK252" s="11" t="e">
        <f t="shared" si="75"/>
        <v>#DIV/0!</v>
      </c>
      <c r="AL252" s="11" t="e">
        <f t="shared" si="76"/>
        <v>#DIV/0!</v>
      </c>
    </row>
    <row r="253" spans="2:38" x14ac:dyDescent="0.2">
      <c r="B253" s="4"/>
      <c r="C253" s="4"/>
      <c r="D253" s="4"/>
      <c r="E253" s="4"/>
      <c r="F253" s="4"/>
      <c r="G253" s="4"/>
      <c r="H253" s="4"/>
      <c r="I253" s="4"/>
      <c r="J253" s="9" t="e">
        <f t="shared" si="64"/>
        <v>#DIV/0!</v>
      </c>
      <c r="K253" s="4"/>
      <c r="L253" s="4"/>
      <c r="M253" s="4"/>
      <c r="N253" s="4"/>
      <c r="O253" s="7"/>
      <c r="P253" s="7"/>
      <c r="Q253" s="4"/>
      <c r="R253" s="9" t="e">
        <f t="shared" si="65"/>
        <v>#DIV/0!</v>
      </c>
      <c r="S253" s="2" t="s">
        <v>163</v>
      </c>
      <c r="T253" s="4"/>
      <c r="U253" s="10"/>
      <c r="V253" s="10"/>
      <c r="W253" s="10"/>
      <c r="X253" s="10"/>
      <c r="Y253" s="10"/>
      <c r="Z253" s="10"/>
      <c r="AA253" s="11" t="e">
        <f t="shared" si="66"/>
        <v>#DIV/0!</v>
      </c>
      <c r="AB253" s="11">
        <f t="shared" si="67"/>
        <v>9</v>
      </c>
      <c r="AC253" s="11">
        <f t="shared" si="68"/>
        <v>8</v>
      </c>
      <c r="AD253" s="11" t="e">
        <f t="shared" si="69"/>
        <v>#DIV/0!</v>
      </c>
      <c r="AE253" s="11" t="e">
        <f t="shared" si="70"/>
        <v>#DIV/0!</v>
      </c>
      <c r="AF253" s="11" t="e">
        <f t="shared" si="71"/>
        <v>#DIV/0!</v>
      </c>
      <c r="AG253" s="11" t="e">
        <f t="shared" si="72"/>
        <v>#DIV/0!</v>
      </c>
      <c r="AH253" s="11" t="e">
        <f t="shared" si="73"/>
        <v>#DIV/0!</v>
      </c>
      <c r="AI253" s="10"/>
      <c r="AJ253" s="11" t="e">
        <f t="shared" si="74"/>
        <v>#DIV/0!</v>
      </c>
      <c r="AK253" s="11" t="e">
        <f t="shared" si="75"/>
        <v>#DIV/0!</v>
      </c>
      <c r="AL253" s="11" t="e">
        <f t="shared" si="76"/>
        <v>#DIV/0!</v>
      </c>
    </row>
    <row r="254" spans="2:38" x14ac:dyDescent="0.2">
      <c r="B254" s="4"/>
      <c r="C254" s="4"/>
      <c r="D254" s="4"/>
      <c r="E254" s="4"/>
      <c r="F254" s="4"/>
      <c r="G254" s="4"/>
      <c r="H254" s="4"/>
      <c r="I254" s="4"/>
      <c r="J254" s="9" t="e">
        <f t="shared" si="64"/>
        <v>#DIV/0!</v>
      </c>
      <c r="K254" s="4"/>
      <c r="L254" s="4"/>
      <c r="M254" s="4"/>
      <c r="N254" s="4"/>
      <c r="O254" s="7"/>
      <c r="P254" s="7"/>
      <c r="Q254" s="4"/>
      <c r="R254" s="9" t="e">
        <f t="shared" si="65"/>
        <v>#DIV/0!</v>
      </c>
      <c r="S254" s="2" t="s">
        <v>163</v>
      </c>
      <c r="T254" s="4"/>
      <c r="U254" s="10"/>
      <c r="V254" s="10"/>
      <c r="W254" s="10"/>
      <c r="X254" s="10"/>
      <c r="Y254" s="10"/>
      <c r="Z254" s="10"/>
      <c r="AA254" s="11" t="e">
        <f t="shared" si="66"/>
        <v>#DIV/0!</v>
      </c>
      <c r="AB254" s="11">
        <f t="shared" si="67"/>
        <v>9</v>
      </c>
      <c r="AC254" s="11">
        <f t="shared" si="68"/>
        <v>8</v>
      </c>
      <c r="AD254" s="11" t="e">
        <f t="shared" si="69"/>
        <v>#DIV/0!</v>
      </c>
      <c r="AE254" s="11" t="e">
        <f t="shared" si="70"/>
        <v>#DIV/0!</v>
      </c>
      <c r="AF254" s="11" t="e">
        <f t="shared" si="71"/>
        <v>#DIV/0!</v>
      </c>
      <c r="AG254" s="11" t="e">
        <f t="shared" si="72"/>
        <v>#DIV/0!</v>
      </c>
      <c r="AH254" s="11" t="e">
        <f t="shared" si="73"/>
        <v>#DIV/0!</v>
      </c>
      <c r="AI254" s="10"/>
      <c r="AJ254" s="11" t="e">
        <f t="shared" si="74"/>
        <v>#DIV/0!</v>
      </c>
      <c r="AK254" s="11" t="e">
        <f t="shared" si="75"/>
        <v>#DIV/0!</v>
      </c>
      <c r="AL254" s="11" t="e">
        <f t="shared" si="76"/>
        <v>#DIV/0!</v>
      </c>
    </row>
    <row r="255" spans="2:38" x14ac:dyDescent="0.2">
      <c r="B255" s="4"/>
      <c r="C255" s="4"/>
      <c r="D255" s="4"/>
      <c r="E255" s="4"/>
      <c r="F255" s="4"/>
      <c r="G255" s="4"/>
      <c r="H255" s="4"/>
      <c r="I255" s="4"/>
      <c r="J255" s="9" t="e">
        <f t="shared" si="64"/>
        <v>#DIV/0!</v>
      </c>
      <c r="K255" s="4"/>
      <c r="L255" s="4"/>
      <c r="M255" s="4"/>
      <c r="N255" s="4"/>
      <c r="O255" s="7"/>
      <c r="P255" s="7"/>
      <c r="Q255" s="4"/>
      <c r="R255" s="9" t="e">
        <f t="shared" si="65"/>
        <v>#DIV/0!</v>
      </c>
      <c r="S255" s="2" t="s">
        <v>163</v>
      </c>
      <c r="T255" s="4"/>
      <c r="U255" s="10"/>
      <c r="V255" s="10"/>
      <c r="W255" s="10"/>
      <c r="X255" s="10"/>
      <c r="Y255" s="10"/>
      <c r="Z255" s="10"/>
      <c r="AA255" s="11" t="e">
        <f t="shared" si="66"/>
        <v>#DIV/0!</v>
      </c>
      <c r="AB255" s="11">
        <f t="shared" si="67"/>
        <v>9</v>
      </c>
      <c r="AC255" s="11">
        <f t="shared" si="68"/>
        <v>8</v>
      </c>
      <c r="AD255" s="11" t="e">
        <f t="shared" si="69"/>
        <v>#DIV/0!</v>
      </c>
      <c r="AE255" s="11" t="e">
        <f t="shared" si="70"/>
        <v>#DIV/0!</v>
      </c>
      <c r="AF255" s="11" t="e">
        <f t="shared" si="71"/>
        <v>#DIV/0!</v>
      </c>
      <c r="AG255" s="11" t="e">
        <f t="shared" si="72"/>
        <v>#DIV/0!</v>
      </c>
      <c r="AH255" s="11" t="e">
        <f t="shared" si="73"/>
        <v>#DIV/0!</v>
      </c>
      <c r="AI255" s="10"/>
      <c r="AJ255" s="11" t="e">
        <f t="shared" si="74"/>
        <v>#DIV/0!</v>
      </c>
      <c r="AK255" s="11" t="e">
        <f t="shared" si="75"/>
        <v>#DIV/0!</v>
      </c>
      <c r="AL255" s="11" t="e">
        <f t="shared" si="76"/>
        <v>#DIV/0!</v>
      </c>
    </row>
    <row r="256" spans="2:38" x14ac:dyDescent="0.2">
      <c r="B256" s="4"/>
      <c r="C256" s="4"/>
      <c r="D256" s="4"/>
      <c r="E256" s="4"/>
      <c r="F256" s="4"/>
      <c r="G256" s="4"/>
      <c r="H256" s="4"/>
      <c r="I256" s="4"/>
      <c r="J256" s="9" t="e">
        <f t="shared" si="64"/>
        <v>#DIV/0!</v>
      </c>
      <c r="K256" s="4"/>
      <c r="L256" s="4"/>
      <c r="M256" s="4"/>
      <c r="N256" s="4"/>
      <c r="O256" s="7"/>
      <c r="P256" s="7"/>
      <c r="Q256" s="4"/>
      <c r="R256" s="9" t="e">
        <f t="shared" si="65"/>
        <v>#DIV/0!</v>
      </c>
      <c r="S256" s="2" t="s">
        <v>163</v>
      </c>
      <c r="T256" s="4"/>
      <c r="U256" s="10"/>
      <c r="V256" s="10"/>
      <c r="W256" s="10"/>
      <c r="X256" s="10"/>
      <c r="Y256" s="10"/>
      <c r="Z256" s="10"/>
      <c r="AA256" s="11" t="e">
        <f t="shared" si="66"/>
        <v>#DIV/0!</v>
      </c>
      <c r="AB256" s="11">
        <f t="shared" si="67"/>
        <v>9</v>
      </c>
      <c r="AC256" s="11">
        <f t="shared" si="68"/>
        <v>8</v>
      </c>
      <c r="AD256" s="11" t="e">
        <f t="shared" si="69"/>
        <v>#DIV/0!</v>
      </c>
      <c r="AE256" s="11" t="e">
        <f t="shared" si="70"/>
        <v>#DIV/0!</v>
      </c>
      <c r="AF256" s="11" t="e">
        <f t="shared" si="71"/>
        <v>#DIV/0!</v>
      </c>
      <c r="AG256" s="11" t="e">
        <f t="shared" si="72"/>
        <v>#DIV/0!</v>
      </c>
      <c r="AH256" s="11" t="e">
        <f t="shared" si="73"/>
        <v>#DIV/0!</v>
      </c>
      <c r="AI256" s="10"/>
      <c r="AJ256" s="11" t="e">
        <f t="shared" si="74"/>
        <v>#DIV/0!</v>
      </c>
      <c r="AK256" s="11" t="e">
        <f t="shared" si="75"/>
        <v>#DIV/0!</v>
      </c>
      <c r="AL256" s="11" t="e">
        <f t="shared" si="76"/>
        <v>#DIV/0!</v>
      </c>
    </row>
    <row r="257" spans="2:38" x14ac:dyDescent="0.2">
      <c r="B257" s="4"/>
      <c r="C257" s="4"/>
      <c r="D257" s="4"/>
      <c r="E257" s="4"/>
      <c r="F257" s="4"/>
      <c r="G257" s="4"/>
      <c r="H257" s="4"/>
      <c r="I257" s="4"/>
      <c r="J257" s="9" t="e">
        <f t="shared" si="64"/>
        <v>#DIV/0!</v>
      </c>
      <c r="K257" s="4"/>
      <c r="L257" s="4"/>
      <c r="M257" s="4"/>
      <c r="N257" s="4"/>
      <c r="O257" s="7"/>
      <c r="P257" s="7"/>
      <c r="Q257" s="4"/>
      <c r="R257" s="9" t="e">
        <f t="shared" si="65"/>
        <v>#DIV/0!</v>
      </c>
      <c r="S257" s="4" t="s">
        <v>164</v>
      </c>
      <c r="T257" s="4"/>
      <c r="U257" s="10"/>
      <c r="V257" s="10"/>
      <c r="W257" s="10"/>
      <c r="X257" s="10"/>
      <c r="Y257" s="10"/>
      <c r="Z257" s="10"/>
      <c r="AA257" s="11" t="e">
        <f t="shared" si="66"/>
        <v>#DIV/0!</v>
      </c>
      <c r="AB257" s="11">
        <f t="shared" si="67"/>
        <v>9</v>
      </c>
      <c r="AC257" s="11">
        <f t="shared" si="68"/>
        <v>8</v>
      </c>
      <c r="AD257" s="11" t="e">
        <f t="shared" si="69"/>
        <v>#DIV/0!</v>
      </c>
      <c r="AE257" s="11" t="e">
        <f t="shared" si="70"/>
        <v>#DIV/0!</v>
      </c>
      <c r="AF257" s="11" t="e">
        <f t="shared" si="71"/>
        <v>#DIV/0!</v>
      </c>
      <c r="AG257" s="11" t="e">
        <f t="shared" si="72"/>
        <v>#DIV/0!</v>
      </c>
      <c r="AH257" s="11" t="e">
        <f t="shared" si="73"/>
        <v>#DIV/0!</v>
      </c>
      <c r="AI257" s="10"/>
      <c r="AJ257" s="11" t="e">
        <f t="shared" si="74"/>
        <v>#DIV/0!</v>
      </c>
      <c r="AK257" s="11" t="e">
        <f t="shared" si="75"/>
        <v>#DIV/0!</v>
      </c>
      <c r="AL257" s="11" t="e">
        <f t="shared" si="76"/>
        <v>#DIV/0!</v>
      </c>
    </row>
    <row r="258" spans="2:38" x14ac:dyDescent="0.2">
      <c r="B258" s="4"/>
      <c r="C258" s="4"/>
      <c r="D258" s="4"/>
      <c r="E258" s="4"/>
      <c r="F258" s="4"/>
      <c r="G258" s="4"/>
      <c r="H258" s="4"/>
      <c r="I258" s="4"/>
      <c r="J258" s="9" t="e">
        <f t="shared" si="64"/>
        <v>#DIV/0!</v>
      </c>
      <c r="K258" s="4"/>
      <c r="L258" s="4"/>
      <c r="M258" s="4"/>
      <c r="N258" s="4"/>
      <c r="O258" s="7"/>
      <c r="P258" s="7"/>
      <c r="Q258" s="4"/>
      <c r="R258" s="9" t="e">
        <f t="shared" si="65"/>
        <v>#DIV/0!</v>
      </c>
      <c r="S258" s="4" t="s">
        <v>164</v>
      </c>
      <c r="T258" s="4"/>
      <c r="U258" s="10"/>
      <c r="V258" s="10"/>
      <c r="W258" s="10"/>
      <c r="X258" s="10"/>
      <c r="Y258" s="10"/>
      <c r="Z258" s="10"/>
      <c r="AA258" s="11" t="e">
        <f t="shared" si="66"/>
        <v>#DIV/0!</v>
      </c>
      <c r="AB258" s="11">
        <f t="shared" si="67"/>
        <v>9</v>
      </c>
      <c r="AC258" s="11">
        <f t="shared" si="68"/>
        <v>8</v>
      </c>
      <c r="AD258" s="11" t="e">
        <f t="shared" si="69"/>
        <v>#DIV/0!</v>
      </c>
      <c r="AE258" s="11" t="e">
        <f t="shared" si="70"/>
        <v>#DIV/0!</v>
      </c>
      <c r="AF258" s="11" t="e">
        <f t="shared" si="71"/>
        <v>#DIV/0!</v>
      </c>
      <c r="AG258" s="11" t="e">
        <f t="shared" si="72"/>
        <v>#DIV/0!</v>
      </c>
      <c r="AH258" s="11" t="e">
        <f t="shared" si="73"/>
        <v>#DIV/0!</v>
      </c>
      <c r="AI258" s="10"/>
      <c r="AJ258" s="11" t="e">
        <f t="shared" si="74"/>
        <v>#DIV/0!</v>
      </c>
      <c r="AK258" s="11" t="e">
        <f t="shared" si="75"/>
        <v>#DIV/0!</v>
      </c>
      <c r="AL258" s="11" t="e">
        <f t="shared" si="76"/>
        <v>#DIV/0!</v>
      </c>
    </row>
    <row r="259" spans="2:38" x14ac:dyDescent="0.2">
      <c r="B259" s="4"/>
      <c r="C259" s="4"/>
      <c r="D259" s="4"/>
      <c r="E259" s="4"/>
      <c r="F259" s="4"/>
      <c r="G259" s="4"/>
      <c r="H259" s="4"/>
      <c r="I259" s="4"/>
      <c r="J259" s="9" t="e">
        <f t="shared" si="64"/>
        <v>#DIV/0!</v>
      </c>
      <c r="K259" s="4"/>
      <c r="L259" s="4"/>
      <c r="M259" s="4"/>
      <c r="N259" s="4"/>
      <c r="O259" s="7"/>
      <c r="P259" s="7"/>
      <c r="Q259" s="4"/>
      <c r="R259" s="9" t="e">
        <f t="shared" si="65"/>
        <v>#DIV/0!</v>
      </c>
      <c r="S259" s="4" t="s">
        <v>164</v>
      </c>
      <c r="T259" s="4"/>
      <c r="U259" s="10"/>
      <c r="V259" s="10"/>
      <c r="W259" s="10"/>
      <c r="X259" s="10"/>
      <c r="Y259" s="10"/>
      <c r="Z259" s="10"/>
      <c r="AA259" s="11" t="e">
        <f t="shared" si="66"/>
        <v>#DIV/0!</v>
      </c>
      <c r="AB259" s="11">
        <f t="shared" si="67"/>
        <v>9</v>
      </c>
      <c r="AC259" s="11">
        <f t="shared" si="68"/>
        <v>8</v>
      </c>
      <c r="AD259" s="11" t="e">
        <f t="shared" si="69"/>
        <v>#DIV/0!</v>
      </c>
      <c r="AE259" s="11" t="e">
        <f t="shared" si="70"/>
        <v>#DIV/0!</v>
      </c>
      <c r="AF259" s="11" t="e">
        <f t="shared" si="71"/>
        <v>#DIV/0!</v>
      </c>
      <c r="AG259" s="11" t="e">
        <f t="shared" si="72"/>
        <v>#DIV/0!</v>
      </c>
      <c r="AH259" s="11" t="e">
        <f t="shared" si="73"/>
        <v>#DIV/0!</v>
      </c>
      <c r="AI259" s="10"/>
      <c r="AJ259" s="11" t="e">
        <f t="shared" si="74"/>
        <v>#DIV/0!</v>
      </c>
      <c r="AK259" s="11" t="e">
        <f t="shared" si="75"/>
        <v>#DIV/0!</v>
      </c>
      <c r="AL259" s="11" t="e">
        <f t="shared" si="76"/>
        <v>#DIV/0!</v>
      </c>
    </row>
    <row r="260" spans="2:38" x14ac:dyDescent="0.2">
      <c r="B260" s="4"/>
      <c r="C260" s="4"/>
      <c r="D260" s="4"/>
      <c r="E260" s="4"/>
      <c r="F260" s="4"/>
      <c r="G260" s="4"/>
      <c r="H260" s="4"/>
      <c r="I260" s="4"/>
      <c r="J260" s="9" t="e">
        <f t="shared" si="64"/>
        <v>#DIV/0!</v>
      </c>
      <c r="K260" s="4"/>
      <c r="L260" s="4"/>
      <c r="M260" s="4"/>
      <c r="N260" s="4"/>
      <c r="O260" s="7"/>
      <c r="P260" s="7"/>
      <c r="Q260" s="4"/>
      <c r="R260" s="9" t="e">
        <f t="shared" si="65"/>
        <v>#DIV/0!</v>
      </c>
      <c r="S260" s="4" t="s">
        <v>164</v>
      </c>
      <c r="T260" s="4"/>
      <c r="U260" s="10"/>
      <c r="V260" s="10"/>
      <c r="W260" s="10"/>
      <c r="X260" s="10"/>
      <c r="Y260" s="10"/>
      <c r="Z260" s="10"/>
      <c r="AA260" s="11" t="e">
        <f t="shared" si="66"/>
        <v>#DIV/0!</v>
      </c>
      <c r="AB260" s="11">
        <f t="shared" si="67"/>
        <v>9</v>
      </c>
      <c r="AC260" s="11">
        <f t="shared" si="68"/>
        <v>8</v>
      </c>
      <c r="AD260" s="11" t="e">
        <f t="shared" si="69"/>
        <v>#DIV/0!</v>
      </c>
      <c r="AE260" s="11" t="e">
        <f t="shared" si="70"/>
        <v>#DIV/0!</v>
      </c>
      <c r="AF260" s="11" t="e">
        <f t="shared" si="71"/>
        <v>#DIV/0!</v>
      </c>
      <c r="AG260" s="11" t="e">
        <f t="shared" si="72"/>
        <v>#DIV/0!</v>
      </c>
      <c r="AH260" s="11" t="e">
        <f t="shared" si="73"/>
        <v>#DIV/0!</v>
      </c>
      <c r="AI260" s="10"/>
      <c r="AJ260" s="11" t="e">
        <f t="shared" si="74"/>
        <v>#DIV/0!</v>
      </c>
      <c r="AK260" s="11" t="e">
        <f t="shared" si="75"/>
        <v>#DIV/0!</v>
      </c>
      <c r="AL260" s="11" t="e">
        <f t="shared" si="76"/>
        <v>#DIV/0!</v>
      </c>
    </row>
    <row r="261" spans="2:38" x14ac:dyDescent="0.2">
      <c r="B261" s="4"/>
      <c r="C261" s="4"/>
      <c r="D261" s="4"/>
      <c r="E261" s="4"/>
      <c r="F261" s="4"/>
      <c r="G261" s="4"/>
      <c r="H261" s="4"/>
      <c r="I261" s="4"/>
      <c r="J261" s="9" t="e">
        <f t="shared" si="64"/>
        <v>#DIV/0!</v>
      </c>
      <c r="K261" s="4"/>
      <c r="L261" s="4"/>
      <c r="M261" s="4"/>
      <c r="N261" s="4"/>
      <c r="O261" s="7"/>
      <c r="P261" s="7"/>
      <c r="Q261" s="4"/>
      <c r="R261" s="9" t="e">
        <f t="shared" si="65"/>
        <v>#DIV/0!</v>
      </c>
      <c r="S261" s="4" t="s">
        <v>164</v>
      </c>
      <c r="T261" s="4"/>
      <c r="U261" s="10"/>
      <c r="V261" s="10"/>
      <c r="W261" s="10"/>
      <c r="X261" s="10"/>
      <c r="Y261" s="10"/>
      <c r="Z261" s="10"/>
      <c r="AA261" s="11" t="e">
        <f t="shared" si="66"/>
        <v>#DIV/0!</v>
      </c>
      <c r="AB261" s="11">
        <f t="shared" si="67"/>
        <v>9</v>
      </c>
      <c r="AC261" s="11">
        <f t="shared" si="68"/>
        <v>8</v>
      </c>
      <c r="AD261" s="11" t="e">
        <f t="shared" si="69"/>
        <v>#DIV/0!</v>
      </c>
      <c r="AE261" s="11" t="e">
        <f t="shared" si="70"/>
        <v>#DIV/0!</v>
      </c>
      <c r="AF261" s="11" t="e">
        <f t="shared" si="71"/>
        <v>#DIV/0!</v>
      </c>
      <c r="AG261" s="11" t="e">
        <f t="shared" si="72"/>
        <v>#DIV/0!</v>
      </c>
      <c r="AH261" s="11" t="e">
        <f t="shared" si="73"/>
        <v>#DIV/0!</v>
      </c>
      <c r="AI261" s="10"/>
      <c r="AJ261" s="11" t="e">
        <f t="shared" si="74"/>
        <v>#DIV/0!</v>
      </c>
      <c r="AK261" s="11" t="e">
        <f t="shared" si="75"/>
        <v>#DIV/0!</v>
      </c>
      <c r="AL261" s="11" t="e">
        <f t="shared" si="76"/>
        <v>#DIV/0!</v>
      </c>
    </row>
    <row r="262" spans="2:38" x14ac:dyDescent="0.2">
      <c r="B262" s="4"/>
      <c r="C262" s="4"/>
      <c r="D262" s="4"/>
      <c r="E262" s="4"/>
      <c r="F262" s="4"/>
      <c r="G262" s="4"/>
      <c r="H262" s="4"/>
      <c r="I262" s="4"/>
      <c r="J262" s="9" t="e">
        <f t="shared" si="64"/>
        <v>#DIV/0!</v>
      </c>
      <c r="K262" s="4"/>
      <c r="L262" s="4"/>
      <c r="M262" s="4"/>
      <c r="N262" s="4"/>
      <c r="O262" s="7"/>
      <c r="P262" s="7"/>
      <c r="Q262" s="4"/>
      <c r="R262" s="9" t="e">
        <f t="shared" si="65"/>
        <v>#DIV/0!</v>
      </c>
      <c r="S262" s="4" t="s">
        <v>164</v>
      </c>
      <c r="T262" s="4"/>
      <c r="U262" s="10"/>
      <c r="V262" s="10"/>
      <c r="W262" s="10"/>
      <c r="X262" s="10"/>
      <c r="Y262" s="10"/>
      <c r="Z262" s="10"/>
      <c r="AA262" s="11" t="e">
        <f t="shared" si="66"/>
        <v>#DIV/0!</v>
      </c>
      <c r="AB262" s="11">
        <f t="shared" si="67"/>
        <v>9</v>
      </c>
      <c r="AC262" s="11">
        <f t="shared" si="68"/>
        <v>8</v>
      </c>
      <c r="AD262" s="11" t="e">
        <f t="shared" si="69"/>
        <v>#DIV/0!</v>
      </c>
      <c r="AE262" s="11" t="e">
        <f t="shared" si="70"/>
        <v>#DIV/0!</v>
      </c>
      <c r="AF262" s="11" t="e">
        <f t="shared" si="71"/>
        <v>#DIV/0!</v>
      </c>
      <c r="AG262" s="11" t="e">
        <f t="shared" si="72"/>
        <v>#DIV/0!</v>
      </c>
      <c r="AH262" s="11" t="e">
        <f t="shared" si="73"/>
        <v>#DIV/0!</v>
      </c>
      <c r="AI262" s="10"/>
      <c r="AJ262" s="11" t="e">
        <f t="shared" si="74"/>
        <v>#DIV/0!</v>
      </c>
      <c r="AK262" s="11" t="e">
        <f t="shared" si="75"/>
        <v>#DIV/0!</v>
      </c>
      <c r="AL262" s="11" t="e">
        <f t="shared" si="76"/>
        <v>#DIV/0!</v>
      </c>
    </row>
    <row r="263" spans="2:38" x14ac:dyDescent="0.2">
      <c r="B263" s="4"/>
      <c r="C263" s="4"/>
      <c r="D263" s="4"/>
      <c r="E263" s="4"/>
      <c r="F263" s="4"/>
      <c r="G263" s="4"/>
      <c r="H263" s="4"/>
      <c r="I263" s="4"/>
      <c r="J263" s="9" t="e">
        <f t="shared" si="64"/>
        <v>#DIV/0!</v>
      </c>
      <c r="K263" s="4"/>
      <c r="L263" s="4"/>
      <c r="M263" s="4"/>
      <c r="N263" s="4"/>
      <c r="O263" s="7"/>
      <c r="P263" s="7"/>
      <c r="Q263" s="4"/>
      <c r="R263" s="9" t="e">
        <f t="shared" si="65"/>
        <v>#DIV/0!</v>
      </c>
      <c r="S263" s="4" t="s">
        <v>164</v>
      </c>
      <c r="T263" s="4"/>
      <c r="U263" s="10"/>
      <c r="V263" s="10"/>
      <c r="W263" s="10"/>
      <c r="X263" s="10"/>
      <c r="Y263" s="10"/>
      <c r="Z263" s="10"/>
      <c r="AA263" s="11" t="e">
        <f t="shared" si="66"/>
        <v>#DIV/0!</v>
      </c>
      <c r="AB263" s="11">
        <f t="shared" si="67"/>
        <v>9</v>
      </c>
      <c r="AC263" s="11">
        <f t="shared" si="68"/>
        <v>8</v>
      </c>
      <c r="AD263" s="11" t="e">
        <f t="shared" si="69"/>
        <v>#DIV/0!</v>
      </c>
      <c r="AE263" s="11" t="e">
        <f t="shared" si="70"/>
        <v>#DIV/0!</v>
      </c>
      <c r="AF263" s="11" t="e">
        <f t="shared" si="71"/>
        <v>#DIV/0!</v>
      </c>
      <c r="AG263" s="11" t="e">
        <f t="shared" si="72"/>
        <v>#DIV/0!</v>
      </c>
      <c r="AH263" s="11" t="e">
        <f t="shared" si="73"/>
        <v>#DIV/0!</v>
      </c>
      <c r="AI263" s="10"/>
      <c r="AJ263" s="11" t="e">
        <f t="shared" si="74"/>
        <v>#DIV/0!</v>
      </c>
      <c r="AK263" s="11" t="e">
        <f t="shared" si="75"/>
        <v>#DIV/0!</v>
      </c>
      <c r="AL263" s="11" t="e">
        <f t="shared" si="76"/>
        <v>#DIV/0!</v>
      </c>
    </row>
    <row r="264" spans="2:38" x14ac:dyDescent="0.2">
      <c r="B264" s="4"/>
      <c r="C264" s="4"/>
      <c r="D264" s="4"/>
      <c r="E264" s="4"/>
      <c r="F264" s="4"/>
      <c r="G264" s="4"/>
      <c r="H264" s="4"/>
      <c r="I264" s="4"/>
      <c r="J264" s="9" t="e">
        <f t="shared" si="64"/>
        <v>#DIV/0!</v>
      </c>
      <c r="K264" s="4"/>
      <c r="L264" s="4"/>
      <c r="M264" s="4"/>
      <c r="N264" s="4"/>
      <c r="O264" s="7"/>
      <c r="P264" s="7"/>
      <c r="Q264" s="4"/>
      <c r="R264" s="9" t="e">
        <f t="shared" si="65"/>
        <v>#DIV/0!</v>
      </c>
      <c r="S264" s="4" t="s">
        <v>164</v>
      </c>
      <c r="T264" s="4"/>
      <c r="U264" s="10"/>
      <c r="V264" s="10"/>
      <c r="W264" s="10"/>
      <c r="X264" s="10"/>
      <c r="Y264" s="10"/>
      <c r="Z264" s="10"/>
      <c r="AA264" s="11" t="e">
        <f t="shared" si="66"/>
        <v>#DIV/0!</v>
      </c>
      <c r="AB264" s="11">
        <f t="shared" si="67"/>
        <v>9</v>
      </c>
      <c r="AC264" s="11">
        <f t="shared" si="68"/>
        <v>8</v>
      </c>
      <c r="AD264" s="11" t="e">
        <f t="shared" si="69"/>
        <v>#DIV/0!</v>
      </c>
      <c r="AE264" s="11" t="e">
        <f t="shared" si="70"/>
        <v>#DIV/0!</v>
      </c>
      <c r="AF264" s="11" t="e">
        <f t="shared" si="71"/>
        <v>#DIV/0!</v>
      </c>
      <c r="AG264" s="11" t="e">
        <f t="shared" si="72"/>
        <v>#DIV/0!</v>
      </c>
      <c r="AH264" s="11" t="e">
        <f t="shared" si="73"/>
        <v>#DIV/0!</v>
      </c>
      <c r="AI264" s="10"/>
      <c r="AJ264" s="11" t="e">
        <f t="shared" si="74"/>
        <v>#DIV/0!</v>
      </c>
      <c r="AK264" s="11" t="e">
        <f t="shared" si="75"/>
        <v>#DIV/0!</v>
      </c>
      <c r="AL264" s="11" t="e">
        <f t="shared" si="76"/>
        <v>#DIV/0!</v>
      </c>
    </row>
    <row r="265" spans="2:38" x14ac:dyDescent="0.2">
      <c r="B265" s="4"/>
      <c r="C265" s="4"/>
      <c r="D265" s="4"/>
      <c r="E265" s="4"/>
      <c r="F265" s="4"/>
      <c r="G265" s="4"/>
      <c r="H265" s="4"/>
      <c r="I265" s="4"/>
      <c r="J265" s="9" t="e">
        <f t="shared" si="64"/>
        <v>#DIV/0!</v>
      </c>
      <c r="K265" s="4"/>
      <c r="L265" s="4"/>
      <c r="M265" s="4"/>
      <c r="N265" s="4"/>
      <c r="O265" s="7"/>
      <c r="P265" s="7"/>
      <c r="Q265" s="4"/>
      <c r="R265" s="9" t="e">
        <f t="shared" si="65"/>
        <v>#DIV/0!</v>
      </c>
      <c r="S265" s="4" t="s">
        <v>164</v>
      </c>
      <c r="T265" s="4"/>
      <c r="U265" s="10"/>
      <c r="V265" s="10"/>
      <c r="W265" s="10"/>
      <c r="X265" s="10"/>
      <c r="Y265" s="10"/>
      <c r="Z265" s="10"/>
      <c r="AA265" s="11" t="e">
        <f t="shared" si="66"/>
        <v>#DIV/0!</v>
      </c>
      <c r="AB265" s="11">
        <f t="shared" si="67"/>
        <v>9</v>
      </c>
      <c r="AC265" s="11">
        <f t="shared" si="68"/>
        <v>8</v>
      </c>
      <c r="AD265" s="11" t="e">
        <f t="shared" si="69"/>
        <v>#DIV/0!</v>
      </c>
      <c r="AE265" s="11" t="e">
        <f t="shared" si="70"/>
        <v>#DIV/0!</v>
      </c>
      <c r="AF265" s="11" t="e">
        <f t="shared" si="71"/>
        <v>#DIV/0!</v>
      </c>
      <c r="AG265" s="11" t="e">
        <f t="shared" si="72"/>
        <v>#DIV/0!</v>
      </c>
      <c r="AH265" s="11" t="e">
        <f t="shared" si="73"/>
        <v>#DIV/0!</v>
      </c>
      <c r="AI265" s="10"/>
      <c r="AJ265" s="11" t="e">
        <f t="shared" si="74"/>
        <v>#DIV/0!</v>
      </c>
      <c r="AK265" s="11" t="e">
        <f t="shared" si="75"/>
        <v>#DIV/0!</v>
      </c>
      <c r="AL265" s="11" t="e">
        <f t="shared" si="76"/>
        <v>#DIV/0!</v>
      </c>
    </row>
    <row r="266" spans="2:38" x14ac:dyDescent="0.2">
      <c r="B266" s="4"/>
      <c r="C266" s="4"/>
      <c r="D266" s="4"/>
      <c r="E266" s="4"/>
      <c r="F266" s="4"/>
      <c r="G266" s="4"/>
      <c r="H266" s="4"/>
      <c r="I266" s="4"/>
      <c r="J266" s="9" t="e">
        <f t="shared" si="64"/>
        <v>#DIV/0!</v>
      </c>
      <c r="K266" s="4"/>
      <c r="L266" s="4"/>
      <c r="M266" s="4"/>
      <c r="N266" s="4"/>
      <c r="O266" s="7"/>
      <c r="P266" s="7"/>
      <c r="Q266" s="4"/>
      <c r="R266" s="9" t="e">
        <f t="shared" si="65"/>
        <v>#DIV/0!</v>
      </c>
      <c r="S266" s="4" t="s">
        <v>164</v>
      </c>
      <c r="T266" s="4"/>
      <c r="U266" s="10"/>
      <c r="V266" s="10"/>
      <c r="W266" s="10"/>
      <c r="X266" s="10"/>
      <c r="Y266" s="10"/>
      <c r="Z266" s="10"/>
      <c r="AA266" s="11" t="e">
        <f t="shared" si="66"/>
        <v>#DIV/0!</v>
      </c>
      <c r="AB266" s="11">
        <f t="shared" si="67"/>
        <v>9</v>
      </c>
      <c r="AC266" s="11">
        <f t="shared" si="68"/>
        <v>8</v>
      </c>
      <c r="AD266" s="11" t="e">
        <f t="shared" si="69"/>
        <v>#DIV/0!</v>
      </c>
      <c r="AE266" s="11" t="e">
        <f t="shared" si="70"/>
        <v>#DIV/0!</v>
      </c>
      <c r="AF266" s="11" t="e">
        <f t="shared" si="71"/>
        <v>#DIV/0!</v>
      </c>
      <c r="AG266" s="11" t="e">
        <f t="shared" si="72"/>
        <v>#DIV/0!</v>
      </c>
      <c r="AH266" s="11" t="e">
        <f t="shared" si="73"/>
        <v>#DIV/0!</v>
      </c>
      <c r="AI266" s="10"/>
      <c r="AJ266" s="11" t="e">
        <f t="shared" si="74"/>
        <v>#DIV/0!</v>
      </c>
      <c r="AK266" s="11" t="e">
        <f t="shared" si="75"/>
        <v>#DIV/0!</v>
      </c>
      <c r="AL266" s="11" t="e">
        <f t="shared" si="76"/>
        <v>#DIV/0!</v>
      </c>
    </row>
    <row r="267" spans="2:38" x14ac:dyDescent="0.2">
      <c r="B267" s="4"/>
      <c r="C267" s="4"/>
      <c r="D267" s="4"/>
      <c r="E267" s="4"/>
      <c r="F267" s="4"/>
      <c r="G267" s="4"/>
      <c r="H267" s="4"/>
      <c r="I267" s="4"/>
      <c r="J267" s="9" t="e">
        <f t="shared" si="64"/>
        <v>#DIV/0!</v>
      </c>
      <c r="K267" s="4"/>
      <c r="L267" s="4"/>
      <c r="M267" s="4"/>
      <c r="N267" s="4"/>
      <c r="O267" s="7"/>
      <c r="P267" s="7"/>
      <c r="Q267" s="4"/>
      <c r="R267" s="9" t="e">
        <f t="shared" si="65"/>
        <v>#DIV/0!</v>
      </c>
      <c r="S267" s="4" t="s">
        <v>164</v>
      </c>
      <c r="T267" s="4"/>
      <c r="U267" s="10"/>
      <c r="V267" s="10"/>
      <c r="W267" s="10"/>
      <c r="X267" s="10"/>
      <c r="Y267" s="10"/>
      <c r="Z267" s="10"/>
      <c r="AA267" s="11" t="e">
        <f t="shared" si="66"/>
        <v>#DIV/0!</v>
      </c>
      <c r="AB267" s="11">
        <f t="shared" si="67"/>
        <v>9</v>
      </c>
      <c r="AC267" s="11">
        <f t="shared" si="68"/>
        <v>8</v>
      </c>
      <c r="AD267" s="11" t="e">
        <f t="shared" si="69"/>
        <v>#DIV/0!</v>
      </c>
      <c r="AE267" s="11" t="e">
        <f t="shared" si="70"/>
        <v>#DIV/0!</v>
      </c>
      <c r="AF267" s="11" t="e">
        <f t="shared" si="71"/>
        <v>#DIV/0!</v>
      </c>
      <c r="AG267" s="11" t="e">
        <f t="shared" si="72"/>
        <v>#DIV/0!</v>
      </c>
      <c r="AH267" s="11" t="e">
        <f t="shared" si="73"/>
        <v>#DIV/0!</v>
      </c>
      <c r="AI267" s="10"/>
      <c r="AJ267" s="11" t="e">
        <f t="shared" si="74"/>
        <v>#DIV/0!</v>
      </c>
      <c r="AK267" s="11" t="e">
        <f t="shared" si="75"/>
        <v>#DIV/0!</v>
      </c>
      <c r="AL267" s="11" t="e">
        <f t="shared" si="76"/>
        <v>#DIV/0!</v>
      </c>
    </row>
    <row r="268" spans="2:38" x14ac:dyDescent="0.2">
      <c r="B268" s="4"/>
      <c r="C268" s="4"/>
      <c r="D268" s="4"/>
      <c r="E268" s="4"/>
      <c r="F268" s="4"/>
      <c r="G268" s="4"/>
      <c r="H268" s="4"/>
      <c r="I268" s="4"/>
      <c r="J268" s="9" t="e">
        <f t="shared" si="64"/>
        <v>#DIV/0!</v>
      </c>
      <c r="K268" s="4"/>
      <c r="L268" s="4"/>
      <c r="M268" s="4"/>
      <c r="N268" s="4"/>
      <c r="O268" s="7"/>
      <c r="P268" s="7"/>
      <c r="Q268" s="4"/>
      <c r="R268" s="9" t="e">
        <f t="shared" si="65"/>
        <v>#DIV/0!</v>
      </c>
      <c r="S268" s="4" t="s">
        <v>164</v>
      </c>
      <c r="T268" s="4"/>
      <c r="U268" s="10"/>
      <c r="V268" s="10"/>
      <c r="W268" s="10"/>
      <c r="X268" s="10"/>
      <c r="Y268" s="10"/>
      <c r="Z268" s="10"/>
      <c r="AA268" s="11" t="e">
        <f t="shared" si="66"/>
        <v>#DIV/0!</v>
      </c>
      <c r="AB268" s="11">
        <f t="shared" si="67"/>
        <v>9</v>
      </c>
      <c r="AC268" s="11">
        <f t="shared" si="68"/>
        <v>8</v>
      </c>
      <c r="AD268" s="11" t="e">
        <f t="shared" si="69"/>
        <v>#DIV/0!</v>
      </c>
      <c r="AE268" s="11" t="e">
        <f t="shared" si="70"/>
        <v>#DIV/0!</v>
      </c>
      <c r="AF268" s="11" t="e">
        <f t="shared" si="71"/>
        <v>#DIV/0!</v>
      </c>
      <c r="AG268" s="11" t="e">
        <f t="shared" si="72"/>
        <v>#DIV/0!</v>
      </c>
      <c r="AH268" s="11" t="e">
        <f t="shared" si="73"/>
        <v>#DIV/0!</v>
      </c>
      <c r="AI268" s="10"/>
      <c r="AJ268" s="11" t="e">
        <f t="shared" si="74"/>
        <v>#DIV/0!</v>
      </c>
      <c r="AK268" s="11" t="e">
        <f t="shared" si="75"/>
        <v>#DIV/0!</v>
      </c>
      <c r="AL268" s="11" t="e">
        <f t="shared" si="76"/>
        <v>#DIV/0!</v>
      </c>
    </row>
    <row r="269" spans="2:38" x14ac:dyDescent="0.2">
      <c r="B269" s="4"/>
      <c r="C269" s="4"/>
      <c r="D269" s="4"/>
      <c r="E269" s="4"/>
      <c r="F269" s="4"/>
      <c r="G269" s="4"/>
      <c r="H269" s="4"/>
      <c r="I269" s="4"/>
      <c r="J269" s="9" t="e">
        <f t="shared" si="64"/>
        <v>#DIV/0!</v>
      </c>
      <c r="K269" s="4"/>
      <c r="L269" s="4"/>
      <c r="M269" s="4"/>
      <c r="N269" s="4"/>
      <c r="O269" s="7"/>
      <c r="P269" s="7"/>
      <c r="Q269" s="4"/>
      <c r="R269" s="9" t="e">
        <f t="shared" si="65"/>
        <v>#DIV/0!</v>
      </c>
      <c r="S269" s="4" t="s">
        <v>164</v>
      </c>
      <c r="T269" s="4"/>
      <c r="U269" s="10"/>
      <c r="V269" s="10"/>
      <c r="W269" s="10"/>
      <c r="X269" s="10"/>
      <c r="Y269" s="10"/>
      <c r="Z269" s="10"/>
      <c r="AA269" s="11" t="e">
        <f t="shared" si="66"/>
        <v>#DIV/0!</v>
      </c>
      <c r="AB269" s="11">
        <f t="shared" si="67"/>
        <v>9</v>
      </c>
      <c r="AC269" s="11">
        <f t="shared" si="68"/>
        <v>8</v>
      </c>
      <c r="AD269" s="11" t="e">
        <f t="shared" si="69"/>
        <v>#DIV/0!</v>
      </c>
      <c r="AE269" s="11" t="e">
        <f t="shared" si="70"/>
        <v>#DIV/0!</v>
      </c>
      <c r="AF269" s="11" t="e">
        <f t="shared" si="71"/>
        <v>#DIV/0!</v>
      </c>
      <c r="AG269" s="11" t="e">
        <f t="shared" si="72"/>
        <v>#DIV/0!</v>
      </c>
      <c r="AH269" s="11" t="e">
        <f t="shared" si="73"/>
        <v>#DIV/0!</v>
      </c>
      <c r="AI269" s="10"/>
      <c r="AJ269" s="11" t="e">
        <f t="shared" si="74"/>
        <v>#DIV/0!</v>
      </c>
      <c r="AK269" s="11" t="e">
        <f t="shared" si="75"/>
        <v>#DIV/0!</v>
      </c>
      <c r="AL269" s="11" t="e">
        <f t="shared" si="76"/>
        <v>#DIV/0!</v>
      </c>
    </row>
    <row r="270" spans="2:38" x14ac:dyDescent="0.2">
      <c r="B270" s="4"/>
      <c r="C270" s="4"/>
      <c r="D270" s="4"/>
      <c r="E270" s="4"/>
      <c r="F270" s="4"/>
      <c r="G270" s="4"/>
      <c r="H270" s="4"/>
      <c r="I270" s="4"/>
      <c r="J270" s="9" t="e">
        <f t="shared" si="64"/>
        <v>#DIV/0!</v>
      </c>
      <c r="K270" s="4"/>
      <c r="L270" s="4"/>
      <c r="M270" s="4"/>
      <c r="N270" s="4"/>
      <c r="O270" s="7"/>
      <c r="P270" s="7"/>
      <c r="Q270" s="4"/>
      <c r="R270" s="9" t="e">
        <f t="shared" si="65"/>
        <v>#DIV/0!</v>
      </c>
      <c r="S270" s="4" t="s">
        <v>165</v>
      </c>
      <c r="T270" s="4"/>
      <c r="U270" s="10"/>
      <c r="V270" s="10"/>
      <c r="W270" s="10"/>
      <c r="X270" s="10"/>
      <c r="Y270" s="10"/>
      <c r="Z270" s="10"/>
      <c r="AA270" s="11" t="e">
        <f t="shared" si="66"/>
        <v>#DIV/0!</v>
      </c>
      <c r="AB270" s="11">
        <f t="shared" si="67"/>
        <v>9</v>
      </c>
      <c r="AC270" s="11">
        <f t="shared" si="68"/>
        <v>8</v>
      </c>
      <c r="AD270" s="11" t="e">
        <f t="shared" si="69"/>
        <v>#DIV/0!</v>
      </c>
      <c r="AE270" s="11" t="e">
        <f t="shared" si="70"/>
        <v>#DIV/0!</v>
      </c>
      <c r="AF270" s="11" t="e">
        <f t="shared" si="71"/>
        <v>#DIV/0!</v>
      </c>
      <c r="AG270" s="11" t="e">
        <f t="shared" si="72"/>
        <v>#DIV/0!</v>
      </c>
      <c r="AH270" s="11" t="e">
        <f t="shared" si="73"/>
        <v>#DIV/0!</v>
      </c>
      <c r="AI270" s="10"/>
      <c r="AJ270" s="11" t="e">
        <f t="shared" si="74"/>
        <v>#DIV/0!</v>
      </c>
      <c r="AK270" s="11" t="e">
        <f t="shared" si="75"/>
        <v>#DIV/0!</v>
      </c>
      <c r="AL270" s="11" t="e">
        <f t="shared" si="76"/>
        <v>#DIV/0!</v>
      </c>
    </row>
    <row r="271" spans="2:38" x14ac:dyDescent="0.2">
      <c r="B271" s="4"/>
      <c r="C271" s="4"/>
      <c r="D271" s="4"/>
      <c r="E271" s="4"/>
      <c r="F271" s="4"/>
      <c r="G271" s="4"/>
      <c r="H271" s="4"/>
      <c r="I271" s="4"/>
      <c r="J271" s="9" t="e">
        <f t="shared" si="64"/>
        <v>#DIV/0!</v>
      </c>
      <c r="K271" s="4"/>
      <c r="L271" s="4"/>
      <c r="M271" s="4"/>
      <c r="N271" s="4"/>
      <c r="O271" s="7"/>
      <c r="P271" s="7"/>
      <c r="Q271" s="4"/>
      <c r="R271" s="9" t="e">
        <f t="shared" si="65"/>
        <v>#DIV/0!</v>
      </c>
      <c r="S271" s="4" t="s">
        <v>165</v>
      </c>
      <c r="T271" s="4"/>
      <c r="U271" s="10"/>
      <c r="V271" s="10"/>
      <c r="W271" s="10"/>
      <c r="X271" s="10"/>
      <c r="Y271" s="10"/>
      <c r="Z271" s="10"/>
      <c r="AA271" s="11" t="e">
        <f t="shared" si="66"/>
        <v>#DIV/0!</v>
      </c>
      <c r="AB271" s="11">
        <f t="shared" si="67"/>
        <v>9</v>
      </c>
      <c r="AC271" s="11">
        <f t="shared" si="68"/>
        <v>8</v>
      </c>
      <c r="AD271" s="11" t="e">
        <f t="shared" si="69"/>
        <v>#DIV/0!</v>
      </c>
      <c r="AE271" s="11" t="e">
        <f t="shared" si="70"/>
        <v>#DIV/0!</v>
      </c>
      <c r="AF271" s="11" t="e">
        <f t="shared" si="71"/>
        <v>#DIV/0!</v>
      </c>
      <c r="AG271" s="11" t="e">
        <f t="shared" si="72"/>
        <v>#DIV/0!</v>
      </c>
      <c r="AH271" s="11" t="e">
        <f t="shared" si="73"/>
        <v>#DIV/0!</v>
      </c>
      <c r="AI271" s="10"/>
      <c r="AJ271" s="11" t="e">
        <f t="shared" si="74"/>
        <v>#DIV/0!</v>
      </c>
      <c r="AK271" s="11" t="e">
        <f t="shared" si="75"/>
        <v>#DIV/0!</v>
      </c>
      <c r="AL271" s="11" t="e">
        <f t="shared" si="76"/>
        <v>#DIV/0!</v>
      </c>
    </row>
    <row r="272" spans="2:38" x14ac:dyDescent="0.2">
      <c r="B272" s="4"/>
      <c r="C272" s="4"/>
      <c r="D272" s="4"/>
      <c r="E272" s="4"/>
      <c r="F272" s="4"/>
      <c r="G272" s="4"/>
      <c r="H272" s="4"/>
      <c r="I272" s="4"/>
      <c r="J272" s="9" t="e">
        <f t="shared" si="64"/>
        <v>#DIV/0!</v>
      </c>
      <c r="K272" s="4"/>
      <c r="L272" s="4"/>
      <c r="M272" s="4"/>
      <c r="N272" s="4"/>
      <c r="O272" s="7"/>
      <c r="P272" s="7"/>
      <c r="Q272" s="4"/>
      <c r="R272" s="9" t="e">
        <f t="shared" si="65"/>
        <v>#DIV/0!</v>
      </c>
      <c r="S272" s="4" t="s">
        <v>165</v>
      </c>
      <c r="T272" s="4"/>
      <c r="U272" s="10"/>
      <c r="V272" s="10"/>
      <c r="W272" s="10"/>
      <c r="X272" s="10"/>
      <c r="Y272" s="10"/>
      <c r="Z272" s="10"/>
      <c r="AA272" s="11" t="e">
        <f t="shared" si="66"/>
        <v>#DIV/0!</v>
      </c>
      <c r="AB272" s="11">
        <f t="shared" si="67"/>
        <v>9</v>
      </c>
      <c r="AC272" s="11">
        <f t="shared" si="68"/>
        <v>8</v>
      </c>
      <c r="AD272" s="11" t="e">
        <f t="shared" si="69"/>
        <v>#DIV/0!</v>
      </c>
      <c r="AE272" s="11" t="e">
        <f t="shared" si="70"/>
        <v>#DIV/0!</v>
      </c>
      <c r="AF272" s="11" t="e">
        <f t="shared" si="71"/>
        <v>#DIV/0!</v>
      </c>
      <c r="AG272" s="11" t="e">
        <f t="shared" si="72"/>
        <v>#DIV/0!</v>
      </c>
      <c r="AH272" s="11" t="e">
        <f t="shared" si="73"/>
        <v>#DIV/0!</v>
      </c>
      <c r="AI272" s="10"/>
      <c r="AJ272" s="11" t="e">
        <f t="shared" si="74"/>
        <v>#DIV/0!</v>
      </c>
      <c r="AK272" s="11" t="e">
        <f t="shared" si="75"/>
        <v>#DIV/0!</v>
      </c>
      <c r="AL272" s="11" t="e">
        <f t="shared" si="76"/>
        <v>#DIV/0!</v>
      </c>
    </row>
    <row r="273" spans="2:38" x14ac:dyDescent="0.2">
      <c r="B273" s="4"/>
      <c r="C273" s="4"/>
      <c r="D273" s="4"/>
      <c r="E273" s="4"/>
      <c r="F273" s="4"/>
      <c r="G273" s="4"/>
      <c r="H273" s="4"/>
      <c r="I273" s="4"/>
      <c r="J273" s="9" t="e">
        <f t="shared" si="64"/>
        <v>#DIV/0!</v>
      </c>
      <c r="K273" s="4"/>
      <c r="L273" s="4"/>
      <c r="M273" s="4"/>
      <c r="N273" s="4"/>
      <c r="O273" s="7"/>
      <c r="P273" s="7"/>
      <c r="Q273" s="4"/>
      <c r="R273" s="9" t="e">
        <f t="shared" si="65"/>
        <v>#DIV/0!</v>
      </c>
      <c r="S273" s="4" t="s">
        <v>165</v>
      </c>
      <c r="T273" s="4"/>
      <c r="U273" s="10"/>
      <c r="V273" s="10"/>
      <c r="W273" s="10"/>
      <c r="X273" s="10"/>
      <c r="Y273" s="10"/>
      <c r="Z273" s="10"/>
      <c r="AA273" s="11" t="e">
        <f t="shared" si="66"/>
        <v>#DIV/0!</v>
      </c>
      <c r="AB273" s="11">
        <f t="shared" si="67"/>
        <v>9</v>
      </c>
      <c r="AC273" s="11">
        <f t="shared" si="68"/>
        <v>8</v>
      </c>
      <c r="AD273" s="11" t="e">
        <f t="shared" si="69"/>
        <v>#DIV/0!</v>
      </c>
      <c r="AE273" s="11" t="e">
        <f t="shared" si="70"/>
        <v>#DIV/0!</v>
      </c>
      <c r="AF273" s="11" t="e">
        <f t="shared" si="71"/>
        <v>#DIV/0!</v>
      </c>
      <c r="AG273" s="11" t="e">
        <f t="shared" si="72"/>
        <v>#DIV/0!</v>
      </c>
      <c r="AH273" s="11" t="e">
        <f t="shared" si="73"/>
        <v>#DIV/0!</v>
      </c>
      <c r="AI273" s="10"/>
      <c r="AJ273" s="11" t="e">
        <f t="shared" si="74"/>
        <v>#DIV/0!</v>
      </c>
      <c r="AK273" s="11" t="e">
        <f t="shared" si="75"/>
        <v>#DIV/0!</v>
      </c>
      <c r="AL273" s="11" t="e">
        <f t="shared" si="76"/>
        <v>#DIV/0!</v>
      </c>
    </row>
    <row r="274" spans="2:38" x14ac:dyDescent="0.2">
      <c r="B274" s="4"/>
      <c r="C274" s="4"/>
      <c r="D274" s="4"/>
      <c r="E274" s="4"/>
      <c r="F274" s="4"/>
      <c r="G274" s="4"/>
      <c r="H274" s="4"/>
      <c r="I274" s="4"/>
      <c r="J274" s="9" t="e">
        <f t="shared" si="64"/>
        <v>#DIV/0!</v>
      </c>
      <c r="K274" s="4"/>
      <c r="L274" s="4"/>
      <c r="M274" s="4"/>
      <c r="N274" s="4"/>
      <c r="O274" s="7"/>
      <c r="P274" s="7"/>
      <c r="Q274" s="4"/>
      <c r="R274" s="9" t="e">
        <f t="shared" si="65"/>
        <v>#DIV/0!</v>
      </c>
      <c r="S274" s="4" t="s">
        <v>165</v>
      </c>
      <c r="T274" s="4"/>
      <c r="U274" s="10"/>
      <c r="V274" s="10"/>
      <c r="W274" s="10"/>
      <c r="X274" s="10"/>
      <c r="Y274" s="10"/>
      <c r="Z274" s="10"/>
      <c r="AA274" s="11" t="e">
        <f t="shared" si="66"/>
        <v>#DIV/0!</v>
      </c>
      <c r="AB274" s="11">
        <f t="shared" si="67"/>
        <v>9</v>
      </c>
      <c r="AC274" s="11">
        <f t="shared" si="68"/>
        <v>8</v>
      </c>
      <c r="AD274" s="11" t="e">
        <f t="shared" si="69"/>
        <v>#DIV/0!</v>
      </c>
      <c r="AE274" s="11" t="e">
        <f t="shared" si="70"/>
        <v>#DIV/0!</v>
      </c>
      <c r="AF274" s="11" t="e">
        <f t="shared" si="71"/>
        <v>#DIV/0!</v>
      </c>
      <c r="AG274" s="11" t="e">
        <f t="shared" si="72"/>
        <v>#DIV/0!</v>
      </c>
      <c r="AH274" s="11" t="e">
        <f t="shared" si="73"/>
        <v>#DIV/0!</v>
      </c>
      <c r="AI274" s="10"/>
      <c r="AJ274" s="11" t="e">
        <f t="shared" si="74"/>
        <v>#DIV/0!</v>
      </c>
      <c r="AK274" s="11" t="e">
        <f t="shared" si="75"/>
        <v>#DIV/0!</v>
      </c>
      <c r="AL274" s="11" t="e">
        <f t="shared" si="76"/>
        <v>#DIV/0!</v>
      </c>
    </row>
    <row r="275" spans="2:38" x14ac:dyDescent="0.2">
      <c r="B275" s="4"/>
      <c r="C275" s="4"/>
      <c r="D275" s="4"/>
      <c r="E275" s="4"/>
      <c r="F275" s="4"/>
      <c r="G275" s="4"/>
      <c r="H275" s="4"/>
      <c r="I275" s="4"/>
      <c r="J275" s="9" t="e">
        <f t="shared" si="64"/>
        <v>#DIV/0!</v>
      </c>
      <c r="K275" s="4"/>
      <c r="L275" s="4"/>
      <c r="M275" s="4"/>
      <c r="N275" s="4"/>
      <c r="O275" s="7"/>
      <c r="P275" s="7"/>
      <c r="Q275" s="4"/>
      <c r="R275" s="9" t="e">
        <f t="shared" si="65"/>
        <v>#DIV/0!</v>
      </c>
      <c r="S275" s="4" t="s">
        <v>165</v>
      </c>
      <c r="T275" s="4"/>
      <c r="U275" s="10"/>
      <c r="V275" s="10"/>
      <c r="W275" s="10"/>
      <c r="X275" s="10"/>
      <c r="Y275" s="10"/>
      <c r="Z275" s="10"/>
      <c r="AA275" s="11" t="e">
        <f t="shared" si="66"/>
        <v>#DIV/0!</v>
      </c>
      <c r="AB275" s="11">
        <f t="shared" si="67"/>
        <v>9</v>
      </c>
      <c r="AC275" s="11">
        <f t="shared" si="68"/>
        <v>8</v>
      </c>
      <c r="AD275" s="11" t="e">
        <f t="shared" si="69"/>
        <v>#DIV/0!</v>
      </c>
      <c r="AE275" s="11" t="e">
        <f t="shared" si="70"/>
        <v>#DIV/0!</v>
      </c>
      <c r="AF275" s="11" t="e">
        <f t="shared" si="71"/>
        <v>#DIV/0!</v>
      </c>
      <c r="AG275" s="11" t="e">
        <f t="shared" si="72"/>
        <v>#DIV/0!</v>
      </c>
      <c r="AH275" s="11" t="e">
        <f t="shared" si="73"/>
        <v>#DIV/0!</v>
      </c>
      <c r="AI275" s="10"/>
      <c r="AJ275" s="11" t="e">
        <f t="shared" si="74"/>
        <v>#DIV/0!</v>
      </c>
      <c r="AK275" s="11" t="e">
        <f t="shared" si="75"/>
        <v>#DIV/0!</v>
      </c>
      <c r="AL275" s="11" t="e">
        <f t="shared" si="76"/>
        <v>#DIV/0!</v>
      </c>
    </row>
    <row r="276" spans="2:38" x14ac:dyDescent="0.2">
      <c r="B276" s="4"/>
      <c r="C276" s="4"/>
      <c r="D276" s="4"/>
      <c r="E276" s="4"/>
      <c r="F276" s="4"/>
      <c r="G276" s="4"/>
      <c r="H276" s="4"/>
      <c r="I276" s="4"/>
      <c r="J276" s="9" t="e">
        <f t="shared" si="64"/>
        <v>#DIV/0!</v>
      </c>
      <c r="K276" s="4"/>
      <c r="L276" s="4"/>
      <c r="M276" s="4"/>
      <c r="N276" s="4"/>
      <c r="O276" s="7"/>
      <c r="P276" s="7"/>
      <c r="Q276" s="4"/>
      <c r="R276" s="9" t="e">
        <f t="shared" si="65"/>
        <v>#DIV/0!</v>
      </c>
      <c r="S276" s="4" t="s">
        <v>165</v>
      </c>
      <c r="T276" s="4"/>
      <c r="U276" s="10"/>
      <c r="V276" s="10"/>
      <c r="W276" s="10"/>
      <c r="X276" s="10"/>
      <c r="Y276" s="10"/>
      <c r="Z276" s="10"/>
      <c r="AA276" s="11" t="e">
        <f t="shared" si="66"/>
        <v>#DIV/0!</v>
      </c>
      <c r="AB276" s="11">
        <f t="shared" si="67"/>
        <v>9</v>
      </c>
      <c r="AC276" s="11">
        <f t="shared" si="68"/>
        <v>8</v>
      </c>
      <c r="AD276" s="11" t="e">
        <f t="shared" si="69"/>
        <v>#DIV/0!</v>
      </c>
      <c r="AE276" s="11" t="e">
        <f t="shared" si="70"/>
        <v>#DIV/0!</v>
      </c>
      <c r="AF276" s="11" t="e">
        <f t="shared" si="71"/>
        <v>#DIV/0!</v>
      </c>
      <c r="AG276" s="11" t="e">
        <f t="shared" si="72"/>
        <v>#DIV/0!</v>
      </c>
      <c r="AH276" s="11" t="e">
        <f t="shared" si="73"/>
        <v>#DIV/0!</v>
      </c>
      <c r="AI276" s="10"/>
      <c r="AJ276" s="11" t="e">
        <f t="shared" si="74"/>
        <v>#DIV/0!</v>
      </c>
      <c r="AK276" s="11" t="e">
        <f t="shared" si="75"/>
        <v>#DIV/0!</v>
      </c>
      <c r="AL276" s="11" t="e">
        <f t="shared" si="76"/>
        <v>#DIV/0!</v>
      </c>
    </row>
    <row r="277" spans="2:38" x14ac:dyDescent="0.2">
      <c r="B277" s="4"/>
      <c r="C277" s="4"/>
      <c r="D277" s="4"/>
      <c r="E277" s="4"/>
      <c r="F277" s="4"/>
      <c r="G277" s="4"/>
      <c r="H277" s="4"/>
      <c r="I277" s="4"/>
      <c r="J277" s="9" t="e">
        <f t="shared" si="64"/>
        <v>#DIV/0!</v>
      </c>
      <c r="K277" s="4"/>
      <c r="L277" s="4"/>
      <c r="M277" s="4"/>
      <c r="N277" s="4"/>
      <c r="O277" s="7"/>
      <c r="P277" s="7"/>
      <c r="Q277" s="4"/>
      <c r="R277" s="9" t="e">
        <f t="shared" si="65"/>
        <v>#DIV/0!</v>
      </c>
      <c r="S277" s="4" t="s">
        <v>165</v>
      </c>
      <c r="T277" s="4"/>
      <c r="U277" s="10"/>
      <c r="V277" s="10"/>
      <c r="W277" s="10"/>
      <c r="X277" s="10"/>
      <c r="Y277" s="10"/>
      <c r="Z277" s="10"/>
      <c r="AA277" s="11" t="e">
        <f t="shared" si="66"/>
        <v>#DIV/0!</v>
      </c>
      <c r="AB277" s="11">
        <f t="shared" si="67"/>
        <v>9</v>
      </c>
      <c r="AC277" s="11">
        <f t="shared" si="68"/>
        <v>8</v>
      </c>
      <c r="AD277" s="11" t="e">
        <f t="shared" si="69"/>
        <v>#DIV/0!</v>
      </c>
      <c r="AE277" s="11" t="e">
        <f t="shared" si="70"/>
        <v>#DIV/0!</v>
      </c>
      <c r="AF277" s="11" t="e">
        <f t="shared" si="71"/>
        <v>#DIV/0!</v>
      </c>
      <c r="AG277" s="11" t="e">
        <f t="shared" si="72"/>
        <v>#DIV/0!</v>
      </c>
      <c r="AH277" s="11" t="e">
        <f t="shared" si="73"/>
        <v>#DIV/0!</v>
      </c>
      <c r="AI277" s="10"/>
      <c r="AJ277" s="11" t="e">
        <f t="shared" si="74"/>
        <v>#DIV/0!</v>
      </c>
      <c r="AK277" s="11" t="e">
        <f t="shared" si="75"/>
        <v>#DIV/0!</v>
      </c>
      <c r="AL277" s="11" t="e">
        <f t="shared" si="76"/>
        <v>#DIV/0!</v>
      </c>
    </row>
    <row r="278" spans="2:38" x14ac:dyDescent="0.2">
      <c r="B278" s="4"/>
      <c r="C278" s="4"/>
      <c r="D278" s="4"/>
      <c r="E278" s="4"/>
      <c r="F278" s="4"/>
      <c r="G278" s="4"/>
      <c r="H278" s="4"/>
      <c r="I278" s="4"/>
      <c r="J278" s="9" t="e">
        <f t="shared" si="64"/>
        <v>#DIV/0!</v>
      </c>
      <c r="K278" s="4"/>
      <c r="L278" s="4"/>
      <c r="M278" s="4"/>
      <c r="N278" s="4"/>
      <c r="O278" s="7"/>
      <c r="P278" s="7"/>
      <c r="Q278" s="4"/>
      <c r="R278" s="9" t="e">
        <f t="shared" si="65"/>
        <v>#DIV/0!</v>
      </c>
      <c r="S278" s="4" t="s">
        <v>165</v>
      </c>
      <c r="T278" s="4"/>
      <c r="U278" s="10"/>
      <c r="V278" s="10"/>
      <c r="W278" s="10"/>
      <c r="X278" s="10"/>
      <c r="Y278" s="10"/>
      <c r="Z278" s="10"/>
      <c r="AA278" s="11" t="e">
        <f t="shared" si="66"/>
        <v>#DIV/0!</v>
      </c>
      <c r="AB278" s="11">
        <f t="shared" si="67"/>
        <v>9</v>
      </c>
      <c r="AC278" s="11">
        <f t="shared" si="68"/>
        <v>8</v>
      </c>
      <c r="AD278" s="11" t="e">
        <f t="shared" si="69"/>
        <v>#DIV/0!</v>
      </c>
      <c r="AE278" s="11" t="e">
        <f t="shared" si="70"/>
        <v>#DIV/0!</v>
      </c>
      <c r="AF278" s="11" t="e">
        <f t="shared" si="71"/>
        <v>#DIV/0!</v>
      </c>
      <c r="AG278" s="11" t="e">
        <f t="shared" si="72"/>
        <v>#DIV/0!</v>
      </c>
      <c r="AH278" s="11" t="e">
        <f t="shared" si="73"/>
        <v>#DIV/0!</v>
      </c>
      <c r="AI278" s="10"/>
      <c r="AJ278" s="11" t="e">
        <f t="shared" si="74"/>
        <v>#DIV/0!</v>
      </c>
      <c r="AK278" s="11" t="e">
        <f t="shared" si="75"/>
        <v>#DIV/0!</v>
      </c>
      <c r="AL278" s="11" t="e">
        <f t="shared" si="76"/>
        <v>#DIV/0!</v>
      </c>
    </row>
    <row r="279" spans="2:38" x14ac:dyDescent="0.2">
      <c r="B279" s="4"/>
      <c r="C279" s="4"/>
      <c r="D279" s="4"/>
      <c r="E279" s="4"/>
      <c r="F279" s="4"/>
      <c r="G279" s="4"/>
      <c r="H279" s="4"/>
      <c r="I279" s="4"/>
      <c r="J279" s="9" t="e">
        <f t="shared" si="64"/>
        <v>#DIV/0!</v>
      </c>
      <c r="K279" s="4"/>
      <c r="L279" s="4"/>
      <c r="M279" s="4"/>
      <c r="N279" s="4"/>
      <c r="O279" s="7"/>
      <c r="P279" s="7"/>
      <c r="Q279" s="4"/>
      <c r="R279" s="9" t="e">
        <f t="shared" si="65"/>
        <v>#DIV/0!</v>
      </c>
      <c r="S279" s="4" t="s">
        <v>165</v>
      </c>
      <c r="T279" s="4"/>
      <c r="U279" s="10"/>
      <c r="V279" s="10"/>
      <c r="W279" s="10"/>
      <c r="X279" s="10"/>
      <c r="Y279" s="10"/>
      <c r="Z279" s="10"/>
      <c r="AA279" s="11" t="e">
        <f t="shared" si="66"/>
        <v>#DIV/0!</v>
      </c>
      <c r="AB279" s="11">
        <f t="shared" si="67"/>
        <v>9</v>
      </c>
      <c r="AC279" s="11">
        <f t="shared" si="68"/>
        <v>8</v>
      </c>
      <c r="AD279" s="11" t="e">
        <f t="shared" si="69"/>
        <v>#DIV/0!</v>
      </c>
      <c r="AE279" s="11" t="e">
        <f t="shared" si="70"/>
        <v>#DIV/0!</v>
      </c>
      <c r="AF279" s="11" t="e">
        <f t="shared" si="71"/>
        <v>#DIV/0!</v>
      </c>
      <c r="AG279" s="11" t="e">
        <f t="shared" si="72"/>
        <v>#DIV/0!</v>
      </c>
      <c r="AH279" s="11" t="e">
        <f t="shared" si="73"/>
        <v>#DIV/0!</v>
      </c>
      <c r="AI279" s="10"/>
      <c r="AJ279" s="11" t="e">
        <f t="shared" si="74"/>
        <v>#DIV/0!</v>
      </c>
      <c r="AK279" s="11" t="e">
        <f t="shared" si="75"/>
        <v>#DIV/0!</v>
      </c>
      <c r="AL279" s="11" t="e">
        <f t="shared" si="76"/>
        <v>#DIV/0!</v>
      </c>
    </row>
    <row r="280" spans="2:38" x14ac:dyDescent="0.2">
      <c r="B280" s="4"/>
      <c r="C280" s="4"/>
      <c r="D280" s="4"/>
      <c r="E280" s="4"/>
      <c r="F280" s="4"/>
      <c r="G280" s="4"/>
      <c r="H280" s="4"/>
      <c r="I280" s="4"/>
      <c r="J280" s="9" t="e">
        <f t="shared" si="64"/>
        <v>#DIV/0!</v>
      </c>
      <c r="K280" s="4"/>
      <c r="L280" s="4"/>
      <c r="M280" s="4"/>
      <c r="N280" s="4"/>
      <c r="O280" s="7"/>
      <c r="P280" s="7"/>
      <c r="Q280" s="4"/>
      <c r="R280" s="9" t="e">
        <f t="shared" si="65"/>
        <v>#DIV/0!</v>
      </c>
      <c r="S280" s="4" t="s">
        <v>165</v>
      </c>
      <c r="T280" s="4"/>
      <c r="U280" s="10"/>
      <c r="V280" s="10"/>
      <c r="W280" s="10"/>
      <c r="X280" s="10"/>
      <c r="Y280" s="10"/>
      <c r="Z280" s="10"/>
      <c r="AA280" s="11" t="e">
        <f t="shared" si="66"/>
        <v>#DIV/0!</v>
      </c>
      <c r="AB280" s="11">
        <f t="shared" si="67"/>
        <v>9</v>
      </c>
      <c r="AC280" s="11">
        <f t="shared" si="68"/>
        <v>8</v>
      </c>
      <c r="AD280" s="11" t="e">
        <f t="shared" si="69"/>
        <v>#DIV/0!</v>
      </c>
      <c r="AE280" s="11" t="e">
        <f t="shared" si="70"/>
        <v>#DIV/0!</v>
      </c>
      <c r="AF280" s="11" t="e">
        <f t="shared" si="71"/>
        <v>#DIV/0!</v>
      </c>
      <c r="AG280" s="11" t="e">
        <f t="shared" si="72"/>
        <v>#DIV/0!</v>
      </c>
      <c r="AH280" s="11" t="e">
        <f t="shared" si="73"/>
        <v>#DIV/0!</v>
      </c>
      <c r="AI280" s="10"/>
      <c r="AJ280" s="11" t="e">
        <f t="shared" si="74"/>
        <v>#DIV/0!</v>
      </c>
      <c r="AK280" s="11" t="e">
        <f t="shared" si="75"/>
        <v>#DIV/0!</v>
      </c>
      <c r="AL280" s="11" t="e">
        <f t="shared" si="76"/>
        <v>#DIV/0!</v>
      </c>
    </row>
    <row r="281" spans="2:38" x14ac:dyDescent="0.2">
      <c r="B281" s="4"/>
      <c r="C281" s="4"/>
      <c r="D281" s="4"/>
      <c r="E281" s="4"/>
      <c r="F281" s="4"/>
      <c r="G281" s="4"/>
      <c r="H281" s="4"/>
      <c r="I281" s="4"/>
      <c r="J281" s="9" t="e">
        <f t="shared" si="64"/>
        <v>#DIV/0!</v>
      </c>
      <c r="K281" s="4"/>
      <c r="L281" s="4"/>
      <c r="M281" s="4"/>
      <c r="N281" s="4"/>
      <c r="O281" s="7"/>
      <c r="P281" s="7"/>
      <c r="Q281" s="4"/>
      <c r="R281" s="9" t="e">
        <f t="shared" si="65"/>
        <v>#DIV/0!</v>
      </c>
      <c r="S281" s="4" t="s">
        <v>165</v>
      </c>
      <c r="T281" s="4"/>
      <c r="U281" s="10"/>
      <c r="V281" s="10"/>
      <c r="W281" s="10"/>
      <c r="X281" s="10"/>
      <c r="Y281" s="10"/>
      <c r="Z281" s="10"/>
      <c r="AA281" s="11" t="e">
        <f t="shared" si="66"/>
        <v>#DIV/0!</v>
      </c>
      <c r="AB281" s="11">
        <f t="shared" si="67"/>
        <v>9</v>
      </c>
      <c r="AC281" s="11">
        <f t="shared" si="68"/>
        <v>8</v>
      </c>
      <c r="AD281" s="11" t="e">
        <f t="shared" si="69"/>
        <v>#DIV/0!</v>
      </c>
      <c r="AE281" s="11" t="e">
        <f t="shared" si="70"/>
        <v>#DIV/0!</v>
      </c>
      <c r="AF281" s="11" t="e">
        <f t="shared" si="71"/>
        <v>#DIV/0!</v>
      </c>
      <c r="AG281" s="11" t="e">
        <f t="shared" si="72"/>
        <v>#DIV/0!</v>
      </c>
      <c r="AH281" s="11" t="e">
        <f t="shared" si="73"/>
        <v>#DIV/0!</v>
      </c>
      <c r="AI281" s="10"/>
      <c r="AJ281" s="11" t="e">
        <f t="shared" si="74"/>
        <v>#DIV/0!</v>
      </c>
      <c r="AK281" s="11" t="e">
        <f t="shared" si="75"/>
        <v>#DIV/0!</v>
      </c>
      <c r="AL281" s="11" t="e">
        <f t="shared" si="76"/>
        <v>#DIV/0!</v>
      </c>
    </row>
    <row r="282" spans="2:38" x14ac:dyDescent="0.2">
      <c r="B282" s="4"/>
      <c r="C282" s="4"/>
      <c r="D282" s="4"/>
      <c r="E282" s="4"/>
      <c r="F282" s="4"/>
      <c r="G282" s="4"/>
      <c r="H282" s="4"/>
      <c r="I282" s="4"/>
      <c r="J282" s="9" t="e">
        <f t="shared" si="64"/>
        <v>#DIV/0!</v>
      </c>
      <c r="K282" s="4"/>
      <c r="L282" s="4"/>
      <c r="M282" s="4"/>
      <c r="N282" s="4"/>
      <c r="O282" s="7"/>
      <c r="P282" s="7"/>
      <c r="Q282" s="4"/>
      <c r="R282" s="9" t="e">
        <f t="shared" si="65"/>
        <v>#DIV/0!</v>
      </c>
      <c r="S282" s="4" t="s">
        <v>165</v>
      </c>
      <c r="T282" s="4"/>
      <c r="U282" s="10"/>
      <c r="V282" s="10"/>
      <c r="W282" s="10"/>
      <c r="X282" s="10"/>
      <c r="Y282" s="10"/>
      <c r="Z282" s="10"/>
      <c r="AA282" s="11" t="e">
        <f t="shared" si="66"/>
        <v>#DIV/0!</v>
      </c>
      <c r="AB282" s="11">
        <f t="shared" si="67"/>
        <v>9</v>
      </c>
      <c r="AC282" s="11">
        <f t="shared" si="68"/>
        <v>8</v>
      </c>
      <c r="AD282" s="11" t="e">
        <f t="shared" si="69"/>
        <v>#DIV/0!</v>
      </c>
      <c r="AE282" s="11" t="e">
        <f t="shared" si="70"/>
        <v>#DIV/0!</v>
      </c>
      <c r="AF282" s="11" t="e">
        <f t="shared" si="71"/>
        <v>#DIV/0!</v>
      </c>
      <c r="AG282" s="11" t="e">
        <f t="shared" si="72"/>
        <v>#DIV/0!</v>
      </c>
      <c r="AH282" s="11" t="e">
        <f t="shared" si="73"/>
        <v>#DIV/0!</v>
      </c>
      <c r="AI282" s="10"/>
      <c r="AJ282" s="11" t="e">
        <f t="shared" si="74"/>
        <v>#DIV/0!</v>
      </c>
      <c r="AK282" s="11" t="e">
        <f t="shared" si="75"/>
        <v>#DIV/0!</v>
      </c>
      <c r="AL282" s="11" t="e">
        <f t="shared" si="76"/>
        <v>#DIV/0!</v>
      </c>
    </row>
    <row r="283" spans="2:38" x14ac:dyDescent="0.2">
      <c r="B283" s="4"/>
      <c r="C283" s="4"/>
      <c r="D283" s="4"/>
      <c r="E283" s="4"/>
      <c r="F283" s="4"/>
      <c r="G283" s="4"/>
      <c r="H283" s="4"/>
      <c r="I283" s="4"/>
      <c r="J283" s="9" t="e">
        <f t="shared" si="64"/>
        <v>#DIV/0!</v>
      </c>
      <c r="K283" s="4"/>
      <c r="L283" s="4"/>
      <c r="M283" s="4"/>
      <c r="N283" s="4"/>
      <c r="O283" s="7"/>
      <c r="P283" s="7"/>
      <c r="Q283" s="4"/>
      <c r="R283" s="9" t="e">
        <f t="shared" si="65"/>
        <v>#DIV/0!</v>
      </c>
      <c r="S283" s="4" t="s">
        <v>165</v>
      </c>
      <c r="T283" s="4"/>
      <c r="U283" s="10"/>
      <c r="V283" s="10"/>
      <c r="W283" s="10"/>
      <c r="X283" s="10"/>
      <c r="Y283" s="10"/>
      <c r="Z283" s="10"/>
      <c r="AA283" s="11" t="e">
        <f t="shared" si="66"/>
        <v>#DIV/0!</v>
      </c>
      <c r="AB283" s="11">
        <f t="shared" si="67"/>
        <v>9</v>
      </c>
      <c r="AC283" s="11">
        <f t="shared" si="68"/>
        <v>8</v>
      </c>
      <c r="AD283" s="11" t="e">
        <f t="shared" si="69"/>
        <v>#DIV/0!</v>
      </c>
      <c r="AE283" s="11" t="e">
        <f t="shared" si="70"/>
        <v>#DIV/0!</v>
      </c>
      <c r="AF283" s="11" t="e">
        <f t="shared" si="71"/>
        <v>#DIV/0!</v>
      </c>
      <c r="AG283" s="11" t="e">
        <f t="shared" si="72"/>
        <v>#DIV/0!</v>
      </c>
      <c r="AH283" s="11" t="e">
        <f t="shared" si="73"/>
        <v>#DIV/0!</v>
      </c>
      <c r="AI283" s="10"/>
      <c r="AJ283" s="11" t="e">
        <f t="shared" si="74"/>
        <v>#DIV/0!</v>
      </c>
      <c r="AK283" s="11" t="e">
        <f t="shared" si="75"/>
        <v>#DIV/0!</v>
      </c>
      <c r="AL283" s="11" t="e">
        <f t="shared" si="76"/>
        <v>#DIV/0!</v>
      </c>
    </row>
    <row r="284" spans="2:38" x14ac:dyDescent="0.2">
      <c r="B284" s="4"/>
      <c r="C284" s="4"/>
      <c r="D284" s="4"/>
      <c r="E284" s="4"/>
      <c r="F284" s="4"/>
      <c r="G284" s="4"/>
      <c r="H284" s="4"/>
      <c r="I284" s="4"/>
      <c r="J284" s="9" t="e">
        <f t="shared" si="64"/>
        <v>#DIV/0!</v>
      </c>
      <c r="K284" s="4"/>
      <c r="L284" s="4"/>
      <c r="M284" s="4"/>
      <c r="N284" s="4"/>
      <c r="O284" s="7"/>
      <c r="P284" s="7"/>
      <c r="Q284" s="4"/>
      <c r="R284" s="9" t="e">
        <f t="shared" si="65"/>
        <v>#DIV/0!</v>
      </c>
      <c r="S284" s="4" t="s">
        <v>165</v>
      </c>
      <c r="T284" s="4"/>
      <c r="U284" s="10"/>
      <c r="V284" s="10"/>
      <c r="W284" s="10"/>
      <c r="X284" s="10"/>
      <c r="Y284" s="10"/>
      <c r="Z284" s="10"/>
      <c r="AA284" s="11" t="e">
        <f t="shared" si="66"/>
        <v>#DIV/0!</v>
      </c>
      <c r="AB284" s="11">
        <f t="shared" si="67"/>
        <v>9</v>
      </c>
      <c r="AC284" s="11">
        <f t="shared" si="68"/>
        <v>8</v>
      </c>
      <c r="AD284" s="11" t="e">
        <f t="shared" si="69"/>
        <v>#DIV/0!</v>
      </c>
      <c r="AE284" s="11" t="e">
        <f t="shared" si="70"/>
        <v>#DIV/0!</v>
      </c>
      <c r="AF284" s="11" t="e">
        <f t="shared" si="71"/>
        <v>#DIV/0!</v>
      </c>
      <c r="AG284" s="11" t="e">
        <f t="shared" si="72"/>
        <v>#DIV/0!</v>
      </c>
      <c r="AH284" s="11" t="e">
        <f t="shared" si="73"/>
        <v>#DIV/0!</v>
      </c>
      <c r="AI284" s="10"/>
      <c r="AJ284" s="11" t="e">
        <f t="shared" si="74"/>
        <v>#DIV/0!</v>
      </c>
      <c r="AK284" s="11" t="e">
        <f t="shared" si="75"/>
        <v>#DIV/0!</v>
      </c>
      <c r="AL284" s="11" t="e">
        <f t="shared" si="76"/>
        <v>#DIV/0!</v>
      </c>
    </row>
    <row r="285" spans="2:38" x14ac:dyDescent="0.2">
      <c r="B285" s="4"/>
      <c r="C285" s="4"/>
      <c r="D285" s="4"/>
      <c r="E285" s="4"/>
      <c r="F285" s="4"/>
      <c r="G285" s="4"/>
      <c r="H285" s="4"/>
      <c r="I285" s="4"/>
      <c r="J285" s="9" t="e">
        <f t="shared" si="64"/>
        <v>#DIV/0!</v>
      </c>
      <c r="K285" s="4"/>
      <c r="L285" s="4"/>
      <c r="M285" s="4"/>
      <c r="N285" s="4"/>
      <c r="O285" s="7"/>
      <c r="P285" s="7"/>
      <c r="Q285" s="4"/>
      <c r="R285" s="9" t="e">
        <f t="shared" si="65"/>
        <v>#DIV/0!</v>
      </c>
      <c r="S285" s="4" t="s">
        <v>166</v>
      </c>
      <c r="T285" s="4"/>
      <c r="U285" s="10"/>
      <c r="V285" s="10"/>
      <c r="W285" s="10"/>
      <c r="X285" s="10"/>
      <c r="Y285" s="10"/>
      <c r="Z285" s="10"/>
      <c r="AA285" s="11" t="e">
        <f t="shared" si="66"/>
        <v>#DIV/0!</v>
      </c>
      <c r="AB285" s="11">
        <f t="shared" si="67"/>
        <v>9</v>
      </c>
      <c r="AC285" s="11">
        <f t="shared" si="68"/>
        <v>8</v>
      </c>
      <c r="AD285" s="11" t="e">
        <f t="shared" si="69"/>
        <v>#DIV/0!</v>
      </c>
      <c r="AE285" s="11" t="e">
        <f t="shared" si="70"/>
        <v>#DIV/0!</v>
      </c>
      <c r="AF285" s="11" t="e">
        <f t="shared" si="71"/>
        <v>#DIV/0!</v>
      </c>
      <c r="AG285" s="11" t="e">
        <f t="shared" si="72"/>
        <v>#DIV/0!</v>
      </c>
      <c r="AH285" s="11" t="e">
        <f t="shared" si="73"/>
        <v>#DIV/0!</v>
      </c>
      <c r="AI285" s="10"/>
      <c r="AJ285" s="11" t="e">
        <f t="shared" si="74"/>
        <v>#DIV/0!</v>
      </c>
      <c r="AK285" s="11" t="e">
        <f t="shared" si="75"/>
        <v>#DIV/0!</v>
      </c>
      <c r="AL285" s="11" t="e">
        <f t="shared" si="76"/>
        <v>#DIV/0!</v>
      </c>
    </row>
    <row r="286" spans="2:38" x14ac:dyDescent="0.2">
      <c r="B286" s="4"/>
      <c r="C286" s="4"/>
      <c r="D286" s="4"/>
      <c r="E286" s="4"/>
      <c r="F286" s="4"/>
      <c r="G286" s="4"/>
      <c r="H286" s="4"/>
      <c r="I286" s="4"/>
      <c r="J286" s="9" t="e">
        <f t="shared" si="64"/>
        <v>#DIV/0!</v>
      </c>
      <c r="K286" s="4"/>
      <c r="L286" s="4"/>
      <c r="M286" s="4"/>
      <c r="N286" s="4"/>
      <c r="O286" s="7"/>
      <c r="P286" s="7"/>
      <c r="Q286" s="4"/>
      <c r="R286" s="9" t="e">
        <f t="shared" si="65"/>
        <v>#DIV/0!</v>
      </c>
      <c r="S286" s="4" t="s">
        <v>166</v>
      </c>
      <c r="T286" s="4"/>
      <c r="U286" s="10"/>
      <c r="V286" s="10"/>
      <c r="W286" s="10"/>
      <c r="X286" s="10"/>
      <c r="Y286" s="10"/>
      <c r="Z286" s="10"/>
      <c r="AA286" s="11" t="e">
        <f t="shared" si="66"/>
        <v>#DIV/0!</v>
      </c>
      <c r="AB286" s="11">
        <f t="shared" si="67"/>
        <v>9</v>
      </c>
      <c r="AC286" s="11">
        <f t="shared" si="68"/>
        <v>8</v>
      </c>
      <c r="AD286" s="11" t="e">
        <f t="shared" si="69"/>
        <v>#DIV/0!</v>
      </c>
      <c r="AE286" s="11" t="e">
        <f t="shared" si="70"/>
        <v>#DIV/0!</v>
      </c>
      <c r="AF286" s="11" t="e">
        <f t="shared" si="71"/>
        <v>#DIV/0!</v>
      </c>
      <c r="AG286" s="11" t="e">
        <f t="shared" si="72"/>
        <v>#DIV/0!</v>
      </c>
      <c r="AH286" s="11" t="e">
        <f t="shared" si="73"/>
        <v>#DIV/0!</v>
      </c>
      <c r="AI286" s="10"/>
      <c r="AJ286" s="11" t="e">
        <f t="shared" si="74"/>
        <v>#DIV/0!</v>
      </c>
      <c r="AK286" s="11" t="e">
        <f t="shared" si="75"/>
        <v>#DIV/0!</v>
      </c>
      <c r="AL286" s="11" t="e">
        <f t="shared" si="76"/>
        <v>#DIV/0!</v>
      </c>
    </row>
    <row r="287" spans="2:38" x14ac:dyDescent="0.2">
      <c r="B287" s="4"/>
      <c r="C287" s="4"/>
      <c r="D287" s="4"/>
      <c r="E287" s="4"/>
      <c r="F287" s="4"/>
      <c r="G287" s="4"/>
      <c r="H287" s="4"/>
      <c r="I287" s="4"/>
      <c r="J287" s="9" t="e">
        <f t="shared" si="64"/>
        <v>#DIV/0!</v>
      </c>
      <c r="K287" s="4"/>
      <c r="L287" s="4"/>
      <c r="M287" s="4"/>
      <c r="N287" s="4"/>
      <c r="O287" s="7"/>
      <c r="P287" s="7"/>
      <c r="Q287" s="4"/>
      <c r="R287" s="9" t="e">
        <f t="shared" si="65"/>
        <v>#DIV/0!</v>
      </c>
      <c r="S287" s="4" t="s">
        <v>166</v>
      </c>
      <c r="T287" s="4"/>
      <c r="U287" s="10"/>
      <c r="V287" s="10"/>
      <c r="W287" s="10"/>
      <c r="X287" s="10"/>
      <c r="Y287" s="10"/>
      <c r="Z287" s="10"/>
      <c r="AA287" s="11" t="e">
        <f t="shared" si="66"/>
        <v>#DIV/0!</v>
      </c>
      <c r="AB287" s="11">
        <f t="shared" si="67"/>
        <v>9</v>
      </c>
      <c r="AC287" s="11">
        <f t="shared" si="68"/>
        <v>8</v>
      </c>
      <c r="AD287" s="11" t="e">
        <f t="shared" si="69"/>
        <v>#DIV/0!</v>
      </c>
      <c r="AE287" s="11" t="e">
        <f t="shared" si="70"/>
        <v>#DIV/0!</v>
      </c>
      <c r="AF287" s="11" t="e">
        <f t="shared" si="71"/>
        <v>#DIV/0!</v>
      </c>
      <c r="AG287" s="11" t="e">
        <f t="shared" si="72"/>
        <v>#DIV/0!</v>
      </c>
      <c r="AH287" s="11" t="e">
        <f t="shared" si="73"/>
        <v>#DIV/0!</v>
      </c>
      <c r="AI287" s="10"/>
      <c r="AJ287" s="11" t="e">
        <f t="shared" si="74"/>
        <v>#DIV/0!</v>
      </c>
      <c r="AK287" s="11" t="e">
        <f t="shared" si="75"/>
        <v>#DIV/0!</v>
      </c>
      <c r="AL287" s="11" t="e">
        <f t="shared" si="76"/>
        <v>#DIV/0!</v>
      </c>
    </row>
    <row r="288" spans="2:38" x14ac:dyDescent="0.2">
      <c r="B288" s="4"/>
      <c r="C288" s="4"/>
      <c r="D288" s="4"/>
      <c r="E288" s="4"/>
      <c r="F288" s="4"/>
      <c r="G288" s="4"/>
      <c r="H288" s="4"/>
      <c r="I288" s="4"/>
      <c r="J288" s="9" t="e">
        <f t="shared" si="64"/>
        <v>#DIV/0!</v>
      </c>
      <c r="K288" s="4"/>
      <c r="L288" s="4"/>
      <c r="M288" s="4"/>
      <c r="N288" s="4"/>
      <c r="O288" s="7"/>
      <c r="P288" s="7"/>
      <c r="Q288" s="4"/>
      <c r="R288" s="9" t="e">
        <f t="shared" si="65"/>
        <v>#DIV/0!</v>
      </c>
      <c r="S288" s="4" t="s">
        <v>166</v>
      </c>
      <c r="T288" s="4"/>
      <c r="U288" s="10"/>
      <c r="V288" s="10"/>
      <c r="W288" s="10"/>
      <c r="X288" s="10"/>
      <c r="Y288" s="10"/>
      <c r="Z288" s="10"/>
      <c r="AA288" s="11" t="e">
        <f t="shared" si="66"/>
        <v>#DIV/0!</v>
      </c>
      <c r="AB288" s="11">
        <f t="shared" si="67"/>
        <v>9</v>
      </c>
      <c r="AC288" s="11">
        <f t="shared" si="68"/>
        <v>8</v>
      </c>
      <c r="AD288" s="11" t="e">
        <f t="shared" si="69"/>
        <v>#DIV/0!</v>
      </c>
      <c r="AE288" s="11" t="e">
        <f t="shared" si="70"/>
        <v>#DIV/0!</v>
      </c>
      <c r="AF288" s="11" t="e">
        <f t="shared" si="71"/>
        <v>#DIV/0!</v>
      </c>
      <c r="AG288" s="11" t="e">
        <f t="shared" si="72"/>
        <v>#DIV/0!</v>
      </c>
      <c r="AH288" s="11" t="e">
        <f t="shared" si="73"/>
        <v>#DIV/0!</v>
      </c>
      <c r="AI288" s="10"/>
      <c r="AJ288" s="11" t="e">
        <f t="shared" si="74"/>
        <v>#DIV/0!</v>
      </c>
      <c r="AK288" s="11" t="e">
        <f t="shared" si="75"/>
        <v>#DIV/0!</v>
      </c>
      <c r="AL288" s="11" t="e">
        <f t="shared" si="76"/>
        <v>#DIV/0!</v>
      </c>
    </row>
    <row r="289" spans="2:38" x14ac:dyDescent="0.2">
      <c r="B289" s="4"/>
      <c r="C289" s="4"/>
      <c r="D289" s="4"/>
      <c r="E289" s="4"/>
      <c r="F289" s="4"/>
      <c r="G289" s="4"/>
      <c r="H289" s="4"/>
      <c r="I289" s="4"/>
      <c r="J289" s="9" t="e">
        <f t="shared" si="64"/>
        <v>#DIV/0!</v>
      </c>
      <c r="K289" s="4"/>
      <c r="L289" s="4"/>
      <c r="M289" s="4"/>
      <c r="N289" s="4"/>
      <c r="O289" s="7"/>
      <c r="P289" s="7"/>
      <c r="Q289" s="4"/>
      <c r="R289" s="9" t="e">
        <f t="shared" si="65"/>
        <v>#DIV/0!</v>
      </c>
      <c r="S289" s="4" t="s">
        <v>166</v>
      </c>
      <c r="T289" s="4"/>
      <c r="U289" s="10"/>
      <c r="V289" s="10"/>
      <c r="W289" s="10"/>
      <c r="X289" s="10"/>
      <c r="Y289" s="10"/>
      <c r="Z289" s="10"/>
      <c r="AA289" s="11" t="e">
        <f t="shared" si="66"/>
        <v>#DIV/0!</v>
      </c>
      <c r="AB289" s="11">
        <f t="shared" si="67"/>
        <v>9</v>
      </c>
      <c r="AC289" s="11">
        <f t="shared" si="68"/>
        <v>8</v>
      </c>
      <c r="AD289" s="11" t="e">
        <f t="shared" si="69"/>
        <v>#DIV/0!</v>
      </c>
      <c r="AE289" s="11" t="e">
        <f t="shared" si="70"/>
        <v>#DIV/0!</v>
      </c>
      <c r="AF289" s="11" t="e">
        <f t="shared" si="71"/>
        <v>#DIV/0!</v>
      </c>
      <c r="AG289" s="11" t="e">
        <f t="shared" si="72"/>
        <v>#DIV/0!</v>
      </c>
      <c r="AH289" s="11" t="e">
        <f t="shared" si="73"/>
        <v>#DIV/0!</v>
      </c>
      <c r="AI289" s="10"/>
      <c r="AJ289" s="11" t="e">
        <f t="shared" si="74"/>
        <v>#DIV/0!</v>
      </c>
      <c r="AK289" s="11" t="e">
        <f t="shared" si="75"/>
        <v>#DIV/0!</v>
      </c>
      <c r="AL289" s="11" t="e">
        <f t="shared" si="76"/>
        <v>#DIV/0!</v>
      </c>
    </row>
    <row r="290" spans="2:38" x14ac:dyDescent="0.2">
      <c r="B290" s="4"/>
      <c r="C290" s="4"/>
      <c r="D290" s="4"/>
      <c r="E290" s="4"/>
      <c r="F290" s="4"/>
      <c r="G290" s="4"/>
      <c r="H290" s="4"/>
      <c r="I290" s="4"/>
      <c r="J290" s="9" t="e">
        <f t="shared" si="64"/>
        <v>#DIV/0!</v>
      </c>
      <c r="K290" s="4"/>
      <c r="L290" s="4"/>
      <c r="M290" s="4"/>
      <c r="N290" s="4"/>
      <c r="O290" s="7"/>
      <c r="P290" s="7"/>
      <c r="Q290" s="4"/>
      <c r="R290" s="9" t="e">
        <f t="shared" si="65"/>
        <v>#DIV/0!</v>
      </c>
      <c r="S290" s="4" t="s">
        <v>166</v>
      </c>
      <c r="T290" s="4"/>
      <c r="U290" s="10"/>
      <c r="V290" s="10"/>
      <c r="W290" s="10"/>
      <c r="X290" s="10"/>
      <c r="Y290" s="10"/>
      <c r="Z290" s="10"/>
      <c r="AA290" s="11" t="e">
        <f t="shared" si="66"/>
        <v>#DIV/0!</v>
      </c>
      <c r="AB290" s="11">
        <f t="shared" si="67"/>
        <v>9</v>
      </c>
      <c r="AC290" s="11">
        <f t="shared" si="68"/>
        <v>8</v>
      </c>
      <c r="AD290" s="11" t="e">
        <f t="shared" si="69"/>
        <v>#DIV/0!</v>
      </c>
      <c r="AE290" s="11" t="e">
        <f t="shared" si="70"/>
        <v>#DIV/0!</v>
      </c>
      <c r="AF290" s="11" t="e">
        <f t="shared" si="71"/>
        <v>#DIV/0!</v>
      </c>
      <c r="AG290" s="11" t="e">
        <f t="shared" si="72"/>
        <v>#DIV/0!</v>
      </c>
      <c r="AH290" s="11" t="e">
        <f t="shared" si="73"/>
        <v>#DIV/0!</v>
      </c>
      <c r="AI290" s="10"/>
      <c r="AJ290" s="11" t="e">
        <f t="shared" si="74"/>
        <v>#DIV/0!</v>
      </c>
      <c r="AK290" s="11" t="e">
        <f t="shared" si="75"/>
        <v>#DIV/0!</v>
      </c>
      <c r="AL290" s="11" t="e">
        <f t="shared" si="76"/>
        <v>#DIV/0!</v>
      </c>
    </row>
    <row r="291" spans="2:38" x14ac:dyDescent="0.2">
      <c r="B291" s="4"/>
      <c r="C291" s="4"/>
      <c r="D291" s="4"/>
      <c r="E291" s="4"/>
      <c r="F291" s="4"/>
      <c r="G291" s="4"/>
      <c r="H291" s="4"/>
      <c r="I291" s="4"/>
      <c r="J291" s="9" t="e">
        <f t="shared" si="64"/>
        <v>#DIV/0!</v>
      </c>
      <c r="K291" s="4"/>
      <c r="L291" s="4"/>
      <c r="M291" s="4"/>
      <c r="N291" s="4"/>
      <c r="O291" s="7"/>
      <c r="P291" s="7"/>
      <c r="Q291" s="4"/>
      <c r="R291" s="9" t="e">
        <f t="shared" si="65"/>
        <v>#DIV/0!</v>
      </c>
      <c r="S291" s="4" t="s">
        <v>166</v>
      </c>
      <c r="T291" s="4"/>
      <c r="U291" s="10"/>
      <c r="V291" s="10"/>
      <c r="W291" s="10"/>
      <c r="X291" s="10"/>
      <c r="Y291" s="10"/>
      <c r="Z291" s="10"/>
      <c r="AA291" s="11" t="e">
        <f t="shared" si="66"/>
        <v>#DIV/0!</v>
      </c>
      <c r="AB291" s="11">
        <f t="shared" si="67"/>
        <v>9</v>
      </c>
      <c r="AC291" s="11">
        <f t="shared" si="68"/>
        <v>8</v>
      </c>
      <c r="AD291" s="11" t="e">
        <f t="shared" si="69"/>
        <v>#DIV/0!</v>
      </c>
      <c r="AE291" s="11" t="e">
        <f t="shared" si="70"/>
        <v>#DIV/0!</v>
      </c>
      <c r="AF291" s="11" t="e">
        <f t="shared" si="71"/>
        <v>#DIV/0!</v>
      </c>
      <c r="AG291" s="11" t="e">
        <f t="shared" si="72"/>
        <v>#DIV/0!</v>
      </c>
      <c r="AH291" s="11" t="e">
        <f t="shared" si="73"/>
        <v>#DIV/0!</v>
      </c>
      <c r="AI291" s="10"/>
      <c r="AJ291" s="11" t="e">
        <f t="shared" si="74"/>
        <v>#DIV/0!</v>
      </c>
      <c r="AK291" s="11" t="e">
        <f t="shared" si="75"/>
        <v>#DIV/0!</v>
      </c>
      <c r="AL291" s="11" t="e">
        <f t="shared" si="76"/>
        <v>#DIV/0!</v>
      </c>
    </row>
    <row r="292" spans="2:38" x14ac:dyDescent="0.2">
      <c r="B292" s="4"/>
      <c r="C292" s="4"/>
      <c r="D292" s="4"/>
      <c r="E292" s="4"/>
      <c r="F292" s="4"/>
      <c r="G292" s="4"/>
      <c r="H292" s="4"/>
      <c r="I292" s="4"/>
      <c r="J292" s="9" t="e">
        <f t="shared" si="64"/>
        <v>#DIV/0!</v>
      </c>
      <c r="K292" s="4"/>
      <c r="L292" s="4"/>
      <c r="M292" s="4"/>
      <c r="N292" s="4"/>
      <c r="O292" s="7"/>
      <c r="P292" s="7"/>
      <c r="Q292" s="4"/>
      <c r="R292" s="9" t="e">
        <f t="shared" si="65"/>
        <v>#DIV/0!</v>
      </c>
      <c r="S292" s="4" t="s">
        <v>166</v>
      </c>
      <c r="T292" s="4"/>
      <c r="U292" s="10"/>
      <c r="V292" s="10"/>
      <c r="W292" s="10"/>
      <c r="X292" s="10"/>
      <c r="Y292" s="10"/>
      <c r="Z292" s="10"/>
      <c r="AA292" s="11" t="e">
        <f t="shared" si="66"/>
        <v>#DIV/0!</v>
      </c>
      <c r="AB292" s="11">
        <f t="shared" si="67"/>
        <v>9</v>
      </c>
      <c r="AC292" s="11">
        <f t="shared" si="68"/>
        <v>8</v>
      </c>
      <c r="AD292" s="11" t="e">
        <f t="shared" si="69"/>
        <v>#DIV/0!</v>
      </c>
      <c r="AE292" s="11" t="e">
        <f t="shared" si="70"/>
        <v>#DIV/0!</v>
      </c>
      <c r="AF292" s="11" t="e">
        <f t="shared" si="71"/>
        <v>#DIV/0!</v>
      </c>
      <c r="AG292" s="11" t="e">
        <f t="shared" si="72"/>
        <v>#DIV/0!</v>
      </c>
      <c r="AH292" s="11" t="e">
        <f t="shared" si="73"/>
        <v>#DIV/0!</v>
      </c>
      <c r="AI292" s="10"/>
      <c r="AJ292" s="11" t="e">
        <f t="shared" si="74"/>
        <v>#DIV/0!</v>
      </c>
      <c r="AK292" s="11" t="e">
        <f t="shared" si="75"/>
        <v>#DIV/0!</v>
      </c>
      <c r="AL292" s="11" t="e">
        <f t="shared" si="76"/>
        <v>#DIV/0!</v>
      </c>
    </row>
    <row r="293" spans="2:38" x14ac:dyDescent="0.2">
      <c r="B293" s="4"/>
      <c r="C293" s="4"/>
      <c r="D293" s="4"/>
      <c r="E293" s="4"/>
      <c r="F293" s="4"/>
      <c r="G293" s="4"/>
      <c r="H293" s="4"/>
      <c r="I293" s="4"/>
      <c r="J293" s="9" t="e">
        <f t="shared" si="64"/>
        <v>#DIV/0!</v>
      </c>
      <c r="K293" s="4"/>
      <c r="L293" s="4"/>
      <c r="M293" s="4"/>
      <c r="N293" s="4"/>
      <c r="O293" s="7"/>
      <c r="P293" s="7"/>
      <c r="Q293" s="4"/>
      <c r="R293" s="9" t="e">
        <f t="shared" si="65"/>
        <v>#DIV/0!</v>
      </c>
      <c r="S293" s="4" t="s">
        <v>166</v>
      </c>
      <c r="T293" s="4"/>
      <c r="U293" s="10"/>
      <c r="V293" s="10"/>
      <c r="W293" s="10"/>
      <c r="X293" s="10"/>
      <c r="Y293" s="10"/>
      <c r="Z293" s="10"/>
      <c r="AA293" s="11" t="e">
        <f t="shared" si="66"/>
        <v>#DIV/0!</v>
      </c>
      <c r="AB293" s="11">
        <f t="shared" si="67"/>
        <v>9</v>
      </c>
      <c r="AC293" s="11">
        <f t="shared" si="68"/>
        <v>8</v>
      </c>
      <c r="AD293" s="11" t="e">
        <f t="shared" si="69"/>
        <v>#DIV/0!</v>
      </c>
      <c r="AE293" s="11" t="e">
        <f t="shared" si="70"/>
        <v>#DIV/0!</v>
      </c>
      <c r="AF293" s="11" t="e">
        <f t="shared" si="71"/>
        <v>#DIV/0!</v>
      </c>
      <c r="AG293" s="11" t="e">
        <f t="shared" si="72"/>
        <v>#DIV/0!</v>
      </c>
      <c r="AH293" s="11" t="e">
        <f t="shared" si="73"/>
        <v>#DIV/0!</v>
      </c>
      <c r="AI293" s="10"/>
      <c r="AJ293" s="11" t="e">
        <f t="shared" si="74"/>
        <v>#DIV/0!</v>
      </c>
      <c r="AK293" s="11" t="e">
        <f t="shared" si="75"/>
        <v>#DIV/0!</v>
      </c>
      <c r="AL293" s="11" t="e">
        <f t="shared" si="76"/>
        <v>#DIV/0!</v>
      </c>
    </row>
    <row r="294" spans="2:38" x14ac:dyDescent="0.2">
      <c r="B294" s="4"/>
      <c r="C294" s="4"/>
      <c r="D294" s="4"/>
      <c r="E294" s="4"/>
      <c r="F294" s="4"/>
      <c r="G294" s="4"/>
      <c r="H294" s="4"/>
      <c r="I294" s="4"/>
      <c r="J294" s="9" t="e">
        <f t="shared" si="64"/>
        <v>#DIV/0!</v>
      </c>
      <c r="K294" s="4"/>
      <c r="L294" s="4"/>
      <c r="M294" s="4"/>
      <c r="N294" s="4"/>
      <c r="O294" s="7"/>
      <c r="P294" s="7"/>
      <c r="Q294" s="4"/>
      <c r="R294" s="9" t="e">
        <f t="shared" si="65"/>
        <v>#DIV/0!</v>
      </c>
      <c r="S294" s="4" t="s">
        <v>166</v>
      </c>
      <c r="T294" s="4"/>
      <c r="U294" s="10"/>
      <c r="V294" s="10"/>
      <c r="W294" s="10"/>
      <c r="X294" s="10"/>
      <c r="Y294" s="10"/>
      <c r="Z294" s="10"/>
      <c r="AA294" s="11" t="e">
        <f t="shared" si="66"/>
        <v>#DIV/0!</v>
      </c>
      <c r="AB294" s="11">
        <f t="shared" si="67"/>
        <v>9</v>
      </c>
      <c r="AC294" s="11">
        <f t="shared" si="68"/>
        <v>8</v>
      </c>
      <c r="AD294" s="11" t="e">
        <f t="shared" si="69"/>
        <v>#DIV/0!</v>
      </c>
      <c r="AE294" s="11" t="e">
        <f t="shared" si="70"/>
        <v>#DIV/0!</v>
      </c>
      <c r="AF294" s="11" t="e">
        <f t="shared" si="71"/>
        <v>#DIV/0!</v>
      </c>
      <c r="AG294" s="11" t="e">
        <f t="shared" si="72"/>
        <v>#DIV/0!</v>
      </c>
      <c r="AH294" s="11" t="e">
        <f t="shared" si="73"/>
        <v>#DIV/0!</v>
      </c>
      <c r="AI294" s="10"/>
      <c r="AJ294" s="11" t="e">
        <f t="shared" si="74"/>
        <v>#DIV/0!</v>
      </c>
      <c r="AK294" s="11" t="e">
        <f t="shared" si="75"/>
        <v>#DIV/0!</v>
      </c>
      <c r="AL294" s="11" t="e">
        <f t="shared" si="76"/>
        <v>#DIV/0!</v>
      </c>
    </row>
    <row r="295" spans="2:38" x14ac:dyDescent="0.2">
      <c r="B295" s="4"/>
      <c r="C295" s="4"/>
      <c r="D295" s="4"/>
      <c r="E295" s="4"/>
      <c r="F295" s="4"/>
      <c r="G295" s="4"/>
      <c r="H295" s="4"/>
      <c r="I295" s="4"/>
      <c r="J295" s="9" t="e">
        <f t="shared" si="64"/>
        <v>#DIV/0!</v>
      </c>
      <c r="K295" s="4"/>
      <c r="L295" s="4"/>
      <c r="M295" s="4"/>
      <c r="N295" s="4"/>
      <c r="O295" s="7"/>
      <c r="P295" s="7"/>
      <c r="Q295" s="4"/>
      <c r="R295" s="9" t="e">
        <f t="shared" si="65"/>
        <v>#DIV/0!</v>
      </c>
      <c r="S295" s="4" t="s">
        <v>166</v>
      </c>
      <c r="T295" s="4"/>
      <c r="U295" s="10"/>
      <c r="V295" s="10"/>
      <c r="W295" s="10"/>
      <c r="X295" s="10"/>
      <c r="Y295" s="10"/>
      <c r="Z295" s="10"/>
      <c r="AA295" s="11" t="e">
        <f t="shared" si="66"/>
        <v>#DIV/0!</v>
      </c>
      <c r="AB295" s="11">
        <f t="shared" si="67"/>
        <v>9</v>
      </c>
      <c r="AC295" s="11">
        <f t="shared" si="68"/>
        <v>8</v>
      </c>
      <c r="AD295" s="11" t="e">
        <f t="shared" si="69"/>
        <v>#DIV/0!</v>
      </c>
      <c r="AE295" s="11" t="e">
        <f t="shared" si="70"/>
        <v>#DIV/0!</v>
      </c>
      <c r="AF295" s="11" t="e">
        <f t="shared" si="71"/>
        <v>#DIV/0!</v>
      </c>
      <c r="AG295" s="11" t="e">
        <f t="shared" si="72"/>
        <v>#DIV/0!</v>
      </c>
      <c r="AH295" s="11" t="e">
        <f t="shared" si="73"/>
        <v>#DIV/0!</v>
      </c>
      <c r="AI295" s="10"/>
      <c r="AJ295" s="11" t="e">
        <f t="shared" si="74"/>
        <v>#DIV/0!</v>
      </c>
      <c r="AK295" s="11" t="e">
        <f t="shared" si="75"/>
        <v>#DIV/0!</v>
      </c>
      <c r="AL295" s="11" t="e">
        <f t="shared" si="76"/>
        <v>#DIV/0!</v>
      </c>
    </row>
    <row r="296" spans="2:38" x14ac:dyDescent="0.2">
      <c r="B296" s="4"/>
      <c r="C296" s="4"/>
      <c r="D296" s="4"/>
      <c r="E296" s="4"/>
      <c r="F296" s="4"/>
      <c r="G296" s="4"/>
      <c r="H296" s="4"/>
      <c r="I296" s="4"/>
      <c r="J296" s="9" t="e">
        <f t="shared" si="64"/>
        <v>#DIV/0!</v>
      </c>
      <c r="K296" s="4"/>
      <c r="L296" s="4"/>
      <c r="M296" s="4"/>
      <c r="N296" s="4"/>
      <c r="O296" s="7"/>
      <c r="P296" s="7"/>
      <c r="Q296" s="4"/>
      <c r="R296" s="9" t="e">
        <f t="shared" si="65"/>
        <v>#DIV/0!</v>
      </c>
      <c r="S296" s="4" t="s">
        <v>166</v>
      </c>
      <c r="T296" s="4"/>
      <c r="U296" s="10"/>
      <c r="V296" s="10"/>
      <c r="W296" s="10"/>
      <c r="X296" s="10"/>
      <c r="Y296" s="10"/>
      <c r="Z296" s="10"/>
      <c r="AA296" s="11" t="e">
        <f t="shared" si="66"/>
        <v>#DIV/0!</v>
      </c>
      <c r="AB296" s="11">
        <f t="shared" si="67"/>
        <v>9</v>
      </c>
      <c r="AC296" s="11">
        <f t="shared" si="68"/>
        <v>8</v>
      </c>
      <c r="AD296" s="11" t="e">
        <f t="shared" si="69"/>
        <v>#DIV/0!</v>
      </c>
      <c r="AE296" s="11" t="e">
        <f t="shared" si="70"/>
        <v>#DIV/0!</v>
      </c>
      <c r="AF296" s="11" t="e">
        <f t="shared" si="71"/>
        <v>#DIV/0!</v>
      </c>
      <c r="AG296" s="11" t="e">
        <f t="shared" si="72"/>
        <v>#DIV/0!</v>
      </c>
      <c r="AH296" s="11" t="e">
        <f t="shared" si="73"/>
        <v>#DIV/0!</v>
      </c>
      <c r="AI296" s="10"/>
      <c r="AJ296" s="11" t="e">
        <f t="shared" si="74"/>
        <v>#DIV/0!</v>
      </c>
      <c r="AK296" s="11" t="e">
        <f t="shared" si="75"/>
        <v>#DIV/0!</v>
      </c>
      <c r="AL296" s="11" t="e">
        <f t="shared" si="76"/>
        <v>#DIV/0!</v>
      </c>
    </row>
    <row r="297" spans="2:38" x14ac:dyDescent="0.2">
      <c r="B297" s="4"/>
      <c r="C297" s="4"/>
      <c r="D297" s="4"/>
      <c r="E297" s="4"/>
      <c r="F297" s="4"/>
      <c r="G297" s="4"/>
      <c r="H297" s="4"/>
      <c r="I297" s="4"/>
      <c r="J297" s="9" t="e">
        <f t="shared" si="64"/>
        <v>#DIV/0!</v>
      </c>
      <c r="K297" s="4"/>
      <c r="L297" s="4"/>
      <c r="M297" s="4"/>
      <c r="N297" s="4"/>
      <c r="O297" s="7"/>
      <c r="P297" s="7"/>
      <c r="Q297" s="4"/>
      <c r="R297" s="9" t="e">
        <f t="shared" si="65"/>
        <v>#DIV/0!</v>
      </c>
      <c r="S297" s="4" t="s">
        <v>166</v>
      </c>
      <c r="T297" s="4"/>
      <c r="U297" s="10"/>
      <c r="V297" s="10"/>
      <c r="W297" s="10"/>
      <c r="X297" s="10"/>
      <c r="Y297" s="10"/>
      <c r="Z297" s="10"/>
      <c r="AA297" s="11" t="e">
        <f t="shared" si="66"/>
        <v>#DIV/0!</v>
      </c>
      <c r="AB297" s="11">
        <f t="shared" si="67"/>
        <v>9</v>
      </c>
      <c r="AC297" s="11">
        <f t="shared" si="68"/>
        <v>8</v>
      </c>
      <c r="AD297" s="11" t="e">
        <f t="shared" si="69"/>
        <v>#DIV/0!</v>
      </c>
      <c r="AE297" s="11" t="e">
        <f t="shared" si="70"/>
        <v>#DIV/0!</v>
      </c>
      <c r="AF297" s="11" t="e">
        <f t="shared" si="71"/>
        <v>#DIV/0!</v>
      </c>
      <c r="AG297" s="11" t="e">
        <f t="shared" si="72"/>
        <v>#DIV/0!</v>
      </c>
      <c r="AH297" s="11" t="e">
        <f t="shared" si="73"/>
        <v>#DIV/0!</v>
      </c>
      <c r="AI297" s="10"/>
      <c r="AJ297" s="11" t="e">
        <f t="shared" si="74"/>
        <v>#DIV/0!</v>
      </c>
      <c r="AK297" s="11" t="e">
        <f t="shared" si="75"/>
        <v>#DIV/0!</v>
      </c>
      <c r="AL297" s="11" t="e">
        <f t="shared" si="76"/>
        <v>#DIV/0!</v>
      </c>
    </row>
    <row r="298" spans="2:38" x14ac:dyDescent="0.2">
      <c r="B298" s="4"/>
      <c r="C298" s="4"/>
      <c r="D298" s="4"/>
      <c r="E298" s="4"/>
      <c r="F298" s="4"/>
      <c r="G298" s="4"/>
      <c r="H298" s="4"/>
      <c r="I298" s="4"/>
      <c r="J298" s="9" t="e">
        <f t="shared" si="64"/>
        <v>#DIV/0!</v>
      </c>
      <c r="K298" s="4"/>
      <c r="L298" s="4"/>
      <c r="M298" s="4"/>
      <c r="N298" s="4"/>
      <c r="O298" s="7"/>
      <c r="P298" s="7"/>
      <c r="Q298" s="4"/>
      <c r="R298" s="9" t="e">
        <f t="shared" si="65"/>
        <v>#DIV/0!</v>
      </c>
      <c r="S298" s="4" t="s">
        <v>166</v>
      </c>
      <c r="T298" s="4"/>
      <c r="U298" s="10"/>
      <c r="V298" s="10"/>
      <c r="W298" s="10"/>
      <c r="X298" s="10"/>
      <c r="Y298" s="10"/>
      <c r="Z298" s="10"/>
      <c r="AA298" s="11" t="e">
        <f t="shared" si="66"/>
        <v>#DIV/0!</v>
      </c>
      <c r="AB298" s="11">
        <f t="shared" si="67"/>
        <v>9</v>
      </c>
      <c r="AC298" s="11">
        <f t="shared" si="68"/>
        <v>8</v>
      </c>
      <c r="AD298" s="11" t="e">
        <f t="shared" si="69"/>
        <v>#DIV/0!</v>
      </c>
      <c r="AE298" s="11" t="e">
        <f t="shared" si="70"/>
        <v>#DIV/0!</v>
      </c>
      <c r="AF298" s="11" t="e">
        <f t="shared" si="71"/>
        <v>#DIV/0!</v>
      </c>
      <c r="AG298" s="11" t="e">
        <f t="shared" si="72"/>
        <v>#DIV/0!</v>
      </c>
      <c r="AH298" s="11" t="e">
        <f t="shared" si="73"/>
        <v>#DIV/0!</v>
      </c>
      <c r="AI298" s="10"/>
      <c r="AJ298" s="11" t="e">
        <f t="shared" si="74"/>
        <v>#DIV/0!</v>
      </c>
      <c r="AK298" s="11" t="e">
        <f t="shared" si="75"/>
        <v>#DIV/0!</v>
      </c>
      <c r="AL298" s="11" t="e">
        <f t="shared" si="76"/>
        <v>#DIV/0!</v>
      </c>
    </row>
    <row r="299" spans="2:38" x14ac:dyDescent="0.2">
      <c r="B299" s="4"/>
      <c r="C299" s="4"/>
      <c r="D299" s="4"/>
      <c r="E299" s="4"/>
      <c r="F299" s="4"/>
      <c r="G299" s="4"/>
      <c r="H299" s="4"/>
      <c r="I299" s="4"/>
      <c r="J299" s="9" t="e">
        <f t="shared" si="64"/>
        <v>#DIV/0!</v>
      </c>
      <c r="K299" s="4"/>
      <c r="L299" s="4"/>
      <c r="M299" s="4"/>
      <c r="N299" s="4"/>
      <c r="O299" s="7"/>
      <c r="P299" s="7"/>
      <c r="Q299" s="4"/>
      <c r="R299" s="9" t="e">
        <f t="shared" si="65"/>
        <v>#DIV/0!</v>
      </c>
      <c r="S299" s="4" t="s">
        <v>166</v>
      </c>
      <c r="T299" s="4"/>
      <c r="U299" s="10"/>
      <c r="V299" s="10"/>
      <c r="W299" s="10"/>
      <c r="X299" s="10"/>
      <c r="Y299" s="10"/>
      <c r="Z299" s="10"/>
      <c r="AA299" s="11" t="e">
        <f t="shared" si="66"/>
        <v>#DIV/0!</v>
      </c>
      <c r="AB299" s="11">
        <f t="shared" si="67"/>
        <v>9</v>
      </c>
      <c r="AC299" s="11">
        <f t="shared" si="68"/>
        <v>8</v>
      </c>
      <c r="AD299" s="11" t="e">
        <f t="shared" si="69"/>
        <v>#DIV/0!</v>
      </c>
      <c r="AE299" s="11" t="e">
        <f t="shared" si="70"/>
        <v>#DIV/0!</v>
      </c>
      <c r="AF299" s="11" t="e">
        <f t="shared" si="71"/>
        <v>#DIV/0!</v>
      </c>
      <c r="AG299" s="11" t="e">
        <f t="shared" si="72"/>
        <v>#DIV/0!</v>
      </c>
      <c r="AH299" s="11" t="e">
        <f t="shared" si="73"/>
        <v>#DIV/0!</v>
      </c>
      <c r="AI299" s="10"/>
      <c r="AJ299" s="11" t="e">
        <f t="shared" si="74"/>
        <v>#DIV/0!</v>
      </c>
      <c r="AK299" s="11" t="e">
        <f t="shared" si="75"/>
        <v>#DIV/0!</v>
      </c>
      <c r="AL299" s="11" t="e">
        <f t="shared" si="76"/>
        <v>#DIV/0!</v>
      </c>
    </row>
    <row r="300" spans="2:38" x14ac:dyDescent="0.2">
      <c r="B300" s="4"/>
      <c r="C300" s="4"/>
      <c r="D300" s="4"/>
      <c r="E300" s="4"/>
      <c r="F300" s="4"/>
      <c r="G300" s="4"/>
      <c r="H300" s="4"/>
      <c r="I300" s="4"/>
      <c r="J300" s="9" t="e">
        <f t="shared" si="64"/>
        <v>#DIV/0!</v>
      </c>
      <c r="K300" s="4"/>
      <c r="L300" s="4"/>
      <c r="M300" s="4"/>
      <c r="N300" s="4"/>
      <c r="O300" s="7"/>
      <c r="P300" s="7"/>
      <c r="Q300" s="4"/>
      <c r="R300" s="9" t="e">
        <f t="shared" si="65"/>
        <v>#DIV/0!</v>
      </c>
      <c r="S300" s="4" t="s">
        <v>167</v>
      </c>
      <c r="T300" s="4"/>
      <c r="U300" s="10"/>
      <c r="V300" s="10"/>
      <c r="W300" s="10"/>
      <c r="X300" s="10"/>
      <c r="Y300" s="10"/>
      <c r="Z300" s="10"/>
      <c r="AA300" s="11" t="e">
        <f t="shared" si="66"/>
        <v>#DIV/0!</v>
      </c>
      <c r="AB300" s="11">
        <f t="shared" si="67"/>
        <v>9</v>
      </c>
      <c r="AC300" s="11">
        <f t="shared" si="68"/>
        <v>8</v>
      </c>
      <c r="AD300" s="11" t="e">
        <f t="shared" si="69"/>
        <v>#DIV/0!</v>
      </c>
      <c r="AE300" s="11" t="e">
        <f t="shared" si="70"/>
        <v>#DIV/0!</v>
      </c>
      <c r="AF300" s="11" t="e">
        <f t="shared" si="71"/>
        <v>#DIV/0!</v>
      </c>
      <c r="AG300" s="11" t="e">
        <f t="shared" si="72"/>
        <v>#DIV/0!</v>
      </c>
      <c r="AH300" s="11" t="e">
        <f t="shared" si="73"/>
        <v>#DIV/0!</v>
      </c>
      <c r="AI300" s="10"/>
      <c r="AJ300" s="11" t="e">
        <f t="shared" si="74"/>
        <v>#DIV/0!</v>
      </c>
      <c r="AK300" s="11" t="e">
        <f t="shared" si="75"/>
        <v>#DIV/0!</v>
      </c>
      <c r="AL300" s="11" t="e">
        <f t="shared" si="76"/>
        <v>#DIV/0!</v>
      </c>
    </row>
    <row r="301" spans="2:38" x14ac:dyDescent="0.2">
      <c r="B301" s="4"/>
      <c r="C301" s="4"/>
      <c r="D301" s="4"/>
      <c r="E301" s="4"/>
      <c r="F301" s="4"/>
      <c r="G301" s="4"/>
      <c r="H301" s="4"/>
      <c r="I301" s="4"/>
      <c r="J301" s="9" t="e">
        <f t="shared" si="64"/>
        <v>#DIV/0!</v>
      </c>
      <c r="K301" s="4"/>
      <c r="L301" s="4"/>
      <c r="M301" s="4"/>
      <c r="N301" s="4"/>
      <c r="O301" s="7"/>
      <c r="P301" s="7"/>
      <c r="Q301" s="4"/>
      <c r="R301" s="9" t="e">
        <f t="shared" si="65"/>
        <v>#DIV/0!</v>
      </c>
      <c r="S301" s="4" t="s">
        <v>167</v>
      </c>
      <c r="T301" s="4"/>
      <c r="U301" s="10"/>
      <c r="V301" s="10"/>
      <c r="W301" s="10"/>
      <c r="X301" s="10"/>
      <c r="Y301" s="10"/>
      <c r="Z301" s="10"/>
      <c r="AA301" s="11" t="e">
        <f t="shared" si="66"/>
        <v>#DIV/0!</v>
      </c>
      <c r="AB301" s="11">
        <f t="shared" si="67"/>
        <v>9</v>
      </c>
      <c r="AC301" s="11">
        <f t="shared" si="68"/>
        <v>8</v>
      </c>
      <c r="AD301" s="11" t="e">
        <f t="shared" si="69"/>
        <v>#DIV/0!</v>
      </c>
      <c r="AE301" s="11" t="e">
        <f t="shared" si="70"/>
        <v>#DIV/0!</v>
      </c>
      <c r="AF301" s="11" t="e">
        <f t="shared" si="71"/>
        <v>#DIV/0!</v>
      </c>
      <c r="AG301" s="11" t="e">
        <f t="shared" si="72"/>
        <v>#DIV/0!</v>
      </c>
      <c r="AH301" s="11" t="e">
        <f t="shared" si="73"/>
        <v>#DIV/0!</v>
      </c>
      <c r="AI301" s="10"/>
      <c r="AJ301" s="11" t="e">
        <f t="shared" si="74"/>
        <v>#DIV/0!</v>
      </c>
      <c r="AK301" s="11" t="e">
        <f t="shared" si="75"/>
        <v>#DIV/0!</v>
      </c>
      <c r="AL301" s="11" t="e">
        <f t="shared" si="76"/>
        <v>#DIV/0!</v>
      </c>
    </row>
    <row r="302" spans="2:38" x14ac:dyDescent="0.2">
      <c r="B302" s="4"/>
      <c r="C302" s="4"/>
      <c r="D302" s="4"/>
      <c r="E302" s="4"/>
      <c r="F302" s="4"/>
      <c r="G302" s="4"/>
      <c r="H302" s="4"/>
      <c r="I302" s="4"/>
      <c r="J302" s="9" t="e">
        <f t="shared" si="64"/>
        <v>#DIV/0!</v>
      </c>
      <c r="K302" s="4"/>
      <c r="L302" s="4"/>
      <c r="M302" s="4"/>
      <c r="N302" s="4"/>
      <c r="O302" s="7"/>
      <c r="P302" s="7"/>
      <c r="Q302" s="4"/>
      <c r="R302" s="9" t="e">
        <f t="shared" si="65"/>
        <v>#DIV/0!</v>
      </c>
      <c r="S302" s="4" t="s">
        <v>167</v>
      </c>
      <c r="T302" s="4"/>
      <c r="U302" s="10"/>
      <c r="V302" s="10"/>
      <c r="W302" s="10"/>
      <c r="X302" s="10"/>
      <c r="Y302" s="10"/>
      <c r="Z302" s="10"/>
      <c r="AA302" s="11" t="e">
        <f t="shared" si="66"/>
        <v>#DIV/0!</v>
      </c>
      <c r="AB302" s="11">
        <f t="shared" si="67"/>
        <v>9</v>
      </c>
      <c r="AC302" s="11">
        <f t="shared" si="68"/>
        <v>8</v>
      </c>
      <c r="AD302" s="11" t="e">
        <f t="shared" si="69"/>
        <v>#DIV/0!</v>
      </c>
      <c r="AE302" s="11" t="e">
        <f t="shared" si="70"/>
        <v>#DIV/0!</v>
      </c>
      <c r="AF302" s="11" t="e">
        <f t="shared" si="71"/>
        <v>#DIV/0!</v>
      </c>
      <c r="AG302" s="11" t="e">
        <f t="shared" si="72"/>
        <v>#DIV/0!</v>
      </c>
      <c r="AH302" s="11" t="e">
        <f t="shared" si="73"/>
        <v>#DIV/0!</v>
      </c>
      <c r="AI302" s="10"/>
      <c r="AJ302" s="11" t="e">
        <f t="shared" si="74"/>
        <v>#DIV/0!</v>
      </c>
      <c r="AK302" s="11" t="e">
        <f t="shared" si="75"/>
        <v>#DIV/0!</v>
      </c>
      <c r="AL302" s="11" t="e">
        <f t="shared" si="76"/>
        <v>#DIV/0!</v>
      </c>
    </row>
    <row r="303" spans="2:38" x14ac:dyDescent="0.2">
      <c r="B303" s="4"/>
      <c r="C303" s="4"/>
      <c r="D303" s="4"/>
      <c r="E303" s="4"/>
      <c r="F303" s="4"/>
      <c r="G303" s="4"/>
      <c r="H303" s="4"/>
      <c r="I303" s="4"/>
      <c r="J303" s="9" t="e">
        <f t="shared" si="64"/>
        <v>#DIV/0!</v>
      </c>
      <c r="K303" s="4"/>
      <c r="L303" s="4"/>
      <c r="M303" s="4"/>
      <c r="N303" s="4"/>
      <c r="O303" s="7"/>
      <c r="P303" s="7"/>
      <c r="Q303" s="4"/>
      <c r="R303" s="9" t="e">
        <f t="shared" si="65"/>
        <v>#DIV/0!</v>
      </c>
      <c r="S303" s="4" t="s">
        <v>167</v>
      </c>
      <c r="T303" s="4"/>
      <c r="U303" s="10"/>
      <c r="V303" s="10"/>
      <c r="W303" s="10"/>
      <c r="X303" s="10"/>
      <c r="Y303" s="10"/>
      <c r="Z303" s="10"/>
      <c r="AA303" s="11" t="e">
        <f t="shared" si="66"/>
        <v>#DIV/0!</v>
      </c>
      <c r="AB303" s="11">
        <f t="shared" si="67"/>
        <v>9</v>
      </c>
      <c r="AC303" s="11">
        <f t="shared" si="68"/>
        <v>8</v>
      </c>
      <c r="AD303" s="11" t="e">
        <f t="shared" si="69"/>
        <v>#DIV/0!</v>
      </c>
      <c r="AE303" s="11" t="e">
        <f t="shared" si="70"/>
        <v>#DIV/0!</v>
      </c>
      <c r="AF303" s="11" t="e">
        <f t="shared" si="71"/>
        <v>#DIV/0!</v>
      </c>
      <c r="AG303" s="11" t="e">
        <f t="shared" si="72"/>
        <v>#DIV/0!</v>
      </c>
      <c r="AH303" s="11" t="e">
        <f t="shared" si="73"/>
        <v>#DIV/0!</v>
      </c>
      <c r="AI303" s="10"/>
      <c r="AJ303" s="11" t="e">
        <f t="shared" si="74"/>
        <v>#DIV/0!</v>
      </c>
      <c r="AK303" s="11" t="e">
        <f t="shared" si="75"/>
        <v>#DIV/0!</v>
      </c>
      <c r="AL303" s="11" t="e">
        <f t="shared" si="76"/>
        <v>#DIV/0!</v>
      </c>
    </row>
    <row r="304" spans="2:38" x14ac:dyDescent="0.2">
      <c r="B304" s="4"/>
      <c r="C304" s="4"/>
      <c r="D304" s="4"/>
      <c r="E304" s="4"/>
      <c r="F304" s="4"/>
      <c r="G304" s="4"/>
      <c r="H304" s="4"/>
      <c r="I304" s="4"/>
      <c r="J304" s="9" t="e">
        <f t="shared" si="64"/>
        <v>#DIV/0!</v>
      </c>
      <c r="K304" s="4"/>
      <c r="L304" s="4"/>
      <c r="M304" s="4"/>
      <c r="N304" s="4"/>
      <c r="O304" s="7"/>
      <c r="P304" s="7"/>
      <c r="Q304" s="4"/>
      <c r="R304" s="9" t="e">
        <f t="shared" si="65"/>
        <v>#DIV/0!</v>
      </c>
      <c r="S304" s="4" t="s">
        <v>167</v>
      </c>
      <c r="T304" s="4"/>
      <c r="U304" s="10"/>
      <c r="V304" s="10"/>
      <c r="W304" s="10"/>
      <c r="X304" s="10"/>
      <c r="Y304" s="10"/>
      <c r="Z304" s="10"/>
      <c r="AA304" s="11" t="e">
        <f t="shared" si="66"/>
        <v>#DIV/0!</v>
      </c>
      <c r="AB304" s="11">
        <f t="shared" si="67"/>
        <v>9</v>
      </c>
      <c r="AC304" s="11">
        <f t="shared" si="68"/>
        <v>8</v>
      </c>
      <c r="AD304" s="11" t="e">
        <f t="shared" si="69"/>
        <v>#DIV/0!</v>
      </c>
      <c r="AE304" s="11" t="e">
        <f t="shared" si="70"/>
        <v>#DIV/0!</v>
      </c>
      <c r="AF304" s="11" t="e">
        <f t="shared" si="71"/>
        <v>#DIV/0!</v>
      </c>
      <c r="AG304" s="11" t="e">
        <f t="shared" si="72"/>
        <v>#DIV/0!</v>
      </c>
      <c r="AH304" s="11" t="e">
        <f t="shared" si="73"/>
        <v>#DIV/0!</v>
      </c>
      <c r="AI304" s="10"/>
      <c r="AJ304" s="11" t="e">
        <f t="shared" si="74"/>
        <v>#DIV/0!</v>
      </c>
      <c r="AK304" s="11" t="e">
        <f t="shared" si="75"/>
        <v>#DIV/0!</v>
      </c>
      <c r="AL304" s="11" t="e">
        <f t="shared" si="76"/>
        <v>#DIV/0!</v>
      </c>
    </row>
    <row r="305" spans="2:38" x14ac:dyDescent="0.2">
      <c r="B305" s="4"/>
      <c r="C305" s="4"/>
      <c r="D305" s="4"/>
      <c r="E305" s="4"/>
      <c r="F305" s="4"/>
      <c r="G305" s="4"/>
      <c r="H305" s="4"/>
      <c r="I305" s="4"/>
      <c r="J305" s="9" t="e">
        <f t="shared" si="64"/>
        <v>#DIV/0!</v>
      </c>
      <c r="K305" s="4"/>
      <c r="L305" s="4"/>
      <c r="M305" s="4"/>
      <c r="N305" s="4"/>
      <c r="O305" s="7"/>
      <c r="P305" s="7"/>
      <c r="Q305" s="4"/>
      <c r="R305" s="9" t="e">
        <f t="shared" si="65"/>
        <v>#DIV/0!</v>
      </c>
      <c r="S305" s="4" t="s">
        <v>167</v>
      </c>
      <c r="T305" s="4"/>
      <c r="U305" s="10"/>
      <c r="V305" s="10"/>
      <c r="W305" s="10"/>
      <c r="X305" s="10"/>
      <c r="Y305" s="10"/>
      <c r="Z305" s="10"/>
      <c r="AA305" s="11" t="e">
        <f t="shared" si="66"/>
        <v>#DIV/0!</v>
      </c>
      <c r="AB305" s="11">
        <f t="shared" si="67"/>
        <v>9</v>
      </c>
      <c r="AC305" s="11">
        <f t="shared" si="68"/>
        <v>8</v>
      </c>
      <c r="AD305" s="11" t="e">
        <f t="shared" si="69"/>
        <v>#DIV/0!</v>
      </c>
      <c r="AE305" s="11" t="e">
        <f t="shared" si="70"/>
        <v>#DIV/0!</v>
      </c>
      <c r="AF305" s="11" t="e">
        <f t="shared" si="71"/>
        <v>#DIV/0!</v>
      </c>
      <c r="AG305" s="11" t="e">
        <f t="shared" si="72"/>
        <v>#DIV/0!</v>
      </c>
      <c r="AH305" s="11" t="e">
        <f t="shared" si="73"/>
        <v>#DIV/0!</v>
      </c>
      <c r="AI305" s="10"/>
      <c r="AJ305" s="11" t="e">
        <f t="shared" si="74"/>
        <v>#DIV/0!</v>
      </c>
      <c r="AK305" s="11" t="e">
        <f t="shared" si="75"/>
        <v>#DIV/0!</v>
      </c>
      <c r="AL305" s="11" t="e">
        <f t="shared" si="76"/>
        <v>#DIV/0!</v>
      </c>
    </row>
    <row r="306" spans="2:38" x14ac:dyDescent="0.2">
      <c r="B306" s="4"/>
      <c r="C306" s="4"/>
      <c r="D306" s="4"/>
      <c r="E306" s="4"/>
      <c r="F306" s="4"/>
      <c r="G306" s="4"/>
      <c r="H306" s="4"/>
      <c r="I306" s="4"/>
      <c r="J306" s="9" t="e">
        <f t="shared" si="64"/>
        <v>#DIV/0!</v>
      </c>
      <c r="K306" s="4"/>
      <c r="L306" s="4"/>
      <c r="M306" s="4"/>
      <c r="N306" s="4"/>
      <c r="O306" s="7"/>
      <c r="P306" s="7"/>
      <c r="Q306" s="4"/>
      <c r="R306" s="9" t="e">
        <f t="shared" si="65"/>
        <v>#DIV/0!</v>
      </c>
      <c r="S306" s="4" t="s">
        <v>167</v>
      </c>
      <c r="T306" s="4"/>
      <c r="U306" s="10"/>
      <c r="V306" s="10"/>
      <c r="W306" s="10"/>
      <c r="X306" s="10"/>
      <c r="Y306" s="10"/>
      <c r="Z306" s="10"/>
      <c r="AA306" s="11" t="e">
        <f t="shared" si="66"/>
        <v>#DIV/0!</v>
      </c>
      <c r="AB306" s="11">
        <f t="shared" si="67"/>
        <v>9</v>
      </c>
      <c r="AC306" s="11">
        <f t="shared" si="68"/>
        <v>8</v>
      </c>
      <c r="AD306" s="11" t="e">
        <f t="shared" si="69"/>
        <v>#DIV/0!</v>
      </c>
      <c r="AE306" s="11" t="e">
        <f t="shared" si="70"/>
        <v>#DIV/0!</v>
      </c>
      <c r="AF306" s="11" t="e">
        <f t="shared" si="71"/>
        <v>#DIV/0!</v>
      </c>
      <c r="AG306" s="11" t="e">
        <f t="shared" si="72"/>
        <v>#DIV/0!</v>
      </c>
      <c r="AH306" s="11" t="e">
        <f t="shared" si="73"/>
        <v>#DIV/0!</v>
      </c>
      <c r="AI306" s="10"/>
      <c r="AJ306" s="11" t="e">
        <f t="shared" si="74"/>
        <v>#DIV/0!</v>
      </c>
      <c r="AK306" s="11" t="e">
        <f t="shared" si="75"/>
        <v>#DIV/0!</v>
      </c>
      <c r="AL306" s="11" t="e">
        <f t="shared" si="76"/>
        <v>#DIV/0!</v>
      </c>
    </row>
    <row r="307" spans="2:38" x14ac:dyDescent="0.2">
      <c r="B307" s="4"/>
      <c r="C307" s="4"/>
      <c r="D307" s="4"/>
      <c r="E307" s="4"/>
      <c r="F307" s="4"/>
      <c r="G307" s="4"/>
      <c r="H307" s="4"/>
      <c r="I307" s="4"/>
      <c r="J307" s="9" t="e">
        <f t="shared" si="64"/>
        <v>#DIV/0!</v>
      </c>
      <c r="K307" s="4"/>
      <c r="L307" s="4"/>
      <c r="M307" s="4"/>
      <c r="N307" s="4"/>
      <c r="O307" s="7"/>
      <c r="P307" s="7"/>
      <c r="Q307" s="4"/>
      <c r="R307" s="9" t="e">
        <f t="shared" si="65"/>
        <v>#DIV/0!</v>
      </c>
      <c r="S307" s="4" t="s">
        <v>167</v>
      </c>
      <c r="T307" s="4"/>
      <c r="U307" s="10"/>
      <c r="V307" s="10"/>
      <c r="W307" s="10"/>
      <c r="X307" s="10"/>
      <c r="Y307" s="10"/>
      <c r="Z307" s="10"/>
      <c r="AA307" s="11" t="e">
        <f t="shared" si="66"/>
        <v>#DIV/0!</v>
      </c>
      <c r="AB307" s="11">
        <f t="shared" si="67"/>
        <v>9</v>
      </c>
      <c r="AC307" s="11">
        <f t="shared" si="68"/>
        <v>8</v>
      </c>
      <c r="AD307" s="11" t="e">
        <f t="shared" si="69"/>
        <v>#DIV/0!</v>
      </c>
      <c r="AE307" s="11" t="e">
        <f t="shared" si="70"/>
        <v>#DIV/0!</v>
      </c>
      <c r="AF307" s="11" t="e">
        <f t="shared" si="71"/>
        <v>#DIV/0!</v>
      </c>
      <c r="AG307" s="11" t="e">
        <f t="shared" si="72"/>
        <v>#DIV/0!</v>
      </c>
      <c r="AH307" s="11" t="e">
        <f t="shared" si="73"/>
        <v>#DIV/0!</v>
      </c>
      <c r="AI307" s="10"/>
      <c r="AJ307" s="11" t="e">
        <f t="shared" si="74"/>
        <v>#DIV/0!</v>
      </c>
      <c r="AK307" s="11" t="e">
        <f t="shared" si="75"/>
        <v>#DIV/0!</v>
      </c>
      <c r="AL307" s="11" t="e">
        <f t="shared" si="76"/>
        <v>#DIV/0!</v>
      </c>
    </row>
    <row r="308" spans="2:38" x14ac:dyDescent="0.2">
      <c r="B308" s="4"/>
      <c r="C308" s="4"/>
      <c r="D308" s="4"/>
      <c r="E308" s="4"/>
      <c r="F308" s="4"/>
      <c r="G308" s="4"/>
      <c r="H308" s="4"/>
      <c r="I308" s="4"/>
      <c r="J308" s="9" t="e">
        <f t="shared" si="64"/>
        <v>#DIV/0!</v>
      </c>
      <c r="K308" s="4"/>
      <c r="L308" s="4"/>
      <c r="M308" s="4"/>
      <c r="N308" s="4"/>
      <c r="O308" s="7"/>
      <c r="P308" s="7"/>
      <c r="Q308" s="4"/>
      <c r="R308" s="9" t="e">
        <f t="shared" si="65"/>
        <v>#DIV/0!</v>
      </c>
      <c r="S308" s="4" t="s">
        <v>167</v>
      </c>
      <c r="T308" s="4"/>
      <c r="U308" s="10"/>
      <c r="V308" s="10"/>
      <c r="W308" s="10"/>
      <c r="X308" s="10"/>
      <c r="Y308" s="10"/>
      <c r="Z308" s="10"/>
      <c r="AA308" s="11" t="e">
        <f t="shared" si="66"/>
        <v>#DIV/0!</v>
      </c>
      <c r="AB308" s="11">
        <f t="shared" si="67"/>
        <v>9</v>
      </c>
      <c r="AC308" s="11">
        <f t="shared" si="68"/>
        <v>8</v>
      </c>
      <c r="AD308" s="11" t="e">
        <f t="shared" si="69"/>
        <v>#DIV/0!</v>
      </c>
      <c r="AE308" s="11" t="e">
        <f t="shared" si="70"/>
        <v>#DIV/0!</v>
      </c>
      <c r="AF308" s="11" t="e">
        <f t="shared" si="71"/>
        <v>#DIV/0!</v>
      </c>
      <c r="AG308" s="11" t="e">
        <f t="shared" si="72"/>
        <v>#DIV/0!</v>
      </c>
      <c r="AH308" s="11" t="e">
        <f t="shared" si="73"/>
        <v>#DIV/0!</v>
      </c>
      <c r="AI308" s="10"/>
      <c r="AJ308" s="11" t="e">
        <f t="shared" si="74"/>
        <v>#DIV/0!</v>
      </c>
      <c r="AK308" s="11" t="e">
        <f t="shared" si="75"/>
        <v>#DIV/0!</v>
      </c>
      <c r="AL308" s="11" t="e">
        <f t="shared" si="76"/>
        <v>#DIV/0!</v>
      </c>
    </row>
    <row r="309" spans="2:38" x14ac:dyDescent="0.2">
      <c r="B309" s="4"/>
      <c r="C309" s="4"/>
      <c r="D309" s="4"/>
      <c r="E309" s="4"/>
      <c r="F309" s="4"/>
      <c r="G309" s="4"/>
      <c r="H309" s="4"/>
      <c r="I309" s="4"/>
      <c r="J309" s="9" t="e">
        <f t="shared" si="64"/>
        <v>#DIV/0!</v>
      </c>
      <c r="K309" s="4"/>
      <c r="L309" s="4"/>
      <c r="M309" s="4"/>
      <c r="N309" s="4"/>
      <c r="O309" s="7"/>
      <c r="P309" s="7"/>
      <c r="Q309" s="4"/>
      <c r="R309" s="9" t="e">
        <f t="shared" si="65"/>
        <v>#DIV/0!</v>
      </c>
      <c r="S309" s="4" t="s">
        <v>167</v>
      </c>
      <c r="T309" s="4"/>
      <c r="U309" s="10"/>
      <c r="V309" s="10"/>
      <c r="W309" s="10"/>
      <c r="X309" s="10"/>
      <c r="Y309" s="10"/>
      <c r="Z309" s="10"/>
      <c r="AA309" s="11" t="e">
        <f t="shared" si="66"/>
        <v>#DIV/0!</v>
      </c>
      <c r="AB309" s="11">
        <f t="shared" si="67"/>
        <v>9</v>
      </c>
      <c r="AC309" s="11">
        <f t="shared" si="68"/>
        <v>8</v>
      </c>
      <c r="AD309" s="11" t="e">
        <f t="shared" si="69"/>
        <v>#DIV/0!</v>
      </c>
      <c r="AE309" s="11" t="e">
        <f t="shared" si="70"/>
        <v>#DIV/0!</v>
      </c>
      <c r="AF309" s="11" t="e">
        <f t="shared" si="71"/>
        <v>#DIV/0!</v>
      </c>
      <c r="AG309" s="11" t="e">
        <f t="shared" si="72"/>
        <v>#DIV/0!</v>
      </c>
      <c r="AH309" s="11" t="e">
        <f t="shared" si="73"/>
        <v>#DIV/0!</v>
      </c>
      <c r="AI309" s="10"/>
      <c r="AJ309" s="11" t="e">
        <f t="shared" si="74"/>
        <v>#DIV/0!</v>
      </c>
      <c r="AK309" s="11" t="e">
        <f t="shared" si="75"/>
        <v>#DIV/0!</v>
      </c>
      <c r="AL309" s="11" t="e">
        <f t="shared" si="76"/>
        <v>#DIV/0!</v>
      </c>
    </row>
    <row r="310" spans="2:38" x14ac:dyDescent="0.2">
      <c r="B310" s="4"/>
      <c r="C310" s="4"/>
      <c r="D310" s="4"/>
      <c r="E310" s="4"/>
      <c r="F310" s="4"/>
      <c r="G310" s="4"/>
      <c r="H310" s="4"/>
      <c r="I310" s="4"/>
      <c r="J310" s="9" t="e">
        <f t="shared" si="64"/>
        <v>#DIV/0!</v>
      </c>
      <c r="K310" s="4"/>
      <c r="L310" s="4"/>
      <c r="M310" s="4"/>
      <c r="N310" s="4"/>
      <c r="O310" s="7"/>
      <c r="P310" s="7"/>
      <c r="Q310" s="4"/>
      <c r="R310" s="9" t="e">
        <f t="shared" si="65"/>
        <v>#DIV/0!</v>
      </c>
      <c r="S310" s="4" t="s">
        <v>167</v>
      </c>
      <c r="T310" s="4"/>
      <c r="U310" s="10"/>
      <c r="V310" s="10"/>
      <c r="W310" s="10"/>
      <c r="X310" s="10"/>
      <c r="Y310" s="10"/>
      <c r="Z310" s="10"/>
      <c r="AA310" s="11" t="e">
        <f t="shared" si="66"/>
        <v>#DIV/0!</v>
      </c>
      <c r="AB310" s="11">
        <f t="shared" si="67"/>
        <v>9</v>
      </c>
      <c r="AC310" s="11">
        <f t="shared" si="68"/>
        <v>8</v>
      </c>
      <c r="AD310" s="11" t="e">
        <f t="shared" si="69"/>
        <v>#DIV/0!</v>
      </c>
      <c r="AE310" s="11" t="e">
        <f t="shared" si="70"/>
        <v>#DIV/0!</v>
      </c>
      <c r="AF310" s="11" t="e">
        <f t="shared" si="71"/>
        <v>#DIV/0!</v>
      </c>
      <c r="AG310" s="11" t="e">
        <f t="shared" si="72"/>
        <v>#DIV/0!</v>
      </c>
      <c r="AH310" s="11" t="e">
        <f t="shared" si="73"/>
        <v>#DIV/0!</v>
      </c>
      <c r="AI310" s="10"/>
      <c r="AJ310" s="11" t="e">
        <f t="shared" si="74"/>
        <v>#DIV/0!</v>
      </c>
      <c r="AK310" s="11" t="e">
        <f t="shared" si="75"/>
        <v>#DIV/0!</v>
      </c>
      <c r="AL310" s="11" t="e">
        <f t="shared" si="76"/>
        <v>#DIV/0!</v>
      </c>
    </row>
    <row r="311" spans="2:38" x14ac:dyDescent="0.2">
      <c r="B311" s="4"/>
      <c r="C311" s="4"/>
      <c r="D311" s="4"/>
      <c r="E311" s="4"/>
      <c r="F311" s="4"/>
      <c r="G311" s="4"/>
      <c r="H311" s="4"/>
      <c r="I311" s="4"/>
      <c r="J311" s="9" t="e">
        <f t="shared" si="64"/>
        <v>#DIV/0!</v>
      </c>
      <c r="K311" s="4"/>
      <c r="L311" s="4"/>
      <c r="M311" s="4"/>
      <c r="N311" s="4"/>
      <c r="O311" s="7"/>
      <c r="P311" s="7"/>
      <c r="Q311" s="4"/>
      <c r="R311" s="9" t="e">
        <f t="shared" si="65"/>
        <v>#DIV/0!</v>
      </c>
      <c r="S311" s="4" t="s">
        <v>167</v>
      </c>
      <c r="T311" s="4"/>
      <c r="U311" s="10"/>
      <c r="V311" s="10"/>
      <c r="W311" s="10"/>
      <c r="X311" s="10"/>
      <c r="Y311" s="10"/>
      <c r="Z311" s="10"/>
      <c r="AA311" s="11" t="e">
        <f t="shared" si="66"/>
        <v>#DIV/0!</v>
      </c>
      <c r="AB311" s="11">
        <f t="shared" si="67"/>
        <v>9</v>
      </c>
      <c r="AC311" s="11">
        <f t="shared" si="68"/>
        <v>8</v>
      </c>
      <c r="AD311" s="11" t="e">
        <f t="shared" si="69"/>
        <v>#DIV/0!</v>
      </c>
      <c r="AE311" s="11" t="e">
        <f t="shared" si="70"/>
        <v>#DIV/0!</v>
      </c>
      <c r="AF311" s="11" t="e">
        <f t="shared" si="71"/>
        <v>#DIV/0!</v>
      </c>
      <c r="AG311" s="11" t="e">
        <f t="shared" si="72"/>
        <v>#DIV/0!</v>
      </c>
      <c r="AH311" s="11" t="e">
        <f t="shared" si="73"/>
        <v>#DIV/0!</v>
      </c>
      <c r="AI311" s="10"/>
      <c r="AJ311" s="11" t="e">
        <f t="shared" si="74"/>
        <v>#DIV/0!</v>
      </c>
      <c r="AK311" s="11" t="e">
        <f t="shared" si="75"/>
        <v>#DIV/0!</v>
      </c>
      <c r="AL311" s="11" t="e">
        <f t="shared" si="76"/>
        <v>#DIV/0!</v>
      </c>
    </row>
    <row r="312" spans="2:38" x14ac:dyDescent="0.2">
      <c r="B312" s="4"/>
      <c r="C312" s="4"/>
      <c r="D312" s="4"/>
      <c r="E312" s="4"/>
      <c r="F312" s="4"/>
      <c r="G312" s="4"/>
      <c r="H312" s="4"/>
      <c r="I312" s="4"/>
      <c r="J312" s="9" t="e">
        <f t="shared" si="64"/>
        <v>#DIV/0!</v>
      </c>
      <c r="K312" s="4"/>
      <c r="L312" s="4"/>
      <c r="M312" s="4"/>
      <c r="N312" s="4"/>
      <c r="O312" s="7"/>
      <c r="P312" s="7"/>
      <c r="Q312" s="4"/>
      <c r="R312" s="9" t="e">
        <f t="shared" si="65"/>
        <v>#DIV/0!</v>
      </c>
      <c r="S312" s="4" t="s">
        <v>167</v>
      </c>
      <c r="T312" s="4"/>
      <c r="U312" s="10"/>
      <c r="V312" s="10"/>
      <c r="W312" s="10"/>
      <c r="X312" s="10"/>
      <c r="Y312" s="10"/>
      <c r="Z312" s="10"/>
      <c r="AA312" s="11" t="e">
        <f t="shared" si="66"/>
        <v>#DIV/0!</v>
      </c>
      <c r="AB312" s="11">
        <f t="shared" si="67"/>
        <v>9</v>
      </c>
      <c r="AC312" s="11">
        <f t="shared" si="68"/>
        <v>8</v>
      </c>
      <c r="AD312" s="11" t="e">
        <f t="shared" si="69"/>
        <v>#DIV/0!</v>
      </c>
      <c r="AE312" s="11" t="e">
        <f t="shared" si="70"/>
        <v>#DIV/0!</v>
      </c>
      <c r="AF312" s="11" t="e">
        <f t="shared" si="71"/>
        <v>#DIV/0!</v>
      </c>
      <c r="AG312" s="11" t="e">
        <f t="shared" si="72"/>
        <v>#DIV/0!</v>
      </c>
      <c r="AH312" s="11" t="e">
        <f t="shared" si="73"/>
        <v>#DIV/0!</v>
      </c>
      <c r="AI312" s="10"/>
      <c r="AJ312" s="11" t="e">
        <f t="shared" si="74"/>
        <v>#DIV/0!</v>
      </c>
      <c r="AK312" s="11" t="e">
        <f t="shared" si="75"/>
        <v>#DIV/0!</v>
      </c>
      <c r="AL312" s="11" t="e">
        <f t="shared" si="76"/>
        <v>#DIV/0!</v>
      </c>
    </row>
    <row r="313" spans="2:38" x14ac:dyDescent="0.2">
      <c r="B313" s="4"/>
      <c r="C313" s="4"/>
      <c r="D313" s="4"/>
      <c r="E313" s="4"/>
      <c r="F313" s="4"/>
      <c r="G313" s="4"/>
      <c r="H313" s="4"/>
      <c r="I313" s="4"/>
      <c r="J313" s="9" t="e">
        <f t="shared" si="64"/>
        <v>#DIV/0!</v>
      </c>
      <c r="K313" s="4"/>
      <c r="L313" s="4"/>
      <c r="M313" s="4"/>
      <c r="N313" s="4"/>
      <c r="O313" s="7"/>
      <c r="P313" s="7"/>
      <c r="Q313" s="4"/>
      <c r="R313" s="9" t="e">
        <f t="shared" si="65"/>
        <v>#DIV/0!</v>
      </c>
      <c r="S313" s="4" t="s">
        <v>167</v>
      </c>
      <c r="T313" s="4"/>
      <c r="U313" s="10"/>
      <c r="V313" s="10"/>
      <c r="W313" s="10"/>
      <c r="X313" s="10"/>
      <c r="Y313" s="10"/>
      <c r="Z313" s="10"/>
      <c r="AA313" s="11" t="e">
        <f t="shared" si="66"/>
        <v>#DIV/0!</v>
      </c>
      <c r="AB313" s="11">
        <f t="shared" si="67"/>
        <v>9</v>
      </c>
      <c r="AC313" s="11">
        <f t="shared" si="68"/>
        <v>8</v>
      </c>
      <c r="AD313" s="11" t="e">
        <f t="shared" si="69"/>
        <v>#DIV/0!</v>
      </c>
      <c r="AE313" s="11" t="e">
        <f t="shared" si="70"/>
        <v>#DIV/0!</v>
      </c>
      <c r="AF313" s="11" t="e">
        <f t="shared" si="71"/>
        <v>#DIV/0!</v>
      </c>
      <c r="AG313" s="11" t="e">
        <f t="shared" si="72"/>
        <v>#DIV/0!</v>
      </c>
      <c r="AH313" s="11" t="e">
        <f t="shared" si="73"/>
        <v>#DIV/0!</v>
      </c>
      <c r="AI313" s="10"/>
      <c r="AJ313" s="11" t="e">
        <f t="shared" si="74"/>
        <v>#DIV/0!</v>
      </c>
      <c r="AK313" s="11" t="e">
        <f t="shared" si="75"/>
        <v>#DIV/0!</v>
      </c>
      <c r="AL313" s="11" t="e">
        <f t="shared" si="76"/>
        <v>#DIV/0!</v>
      </c>
    </row>
    <row r="314" spans="2:38" x14ac:dyDescent="0.2">
      <c r="B314" s="4"/>
      <c r="C314" s="4"/>
      <c r="D314" s="4"/>
      <c r="E314" s="4"/>
      <c r="F314" s="4"/>
      <c r="G314" s="4"/>
      <c r="H314" s="4"/>
      <c r="I314" s="4"/>
      <c r="J314" s="9" t="e">
        <f t="shared" ref="J314:J377" si="77">ROUND(I314/B314*162, 0)</f>
        <v>#DIV/0!</v>
      </c>
      <c r="K314" s="4"/>
      <c r="L314" s="4"/>
      <c r="M314" s="4"/>
      <c r="N314" s="4"/>
      <c r="O314" s="7"/>
      <c r="P314" s="7"/>
      <c r="Q314" s="4"/>
      <c r="R314" s="9" t="e">
        <f t="shared" ref="R314:R377" si="78">ROUND(Q314/B314*162, 0)</f>
        <v>#DIV/0!</v>
      </c>
      <c r="S314" s="4" t="s">
        <v>168</v>
      </c>
      <c r="T314" s="4"/>
      <c r="U314" s="10"/>
      <c r="V314" s="10"/>
      <c r="W314" s="10"/>
      <c r="X314" s="10"/>
      <c r="Y314" s="10"/>
      <c r="Z314" s="10"/>
      <c r="AA314" s="11" t="e">
        <f t="shared" ref="AA314:AA377" si="79">IF(R314=0,8,IF(R314&lt;2,9,IF(R314&lt;3,10,IF(R314&lt;4,11,IF(R314&lt;5,12,IF(R314&lt;7,13,IF(R314&lt;9,14,IF(R314&lt;11,15,IF(R314&lt;16,16,IF(R314&lt;21,17,IF(R314&lt;26,18,IF(R314&lt;31,19,IF(R314&lt;36,20,IF(R314&lt;41,21,IF(R314&lt;46,22,IF(R314&lt;51,23,24))))))))))))))))</f>
        <v>#DIV/0!</v>
      </c>
      <c r="AB314" s="11">
        <f t="shared" ref="AB314:AB377" si="80">IF(P314&lt;0.3,9,IF(P314&lt;0.34,10,IF(P314&lt;0.365,11,IF(P314&lt;0.39,12,IF(P314&lt;0.43,13,IF(P314&lt;0.475,14,IF(P314&lt;0.5,15,16)))))))</f>
        <v>9</v>
      </c>
      <c r="AC314" s="11">
        <f t="shared" ref="AC314:AC377" si="81">IF(O314&lt;0.2,8,IF(O314&lt;0.25,7,IF(O314&lt;0.3,6,IF(O314&lt;0.35,5,4))))</f>
        <v>8</v>
      </c>
      <c r="AD314" s="11" t="e">
        <f t="shared" ref="AD314:AD377" si="82">ROUND(L314/($L314+$M314+$N314)*$AC314, 0)</f>
        <v>#DIV/0!</v>
      </c>
      <c r="AE314" s="11" t="e">
        <f t="shared" ref="AE314:AE377" si="83">ROUND(M314/($L314+$M314+$N314)*$AC314, 0)</f>
        <v>#DIV/0!</v>
      </c>
      <c r="AF314" s="11" t="e">
        <f t="shared" ref="AF314:AF377" si="84">ROUND(N314/($L314+$M314+$N314)*$AC314, 0)</f>
        <v>#DIV/0!</v>
      </c>
      <c r="AG314" s="11" t="e">
        <f t="shared" ref="AG314:AG377" si="85">ROUND(K314/($K314+E314)*(AL314-AC314-1), 0)</f>
        <v>#DIV/0!</v>
      </c>
      <c r="AH314" s="11" t="e">
        <f t="shared" ref="AH314:AH377" si="86">ROUND(F314/($K314+$E314)*($AL314-$AC314-1), 0)</f>
        <v>#DIV/0!</v>
      </c>
      <c r="AI314" s="10"/>
      <c r="AJ314" s="11" t="e">
        <f t="shared" ref="AJ314:AJ377" si="87">ROUND(G314/($K314+$E314)*($AL314-$AC314-1), 0)</f>
        <v>#DIV/0!</v>
      </c>
      <c r="AK314" s="11" t="e">
        <f t="shared" ref="AK314:AK377" si="88">ROUND(H314/($K314+$E314)*($AL314-$AC314-1), 0)</f>
        <v>#DIV/0!</v>
      </c>
      <c r="AL314" s="11" t="e">
        <f t="shared" ref="AL314:AL377" si="89">IF(J314&lt;3,22,IF(J314&lt;10,21,IF(J314&lt;20,20,IF(J314&lt;30,19,IF(J314&lt;50,18,17)))))</f>
        <v>#DIV/0!</v>
      </c>
    </row>
    <row r="315" spans="2:38" x14ac:dyDescent="0.2">
      <c r="B315" s="4"/>
      <c r="C315" s="4"/>
      <c r="D315" s="4"/>
      <c r="E315" s="4"/>
      <c r="F315" s="4"/>
      <c r="G315" s="4"/>
      <c r="H315" s="4"/>
      <c r="I315" s="4"/>
      <c r="J315" s="9" t="e">
        <f t="shared" si="77"/>
        <v>#DIV/0!</v>
      </c>
      <c r="K315" s="4"/>
      <c r="L315" s="4"/>
      <c r="M315" s="4"/>
      <c r="N315" s="4"/>
      <c r="O315" s="7"/>
      <c r="P315" s="7"/>
      <c r="Q315" s="4"/>
      <c r="R315" s="9" t="e">
        <f t="shared" si="78"/>
        <v>#DIV/0!</v>
      </c>
      <c r="S315" s="4" t="s">
        <v>168</v>
      </c>
      <c r="T315" s="4"/>
      <c r="U315" s="10"/>
      <c r="V315" s="10"/>
      <c r="W315" s="10"/>
      <c r="X315" s="10"/>
      <c r="Y315" s="10"/>
      <c r="Z315" s="10"/>
      <c r="AA315" s="11" t="e">
        <f t="shared" si="79"/>
        <v>#DIV/0!</v>
      </c>
      <c r="AB315" s="11">
        <f t="shared" si="80"/>
        <v>9</v>
      </c>
      <c r="AC315" s="11">
        <f t="shared" si="81"/>
        <v>8</v>
      </c>
      <c r="AD315" s="11" t="e">
        <f t="shared" si="82"/>
        <v>#DIV/0!</v>
      </c>
      <c r="AE315" s="11" t="e">
        <f t="shared" si="83"/>
        <v>#DIV/0!</v>
      </c>
      <c r="AF315" s="11" t="e">
        <f t="shared" si="84"/>
        <v>#DIV/0!</v>
      </c>
      <c r="AG315" s="11" t="e">
        <f t="shared" si="85"/>
        <v>#DIV/0!</v>
      </c>
      <c r="AH315" s="11" t="e">
        <f t="shared" si="86"/>
        <v>#DIV/0!</v>
      </c>
      <c r="AI315" s="10"/>
      <c r="AJ315" s="11" t="e">
        <f t="shared" si="87"/>
        <v>#DIV/0!</v>
      </c>
      <c r="AK315" s="11" t="e">
        <f t="shared" si="88"/>
        <v>#DIV/0!</v>
      </c>
      <c r="AL315" s="11" t="e">
        <f t="shared" si="89"/>
        <v>#DIV/0!</v>
      </c>
    </row>
    <row r="316" spans="2:38" x14ac:dyDescent="0.2">
      <c r="B316" s="4"/>
      <c r="C316" s="4"/>
      <c r="D316" s="4"/>
      <c r="E316" s="4"/>
      <c r="F316" s="4"/>
      <c r="G316" s="4"/>
      <c r="H316" s="4"/>
      <c r="I316" s="4"/>
      <c r="J316" s="9" t="e">
        <f t="shared" si="77"/>
        <v>#DIV/0!</v>
      </c>
      <c r="K316" s="4"/>
      <c r="L316" s="4"/>
      <c r="M316" s="4"/>
      <c r="N316" s="4"/>
      <c r="O316" s="7"/>
      <c r="P316" s="7"/>
      <c r="Q316" s="4"/>
      <c r="R316" s="9" t="e">
        <f t="shared" si="78"/>
        <v>#DIV/0!</v>
      </c>
      <c r="S316" s="4" t="s">
        <v>168</v>
      </c>
      <c r="T316" s="4"/>
      <c r="U316" s="10"/>
      <c r="V316" s="10"/>
      <c r="W316" s="10"/>
      <c r="X316" s="10"/>
      <c r="Y316" s="10"/>
      <c r="Z316" s="10"/>
      <c r="AA316" s="11" t="e">
        <f t="shared" si="79"/>
        <v>#DIV/0!</v>
      </c>
      <c r="AB316" s="11">
        <f t="shared" si="80"/>
        <v>9</v>
      </c>
      <c r="AC316" s="11">
        <f t="shared" si="81"/>
        <v>8</v>
      </c>
      <c r="AD316" s="11" t="e">
        <f t="shared" si="82"/>
        <v>#DIV/0!</v>
      </c>
      <c r="AE316" s="11" t="e">
        <f t="shared" si="83"/>
        <v>#DIV/0!</v>
      </c>
      <c r="AF316" s="11" t="e">
        <f t="shared" si="84"/>
        <v>#DIV/0!</v>
      </c>
      <c r="AG316" s="11" t="e">
        <f t="shared" si="85"/>
        <v>#DIV/0!</v>
      </c>
      <c r="AH316" s="11" t="e">
        <f t="shared" si="86"/>
        <v>#DIV/0!</v>
      </c>
      <c r="AI316" s="10"/>
      <c r="AJ316" s="11" t="e">
        <f t="shared" si="87"/>
        <v>#DIV/0!</v>
      </c>
      <c r="AK316" s="11" t="e">
        <f t="shared" si="88"/>
        <v>#DIV/0!</v>
      </c>
      <c r="AL316" s="11" t="e">
        <f t="shared" si="89"/>
        <v>#DIV/0!</v>
      </c>
    </row>
    <row r="317" spans="2:38" x14ac:dyDescent="0.2">
      <c r="B317" s="4"/>
      <c r="C317" s="4"/>
      <c r="D317" s="4"/>
      <c r="E317" s="4"/>
      <c r="F317" s="4"/>
      <c r="G317" s="4"/>
      <c r="H317" s="4"/>
      <c r="I317" s="4"/>
      <c r="J317" s="9" t="e">
        <f t="shared" si="77"/>
        <v>#DIV/0!</v>
      </c>
      <c r="K317" s="4"/>
      <c r="L317" s="4"/>
      <c r="M317" s="4"/>
      <c r="N317" s="4"/>
      <c r="O317" s="7"/>
      <c r="P317" s="7"/>
      <c r="Q317" s="4"/>
      <c r="R317" s="9" t="e">
        <f t="shared" si="78"/>
        <v>#DIV/0!</v>
      </c>
      <c r="S317" s="4" t="s">
        <v>168</v>
      </c>
      <c r="T317" s="4"/>
      <c r="U317" s="10"/>
      <c r="V317" s="10"/>
      <c r="W317" s="10"/>
      <c r="X317" s="10"/>
      <c r="Y317" s="10"/>
      <c r="Z317" s="10"/>
      <c r="AA317" s="11" t="e">
        <f t="shared" si="79"/>
        <v>#DIV/0!</v>
      </c>
      <c r="AB317" s="11">
        <f t="shared" si="80"/>
        <v>9</v>
      </c>
      <c r="AC317" s="11">
        <f t="shared" si="81"/>
        <v>8</v>
      </c>
      <c r="AD317" s="11" t="e">
        <f t="shared" si="82"/>
        <v>#DIV/0!</v>
      </c>
      <c r="AE317" s="11" t="e">
        <f t="shared" si="83"/>
        <v>#DIV/0!</v>
      </c>
      <c r="AF317" s="11" t="e">
        <f t="shared" si="84"/>
        <v>#DIV/0!</v>
      </c>
      <c r="AG317" s="11" t="e">
        <f t="shared" si="85"/>
        <v>#DIV/0!</v>
      </c>
      <c r="AH317" s="11" t="e">
        <f t="shared" si="86"/>
        <v>#DIV/0!</v>
      </c>
      <c r="AI317" s="10"/>
      <c r="AJ317" s="11" t="e">
        <f t="shared" si="87"/>
        <v>#DIV/0!</v>
      </c>
      <c r="AK317" s="11" t="e">
        <f t="shared" si="88"/>
        <v>#DIV/0!</v>
      </c>
      <c r="AL317" s="11" t="e">
        <f t="shared" si="89"/>
        <v>#DIV/0!</v>
      </c>
    </row>
    <row r="318" spans="2:38" x14ac:dyDescent="0.2">
      <c r="B318" s="4"/>
      <c r="C318" s="4"/>
      <c r="D318" s="4"/>
      <c r="E318" s="4"/>
      <c r="F318" s="4"/>
      <c r="G318" s="4"/>
      <c r="H318" s="4"/>
      <c r="I318" s="4"/>
      <c r="J318" s="9" t="e">
        <f t="shared" si="77"/>
        <v>#DIV/0!</v>
      </c>
      <c r="K318" s="4"/>
      <c r="L318" s="4"/>
      <c r="M318" s="4"/>
      <c r="N318" s="4"/>
      <c r="O318" s="7"/>
      <c r="P318" s="7"/>
      <c r="Q318" s="4"/>
      <c r="R318" s="9" t="e">
        <f t="shared" si="78"/>
        <v>#DIV/0!</v>
      </c>
      <c r="S318" s="4" t="s">
        <v>168</v>
      </c>
      <c r="T318" s="4"/>
      <c r="U318" s="10"/>
      <c r="V318" s="10"/>
      <c r="W318" s="10"/>
      <c r="X318" s="10"/>
      <c r="Y318" s="10"/>
      <c r="Z318" s="10"/>
      <c r="AA318" s="11" t="e">
        <f t="shared" si="79"/>
        <v>#DIV/0!</v>
      </c>
      <c r="AB318" s="11">
        <f t="shared" si="80"/>
        <v>9</v>
      </c>
      <c r="AC318" s="11">
        <f t="shared" si="81"/>
        <v>8</v>
      </c>
      <c r="AD318" s="11" t="e">
        <f t="shared" si="82"/>
        <v>#DIV/0!</v>
      </c>
      <c r="AE318" s="11" t="e">
        <f t="shared" si="83"/>
        <v>#DIV/0!</v>
      </c>
      <c r="AF318" s="11" t="e">
        <f t="shared" si="84"/>
        <v>#DIV/0!</v>
      </c>
      <c r="AG318" s="11" t="e">
        <f t="shared" si="85"/>
        <v>#DIV/0!</v>
      </c>
      <c r="AH318" s="11" t="e">
        <f t="shared" si="86"/>
        <v>#DIV/0!</v>
      </c>
      <c r="AI318" s="10"/>
      <c r="AJ318" s="11" t="e">
        <f t="shared" si="87"/>
        <v>#DIV/0!</v>
      </c>
      <c r="AK318" s="11" t="e">
        <f t="shared" si="88"/>
        <v>#DIV/0!</v>
      </c>
      <c r="AL318" s="11" t="e">
        <f t="shared" si="89"/>
        <v>#DIV/0!</v>
      </c>
    </row>
    <row r="319" spans="2:38" x14ac:dyDescent="0.2">
      <c r="B319" s="4"/>
      <c r="C319" s="4"/>
      <c r="D319" s="4"/>
      <c r="E319" s="4"/>
      <c r="F319" s="4"/>
      <c r="G319" s="4"/>
      <c r="H319" s="4"/>
      <c r="I319" s="4"/>
      <c r="J319" s="9" t="e">
        <f t="shared" si="77"/>
        <v>#DIV/0!</v>
      </c>
      <c r="K319" s="4"/>
      <c r="L319" s="4"/>
      <c r="M319" s="4"/>
      <c r="N319" s="4"/>
      <c r="O319" s="7"/>
      <c r="P319" s="7"/>
      <c r="Q319" s="4"/>
      <c r="R319" s="9" t="e">
        <f t="shared" si="78"/>
        <v>#DIV/0!</v>
      </c>
      <c r="S319" s="4" t="s">
        <v>168</v>
      </c>
      <c r="T319" s="4"/>
      <c r="U319" s="10"/>
      <c r="V319" s="10"/>
      <c r="W319" s="10"/>
      <c r="X319" s="10"/>
      <c r="Y319" s="10"/>
      <c r="Z319" s="10"/>
      <c r="AA319" s="11" t="e">
        <f t="shared" si="79"/>
        <v>#DIV/0!</v>
      </c>
      <c r="AB319" s="11">
        <f t="shared" si="80"/>
        <v>9</v>
      </c>
      <c r="AC319" s="11">
        <f t="shared" si="81"/>
        <v>8</v>
      </c>
      <c r="AD319" s="11" t="e">
        <f t="shared" si="82"/>
        <v>#DIV/0!</v>
      </c>
      <c r="AE319" s="11" t="e">
        <f t="shared" si="83"/>
        <v>#DIV/0!</v>
      </c>
      <c r="AF319" s="11" t="e">
        <f t="shared" si="84"/>
        <v>#DIV/0!</v>
      </c>
      <c r="AG319" s="11" t="e">
        <f t="shared" si="85"/>
        <v>#DIV/0!</v>
      </c>
      <c r="AH319" s="11" t="e">
        <f t="shared" si="86"/>
        <v>#DIV/0!</v>
      </c>
      <c r="AI319" s="10"/>
      <c r="AJ319" s="11" t="e">
        <f t="shared" si="87"/>
        <v>#DIV/0!</v>
      </c>
      <c r="AK319" s="11" t="e">
        <f t="shared" si="88"/>
        <v>#DIV/0!</v>
      </c>
      <c r="AL319" s="11" t="e">
        <f t="shared" si="89"/>
        <v>#DIV/0!</v>
      </c>
    </row>
    <row r="320" spans="2:38" x14ac:dyDescent="0.2">
      <c r="B320" s="4"/>
      <c r="C320" s="4"/>
      <c r="D320" s="4"/>
      <c r="E320" s="4"/>
      <c r="F320" s="4"/>
      <c r="G320" s="4"/>
      <c r="H320" s="4"/>
      <c r="I320" s="4"/>
      <c r="J320" s="9" t="e">
        <f t="shared" si="77"/>
        <v>#DIV/0!</v>
      </c>
      <c r="K320" s="4"/>
      <c r="L320" s="4"/>
      <c r="M320" s="4"/>
      <c r="N320" s="4"/>
      <c r="O320" s="7"/>
      <c r="P320" s="7"/>
      <c r="Q320" s="4"/>
      <c r="R320" s="9" t="e">
        <f t="shared" si="78"/>
        <v>#DIV/0!</v>
      </c>
      <c r="S320" s="4" t="s">
        <v>168</v>
      </c>
      <c r="T320" s="4"/>
      <c r="U320" s="10"/>
      <c r="V320" s="10"/>
      <c r="W320" s="10"/>
      <c r="X320" s="10"/>
      <c r="Y320" s="10"/>
      <c r="Z320" s="10"/>
      <c r="AA320" s="11" t="e">
        <f t="shared" si="79"/>
        <v>#DIV/0!</v>
      </c>
      <c r="AB320" s="11">
        <f t="shared" si="80"/>
        <v>9</v>
      </c>
      <c r="AC320" s="11">
        <f t="shared" si="81"/>
        <v>8</v>
      </c>
      <c r="AD320" s="11" t="e">
        <f t="shared" si="82"/>
        <v>#DIV/0!</v>
      </c>
      <c r="AE320" s="11" t="e">
        <f t="shared" si="83"/>
        <v>#DIV/0!</v>
      </c>
      <c r="AF320" s="11" t="e">
        <f t="shared" si="84"/>
        <v>#DIV/0!</v>
      </c>
      <c r="AG320" s="11" t="e">
        <f t="shared" si="85"/>
        <v>#DIV/0!</v>
      </c>
      <c r="AH320" s="11" t="e">
        <f t="shared" si="86"/>
        <v>#DIV/0!</v>
      </c>
      <c r="AI320" s="10"/>
      <c r="AJ320" s="11" t="e">
        <f t="shared" si="87"/>
        <v>#DIV/0!</v>
      </c>
      <c r="AK320" s="11" t="e">
        <f t="shared" si="88"/>
        <v>#DIV/0!</v>
      </c>
      <c r="AL320" s="11" t="e">
        <f t="shared" si="89"/>
        <v>#DIV/0!</v>
      </c>
    </row>
    <row r="321" spans="2:38" x14ac:dyDescent="0.2">
      <c r="B321" s="4"/>
      <c r="C321" s="4"/>
      <c r="D321" s="4"/>
      <c r="E321" s="4"/>
      <c r="F321" s="4"/>
      <c r="G321" s="4"/>
      <c r="H321" s="4"/>
      <c r="I321" s="4"/>
      <c r="J321" s="9" t="e">
        <f t="shared" si="77"/>
        <v>#DIV/0!</v>
      </c>
      <c r="K321" s="4"/>
      <c r="L321" s="4"/>
      <c r="M321" s="4"/>
      <c r="N321" s="4"/>
      <c r="O321" s="7"/>
      <c r="P321" s="7"/>
      <c r="Q321" s="4"/>
      <c r="R321" s="9" t="e">
        <f t="shared" si="78"/>
        <v>#DIV/0!</v>
      </c>
      <c r="S321" s="4" t="s">
        <v>168</v>
      </c>
      <c r="T321" s="4"/>
      <c r="U321" s="10"/>
      <c r="V321" s="10"/>
      <c r="W321" s="10"/>
      <c r="X321" s="10"/>
      <c r="Y321" s="10"/>
      <c r="Z321" s="10"/>
      <c r="AA321" s="11" t="e">
        <f t="shared" si="79"/>
        <v>#DIV/0!</v>
      </c>
      <c r="AB321" s="11">
        <f t="shared" si="80"/>
        <v>9</v>
      </c>
      <c r="AC321" s="11">
        <f t="shared" si="81"/>
        <v>8</v>
      </c>
      <c r="AD321" s="11" t="e">
        <f t="shared" si="82"/>
        <v>#DIV/0!</v>
      </c>
      <c r="AE321" s="11" t="e">
        <f t="shared" si="83"/>
        <v>#DIV/0!</v>
      </c>
      <c r="AF321" s="11" t="e">
        <f t="shared" si="84"/>
        <v>#DIV/0!</v>
      </c>
      <c r="AG321" s="11" t="e">
        <f t="shared" si="85"/>
        <v>#DIV/0!</v>
      </c>
      <c r="AH321" s="11" t="e">
        <f t="shared" si="86"/>
        <v>#DIV/0!</v>
      </c>
      <c r="AI321" s="10"/>
      <c r="AJ321" s="11" t="e">
        <f t="shared" si="87"/>
        <v>#DIV/0!</v>
      </c>
      <c r="AK321" s="11" t="e">
        <f t="shared" si="88"/>
        <v>#DIV/0!</v>
      </c>
      <c r="AL321" s="11" t="e">
        <f t="shared" si="89"/>
        <v>#DIV/0!</v>
      </c>
    </row>
    <row r="322" spans="2:38" x14ac:dyDescent="0.2">
      <c r="B322" s="4"/>
      <c r="C322" s="4"/>
      <c r="D322" s="4"/>
      <c r="E322" s="4"/>
      <c r="F322" s="4"/>
      <c r="G322" s="4"/>
      <c r="H322" s="4"/>
      <c r="I322" s="4"/>
      <c r="J322" s="9" t="e">
        <f t="shared" si="77"/>
        <v>#DIV/0!</v>
      </c>
      <c r="K322" s="4"/>
      <c r="L322" s="4"/>
      <c r="M322" s="4"/>
      <c r="N322" s="4"/>
      <c r="O322" s="7"/>
      <c r="P322" s="7"/>
      <c r="Q322" s="4"/>
      <c r="R322" s="9" t="e">
        <f t="shared" si="78"/>
        <v>#DIV/0!</v>
      </c>
      <c r="S322" s="4" t="s">
        <v>168</v>
      </c>
      <c r="T322" s="4"/>
      <c r="U322" s="10"/>
      <c r="V322" s="10"/>
      <c r="W322" s="10"/>
      <c r="X322" s="10"/>
      <c r="Y322" s="10"/>
      <c r="Z322" s="10"/>
      <c r="AA322" s="11" t="e">
        <f t="shared" si="79"/>
        <v>#DIV/0!</v>
      </c>
      <c r="AB322" s="11">
        <f t="shared" si="80"/>
        <v>9</v>
      </c>
      <c r="AC322" s="11">
        <f t="shared" si="81"/>
        <v>8</v>
      </c>
      <c r="AD322" s="11" t="e">
        <f t="shared" si="82"/>
        <v>#DIV/0!</v>
      </c>
      <c r="AE322" s="11" t="e">
        <f t="shared" si="83"/>
        <v>#DIV/0!</v>
      </c>
      <c r="AF322" s="11" t="e">
        <f t="shared" si="84"/>
        <v>#DIV/0!</v>
      </c>
      <c r="AG322" s="11" t="e">
        <f t="shared" si="85"/>
        <v>#DIV/0!</v>
      </c>
      <c r="AH322" s="11" t="e">
        <f t="shared" si="86"/>
        <v>#DIV/0!</v>
      </c>
      <c r="AI322" s="10"/>
      <c r="AJ322" s="11" t="e">
        <f t="shared" si="87"/>
        <v>#DIV/0!</v>
      </c>
      <c r="AK322" s="11" t="e">
        <f t="shared" si="88"/>
        <v>#DIV/0!</v>
      </c>
      <c r="AL322" s="11" t="e">
        <f t="shared" si="89"/>
        <v>#DIV/0!</v>
      </c>
    </row>
    <row r="323" spans="2:38" x14ac:dyDescent="0.2">
      <c r="B323" s="4"/>
      <c r="C323" s="4"/>
      <c r="D323" s="4"/>
      <c r="E323" s="4"/>
      <c r="F323" s="4"/>
      <c r="G323" s="4"/>
      <c r="H323" s="4"/>
      <c r="I323" s="4"/>
      <c r="J323" s="9" t="e">
        <f t="shared" si="77"/>
        <v>#DIV/0!</v>
      </c>
      <c r="K323" s="4"/>
      <c r="L323" s="4"/>
      <c r="M323" s="4"/>
      <c r="N323" s="4"/>
      <c r="O323" s="7"/>
      <c r="P323" s="7"/>
      <c r="Q323" s="4"/>
      <c r="R323" s="9" t="e">
        <f t="shared" si="78"/>
        <v>#DIV/0!</v>
      </c>
      <c r="S323" s="4" t="s">
        <v>168</v>
      </c>
      <c r="T323" s="4"/>
      <c r="U323" s="10"/>
      <c r="V323" s="10"/>
      <c r="W323" s="10"/>
      <c r="X323" s="10"/>
      <c r="Y323" s="10"/>
      <c r="Z323" s="10"/>
      <c r="AA323" s="11" t="e">
        <f t="shared" si="79"/>
        <v>#DIV/0!</v>
      </c>
      <c r="AB323" s="11">
        <f t="shared" si="80"/>
        <v>9</v>
      </c>
      <c r="AC323" s="11">
        <f t="shared" si="81"/>
        <v>8</v>
      </c>
      <c r="AD323" s="11" t="e">
        <f t="shared" si="82"/>
        <v>#DIV/0!</v>
      </c>
      <c r="AE323" s="11" t="e">
        <f t="shared" si="83"/>
        <v>#DIV/0!</v>
      </c>
      <c r="AF323" s="11" t="e">
        <f t="shared" si="84"/>
        <v>#DIV/0!</v>
      </c>
      <c r="AG323" s="11" t="e">
        <f t="shared" si="85"/>
        <v>#DIV/0!</v>
      </c>
      <c r="AH323" s="11" t="e">
        <f t="shared" si="86"/>
        <v>#DIV/0!</v>
      </c>
      <c r="AI323" s="10"/>
      <c r="AJ323" s="11" t="e">
        <f t="shared" si="87"/>
        <v>#DIV/0!</v>
      </c>
      <c r="AK323" s="11" t="e">
        <f t="shared" si="88"/>
        <v>#DIV/0!</v>
      </c>
      <c r="AL323" s="11" t="e">
        <f t="shared" si="89"/>
        <v>#DIV/0!</v>
      </c>
    </row>
    <row r="324" spans="2:38" x14ac:dyDescent="0.2">
      <c r="B324" s="4"/>
      <c r="C324" s="4"/>
      <c r="D324" s="4"/>
      <c r="E324" s="4"/>
      <c r="F324" s="4"/>
      <c r="G324" s="4"/>
      <c r="H324" s="4"/>
      <c r="I324" s="4"/>
      <c r="J324" s="9" t="e">
        <f t="shared" si="77"/>
        <v>#DIV/0!</v>
      </c>
      <c r="K324" s="4"/>
      <c r="L324" s="4"/>
      <c r="M324" s="4"/>
      <c r="N324" s="4"/>
      <c r="O324" s="7"/>
      <c r="P324" s="7"/>
      <c r="Q324" s="4"/>
      <c r="R324" s="9" t="e">
        <f t="shared" si="78"/>
        <v>#DIV/0!</v>
      </c>
      <c r="S324" s="4" t="s">
        <v>168</v>
      </c>
      <c r="T324" s="4"/>
      <c r="U324" s="10"/>
      <c r="V324" s="10"/>
      <c r="W324" s="10"/>
      <c r="X324" s="10"/>
      <c r="Y324" s="10"/>
      <c r="Z324" s="10"/>
      <c r="AA324" s="11" t="e">
        <f t="shared" si="79"/>
        <v>#DIV/0!</v>
      </c>
      <c r="AB324" s="11">
        <f t="shared" si="80"/>
        <v>9</v>
      </c>
      <c r="AC324" s="11">
        <f t="shared" si="81"/>
        <v>8</v>
      </c>
      <c r="AD324" s="11" t="e">
        <f t="shared" si="82"/>
        <v>#DIV/0!</v>
      </c>
      <c r="AE324" s="11" t="e">
        <f t="shared" si="83"/>
        <v>#DIV/0!</v>
      </c>
      <c r="AF324" s="11" t="e">
        <f t="shared" si="84"/>
        <v>#DIV/0!</v>
      </c>
      <c r="AG324" s="11" t="e">
        <f t="shared" si="85"/>
        <v>#DIV/0!</v>
      </c>
      <c r="AH324" s="11" t="e">
        <f t="shared" si="86"/>
        <v>#DIV/0!</v>
      </c>
      <c r="AI324" s="10"/>
      <c r="AJ324" s="11" t="e">
        <f t="shared" si="87"/>
        <v>#DIV/0!</v>
      </c>
      <c r="AK324" s="11" t="e">
        <f t="shared" si="88"/>
        <v>#DIV/0!</v>
      </c>
      <c r="AL324" s="11" t="e">
        <f t="shared" si="89"/>
        <v>#DIV/0!</v>
      </c>
    </row>
    <row r="325" spans="2:38" x14ac:dyDescent="0.2">
      <c r="B325" s="4"/>
      <c r="C325" s="4"/>
      <c r="D325" s="4"/>
      <c r="E325" s="4"/>
      <c r="F325" s="4"/>
      <c r="G325" s="4"/>
      <c r="H325" s="4"/>
      <c r="I325" s="4"/>
      <c r="J325" s="9" t="e">
        <f t="shared" si="77"/>
        <v>#DIV/0!</v>
      </c>
      <c r="K325" s="4"/>
      <c r="L325" s="4"/>
      <c r="M325" s="4"/>
      <c r="N325" s="4"/>
      <c r="O325" s="7"/>
      <c r="P325" s="7"/>
      <c r="Q325" s="4"/>
      <c r="R325" s="9" t="e">
        <f t="shared" si="78"/>
        <v>#DIV/0!</v>
      </c>
      <c r="S325" s="4" t="s">
        <v>168</v>
      </c>
      <c r="T325" s="4"/>
      <c r="U325" s="10"/>
      <c r="V325" s="10"/>
      <c r="W325" s="10"/>
      <c r="X325" s="10"/>
      <c r="Y325" s="10"/>
      <c r="Z325" s="10"/>
      <c r="AA325" s="11" t="e">
        <f t="shared" si="79"/>
        <v>#DIV/0!</v>
      </c>
      <c r="AB325" s="11">
        <f t="shared" si="80"/>
        <v>9</v>
      </c>
      <c r="AC325" s="11">
        <f t="shared" si="81"/>
        <v>8</v>
      </c>
      <c r="AD325" s="11" t="e">
        <f t="shared" si="82"/>
        <v>#DIV/0!</v>
      </c>
      <c r="AE325" s="11" t="e">
        <f t="shared" si="83"/>
        <v>#DIV/0!</v>
      </c>
      <c r="AF325" s="11" t="e">
        <f t="shared" si="84"/>
        <v>#DIV/0!</v>
      </c>
      <c r="AG325" s="11" t="e">
        <f t="shared" si="85"/>
        <v>#DIV/0!</v>
      </c>
      <c r="AH325" s="11" t="e">
        <f t="shared" si="86"/>
        <v>#DIV/0!</v>
      </c>
      <c r="AI325" s="10"/>
      <c r="AJ325" s="11" t="e">
        <f t="shared" si="87"/>
        <v>#DIV/0!</v>
      </c>
      <c r="AK325" s="11" t="e">
        <f t="shared" si="88"/>
        <v>#DIV/0!</v>
      </c>
      <c r="AL325" s="11" t="e">
        <f t="shared" si="89"/>
        <v>#DIV/0!</v>
      </c>
    </row>
    <row r="326" spans="2:38" x14ac:dyDescent="0.2">
      <c r="B326" s="4"/>
      <c r="C326" s="4"/>
      <c r="D326" s="4"/>
      <c r="E326" s="4"/>
      <c r="F326" s="4"/>
      <c r="G326" s="4"/>
      <c r="H326" s="4"/>
      <c r="I326" s="4"/>
      <c r="J326" s="9" t="e">
        <f t="shared" si="77"/>
        <v>#DIV/0!</v>
      </c>
      <c r="K326" s="4"/>
      <c r="L326" s="4"/>
      <c r="M326" s="4"/>
      <c r="N326" s="4"/>
      <c r="O326" s="7"/>
      <c r="P326" s="7"/>
      <c r="Q326" s="4"/>
      <c r="R326" s="9" t="e">
        <f t="shared" si="78"/>
        <v>#DIV/0!</v>
      </c>
      <c r="S326" s="4" t="s">
        <v>168</v>
      </c>
      <c r="T326" s="4"/>
      <c r="U326" s="10"/>
      <c r="V326" s="10"/>
      <c r="W326" s="10"/>
      <c r="X326" s="10"/>
      <c r="Y326" s="10"/>
      <c r="Z326" s="10"/>
      <c r="AA326" s="11" t="e">
        <f t="shared" si="79"/>
        <v>#DIV/0!</v>
      </c>
      <c r="AB326" s="11">
        <f t="shared" si="80"/>
        <v>9</v>
      </c>
      <c r="AC326" s="11">
        <f t="shared" si="81"/>
        <v>8</v>
      </c>
      <c r="AD326" s="11" t="e">
        <f t="shared" si="82"/>
        <v>#DIV/0!</v>
      </c>
      <c r="AE326" s="11" t="e">
        <f t="shared" si="83"/>
        <v>#DIV/0!</v>
      </c>
      <c r="AF326" s="11" t="e">
        <f t="shared" si="84"/>
        <v>#DIV/0!</v>
      </c>
      <c r="AG326" s="11" t="e">
        <f t="shared" si="85"/>
        <v>#DIV/0!</v>
      </c>
      <c r="AH326" s="11" t="e">
        <f t="shared" si="86"/>
        <v>#DIV/0!</v>
      </c>
      <c r="AI326" s="10"/>
      <c r="AJ326" s="11" t="e">
        <f t="shared" si="87"/>
        <v>#DIV/0!</v>
      </c>
      <c r="AK326" s="11" t="e">
        <f t="shared" si="88"/>
        <v>#DIV/0!</v>
      </c>
      <c r="AL326" s="11" t="e">
        <f t="shared" si="89"/>
        <v>#DIV/0!</v>
      </c>
    </row>
    <row r="327" spans="2:38" x14ac:dyDescent="0.2">
      <c r="B327" s="4"/>
      <c r="C327" s="4"/>
      <c r="D327" s="4"/>
      <c r="E327" s="4"/>
      <c r="F327" s="4"/>
      <c r="G327" s="4"/>
      <c r="H327" s="4"/>
      <c r="I327" s="4"/>
      <c r="J327" s="9" t="e">
        <f t="shared" si="77"/>
        <v>#DIV/0!</v>
      </c>
      <c r="K327" s="4"/>
      <c r="L327" s="4"/>
      <c r="M327" s="4"/>
      <c r="N327" s="4"/>
      <c r="O327" s="7"/>
      <c r="P327" s="7"/>
      <c r="Q327" s="4"/>
      <c r="R327" s="9" t="e">
        <f t="shared" si="78"/>
        <v>#DIV/0!</v>
      </c>
      <c r="S327" s="4" t="s">
        <v>168</v>
      </c>
      <c r="T327" s="4"/>
      <c r="U327" s="10"/>
      <c r="V327" s="10"/>
      <c r="W327" s="10"/>
      <c r="X327" s="10"/>
      <c r="Y327" s="10"/>
      <c r="Z327" s="10"/>
      <c r="AA327" s="11" t="e">
        <f t="shared" si="79"/>
        <v>#DIV/0!</v>
      </c>
      <c r="AB327" s="11">
        <f t="shared" si="80"/>
        <v>9</v>
      </c>
      <c r="AC327" s="11">
        <f t="shared" si="81"/>
        <v>8</v>
      </c>
      <c r="AD327" s="11" t="e">
        <f t="shared" si="82"/>
        <v>#DIV/0!</v>
      </c>
      <c r="AE327" s="11" t="e">
        <f t="shared" si="83"/>
        <v>#DIV/0!</v>
      </c>
      <c r="AF327" s="11" t="e">
        <f t="shared" si="84"/>
        <v>#DIV/0!</v>
      </c>
      <c r="AG327" s="11" t="e">
        <f t="shared" si="85"/>
        <v>#DIV/0!</v>
      </c>
      <c r="AH327" s="11" t="e">
        <f t="shared" si="86"/>
        <v>#DIV/0!</v>
      </c>
      <c r="AI327" s="10"/>
      <c r="AJ327" s="11" t="e">
        <f t="shared" si="87"/>
        <v>#DIV/0!</v>
      </c>
      <c r="AK327" s="11" t="e">
        <f t="shared" si="88"/>
        <v>#DIV/0!</v>
      </c>
      <c r="AL327" s="11" t="e">
        <f t="shared" si="89"/>
        <v>#DIV/0!</v>
      </c>
    </row>
    <row r="328" spans="2:38" x14ac:dyDescent="0.2">
      <c r="B328" s="4"/>
      <c r="C328" s="4"/>
      <c r="D328" s="4"/>
      <c r="E328" s="4"/>
      <c r="F328" s="4"/>
      <c r="G328" s="4"/>
      <c r="H328" s="4"/>
      <c r="I328" s="4"/>
      <c r="J328" s="9" t="e">
        <f t="shared" si="77"/>
        <v>#DIV/0!</v>
      </c>
      <c r="K328" s="4"/>
      <c r="L328" s="4"/>
      <c r="M328" s="4"/>
      <c r="N328" s="4"/>
      <c r="O328" s="7"/>
      <c r="P328" s="7"/>
      <c r="Q328" s="4"/>
      <c r="R328" s="9" t="e">
        <f t="shared" si="78"/>
        <v>#DIV/0!</v>
      </c>
      <c r="S328" s="4" t="s">
        <v>169</v>
      </c>
      <c r="T328" s="4"/>
      <c r="U328" s="10"/>
      <c r="V328" s="10"/>
      <c r="W328" s="10"/>
      <c r="X328" s="10"/>
      <c r="Y328" s="10"/>
      <c r="Z328" s="10"/>
      <c r="AA328" s="11" t="e">
        <f t="shared" si="79"/>
        <v>#DIV/0!</v>
      </c>
      <c r="AB328" s="11">
        <f t="shared" si="80"/>
        <v>9</v>
      </c>
      <c r="AC328" s="11">
        <f t="shared" si="81"/>
        <v>8</v>
      </c>
      <c r="AD328" s="11" t="e">
        <f t="shared" si="82"/>
        <v>#DIV/0!</v>
      </c>
      <c r="AE328" s="11" t="e">
        <f t="shared" si="83"/>
        <v>#DIV/0!</v>
      </c>
      <c r="AF328" s="11" t="e">
        <f t="shared" si="84"/>
        <v>#DIV/0!</v>
      </c>
      <c r="AG328" s="11" t="e">
        <f t="shared" si="85"/>
        <v>#DIV/0!</v>
      </c>
      <c r="AH328" s="11" t="e">
        <f t="shared" si="86"/>
        <v>#DIV/0!</v>
      </c>
      <c r="AI328" s="10"/>
      <c r="AJ328" s="11" t="e">
        <f t="shared" si="87"/>
        <v>#DIV/0!</v>
      </c>
      <c r="AK328" s="11" t="e">
        <f t="shared" si="88"/>
        <v>#DIV/0!</v>
      </c>
      <c r="AL328" s="11" t="e">
        <f t="shared" si="89"/>
        <v>#DIV/0!</v>
      </c>
    </row>
    <row r="329" spans="2:38" x14ac:dyDescent="0.2">
      <c r="B329" s="4"/>
      <c r="C329" s="4"/>
      <c r="D329" s="4"/>
      <c r="E329" s="4"/>
      <c r="F329" s="4"/>
      <c r="G329" s="4"/>
      <c r="H329" s="4"/>
      <c r="I329" s="4"/>
      <c r="J329" s="9" t="e">
        <f t="shared" si="77"/>
        <v>#DIV/0!</v>
      </c>
      <c r="K329" s="4"/>
      <c r="L329" s="4"/>
      <c r="M329" s="4"/>
      <c r="N329" s="4"/>
      <c r="O329" s="7"/>
      <c r="P329" s="7"/>
      <c r="Q329" s="4"/>
      <c r="R329" s="9" t="e">
        <f t="shared" si="78"/>
        <v>#DIV/0!</v>
      </c>
      <c r="S329" s="4" t="s">
        <v>169</v>
      </c>
      <c r="T329" s="4"/>
      <c r="U329" s="10"/>
      <c r="V329" s="10"/>
      <c r="W329" s="10"/>
      <c r="X329" s="10"/>
      <c r="Y329" s="10"/>
      <c r="Z329" s="10"/>
      <c r="AA329" s="11" t="e">
        <f t="shared" si="79"/>
        <v>#DIV/0!</v>
      </c>
      <c r="AB329" s="11">
        <f t="shared" si="80"/>
        <v>9</v>
      </c>
      <c r="AC329" s="11">
        <f t="shared" si="81"/>
        <v>8</v>
      </c>
      <c r="AD329" s="11" t="e">
        <f t="shared" si="82"/>
        <v>#DIV/0!</v>
      </c>
      <c r="AE329" s="11" t="e">
        <f t="shared" si="83"/>
        <v>#DIV/0!</v>
      </c>
      <c r="AF329" s="11" t="e">
        <f t="shared" si="84"/>
        <v>#DIV/0!</v>
      </c>
      <c r="AG329" s="11" t="e">
        <f t="shared" si="85"/>
        <v>#DIV/0!</v>
      </c>
      <c r="AH329" s="11" t="e">
        <f t="shared" si="86"/>
        <v>#DIV/0!</v>
      </c>
      <c r="AI329" s="10"/>
      <c r="AJ329" s="11" t="e">
        <f t="shared" si="87"/>
        <v>#DIV/0!</v>
      </c>
      <c r="AK329" s="11" t="e">
        <f t="shared" si="88"/>
        <v>#DIV/0!</v>
      </c>
      <c r="AL329" s="11" t="e">
        <f t="shared" si="89"/>
        <v>#DIV/0!</v>
      </c>
    </row>
    <row r="330" spans="2:38" x14ac:dyDescent="0.2">
      <c r="B330" s="4"/>
      <c r="C330" s="4"/>
      <c r="D330" s="4"/>
      <c r="E330" s="4"/>
      <c r="F330" s="4"/>
      <c r="G330" s="4"/>
      <c r="H330" s="4"/>
      <c r="I330" s="4"/>
      <c r="J330" s="9" t="e">
        <f t="shared" si="77"/>
        <v>#DIV/0!</v>
      </c>
      <c r="K330" s="4"/>
      <c r="L330" s="4"/>
      <c r="M330" s="4"/>
      <c r="N330" s="4"/>
      <c r="O330" s="7"/>
      <c r="P330" s="7"/>
      <c r="Q330" s="4"/>
      <c r="R330" s="9" t="e">
        <f t="shared" si="78"/>
        <v>#DIV/0!</v>
      </c>
      <c r="S330" s="4" t="s">
        <v>169</v>
      </c>
      <c r="T330" s="4"/>
      <c r="U330" s="10"/>
      <c r="V330" s="10"/>
      <c r="W330" s="10"/>
      <c r="X330" s="10"/>
      <c r="Y330" s="10"/>
      <c r="Z330" s="10"/>
      <c r="AA330" s="11" t="e">
        <f t="shared" si="79"/>
        <v>#DIV/0!</v>
      </c>
      <c r="AB330" s="11">
        <f t="shared" si="80"/>
        <v>9</v>
      </c>
      <c r="AC330" s="11">
        <f t="shared" si="81"/>
        <v>8</v>
      </c>
      <c r="AD330" s="11" t="e">
        <f t="shared" si="82"/>
        <v>#DIV/0!</v>
      </c>
      <c r="AE330" s="11" t="e">
        <f t="shared" si="83"/>
        <v>#DIV/0!</v>
      </c>
      <c r="AF330" s="11" t="e">
        <f t="shared" si="84"/>
        <v>#DIV/0!</v>
      </c>
      <c r="AG330" s="11" t="e">
        <f t="shared" si="85"/>
        <v>#DIV/0!</v>
      </c>
      <c r="AH330" s="11" t="e">
        <f t="shared" si="86"/>
        <v>#DIV/0!</v>
      </c>
      <c r="AI330" s="10"/>
      <c r="AJ330" s="11" t="e">
        <f t="shared" si="87"/>
        <v>#DIV/0!</v>
      </c>
      <c r="AK330" s="11" t="e">
        <f t="shared" si="88"/>
        <v>#DIV/0!</v>
      </c>
      <c r="AL330" s="11" t="e">
        <f t="shared" si="89"/>
        <v>#DIV/0!</v>
      </c>
    </row>
    <row r="331" spans="2:38" x14ac:dyDescent="0.2">
      <c r="B331" s="4"/>
      <c r="C331" s="4"/>
      <c r="D331" s="4"/>
      <c r="E331" s="4"/>
      <c r="F331" s="4"/>
      <c r="G331" s="4"/>
      <c r="H331" s="4"/>
      <c r="I331" s="4"/>
      <c r="J331" s="9" t="e">
        <f t="shared" si="77"/>
        <v>#DIV/0!</v>
      </c>
      <c r="K331" s="4"/>
      <c r="L331" s="4"/>
      <c r="M331" s="4"/>
      <c r="N331" s="4"/>
      <c r="O331" s="7"/>
      <c r="P331" s="7"/>
      <c r="Q331" s="4"/>
      <c r="R331" s="9" t="e">
        <f t="shared" si="78"/>
        <v>#DIV/0!</v>
      </c>
      <c r="S331" s="4" t="s">
        <v>169</v>
      </c>
      <c r="T331" s="4"/>
      <c r="U331" s="10"/>
      <c r="V331" s="10"/>
      <c r="W331" s="10"/>
      <c r="X331" s="10"/>
      <c r="Y331" s="10"/>
      <c r="Z331" s="10"/>
      <c r="AA331" s="11" t="e">
        <f t="shared" si="79"/>
        <v>#DIV/0!</v>
      </c>
      <c r="AB331" s="11">
        <f t="shared" si="80"/>
        <v>9</v>
      </c>
      <c r="AC331" s="11">
        <f t="shared" si="81"/>
        <v>8</v>
      </c>
      <c r="AD331" s="11" t="e">
        <f t="shared" si="82"/>
        <v>#DIV/0!</v>
      </c>
      <c r="AE331" s="11" t="e">
        <f t="shared" si="83"/>
        <v>#DIV/0!</v>
      </c>
      <c r="AF331" s="11" t="e">
        <f t="shared" si="84"/>
        <v>#DIV/0!</v>
      </c>
      <c r="AG331" s="11" t="e">
        <f t="shared" si="85"/>
        <v>#DIV/0!</v>
      </c>
      <c r="AH331" s="11" t="e">
        <f t="shared" si="86"/>
        <v>#DIV/0!</v>
      </c>
      <c r="AI331" s="10"/>
      <c r="AJ331" s="11" t="e">
        <f t="shared" si="87"/>
        <v>#DIV/0!</v>
      </c>
      <c r="AK331" s="11" t="e">
        <f t="shared" si="88"/>
        <v>#DIV/0!</v>
      </c>
      <c r="AL331" s="11" t="e">
        <f t="shared" si="89"/>
        <v>#DIV/0!</v>
      </c>
    </row>
    <row r="332" spans="2:38" x14ac:dyDescent="0.2">
      <c r="B332" s="4"/>
      <c r="C332" s="4"/>
      <c r="D332" s="4"/>
      <c r="E332" s="4"/>
      <c r="F332" s="4"/>
      <c r="G332" s="4"/>
      <c r="H332" s="4"/>
      <c r="I332" s="4"/>
      <c r="J332" s="9" t="e">
        <f t="shared" si="77"/>
        <v>#DIV/0!</v>
      </c>
      <c r="K332" s="4"/>
      <c r="L332" s="4"/>
      <c r="M332" s="4"/>
      <c r="N332" s="4"/>
      <c r="O332" s="7"/>
      <c r="P332" s="7"/>
      <c r="Q332" s="4"/>
      <c r="R332" s="9" t="e">
        <f t="shared" si="78"/>
        <v>#DIV/0!</v>
      </c>
      <c r="S332" s="4" t="s">
        <v>169</v>
      </c>
      <c r="T332" s="4"/>
      <c r="U332" s="10"/>
      <c r="V332" s="10"/>
      <c r="W332" s="10"/>
      <c r="X332" s="10"/>
      <c r="Y332" s="10"/>
      <c r="Z332" s="10"/>
      <c r="AA332" s="11" t="e">
        <f t="shared" si="79"/>
        <v>#DIV/0!</v>
      </c>
      <c r="AB332" s="11">
        <f t="shared" si="80"/>
        <v>9</v>
      </c>
      <c r="AC332" s="11">
        <f t="shared" si="81"/>
        <v>8</v>
      </c>
      <c r="AD332" s="11" t="e">
        <f t="shared" si="82"/>
        <v>#DIV/0!</v>
      </c>
      <c r="AE332" s="11" t="e">
        <f t="shared" si="83"/>
        <v>#DIV/0!</v>
      </c>
      <c r="AF332" s="11" t="e">
        <f t="shared" si="84"/>
        <v>#DIV/0!</v>
      </c>
      <c r="AG332" s="11" t="e">
        <f t="shared" si="85"/>
        <v>#DIV/0!</v>
      </c>
      <c r="AH332" s="11" t="e">
        <f t="shared" si="86"/>
        <v>#DIV/0!</v>
      </c>
      <c r="AI332" s="10"/>
      <c r="AJ332" s="11" t="e">
        <f t="shared" si="87"/>
        <v>#DIV/0!</v>
      </c>
      <c r="AK332" s="11" t="e">
        <f t="shared" si="88"/>
        <v>#DIV/0!</v>
      </c>
      <c r="AL332" s="11" t="e">
        <f t="shared" si="89"/>
        <v>#DIV/0!</v>
      </c>
    </row>
    <row r="333" spans="2:38" x14ac:dyDescent="0.2">
      <c r="B333" s="4"/>
      <c r="C333" s="4"/>
      <c r="D333" s="4"/>
      <c r="E333" s="4"/>
      <c r="F333" s="4"/>
      <c r="G333" s="4"/>
      <c r="H333" s="4"/>
      <c r="I333" s="4"/>
      <c r="J333" s="9" t="e">
        <f t="shared" si="77"/>
        <v>#DIV/0!</v>
      </c>
      <c r="K333" s="4"/>
      <c r="L333" s="4"/>
      <c r="M333" s="4"/>
      <c r="N333" s="4"/>
      <c r="O333" s="7"/>
      <c r="P333" s="7"/>
      <c r="Q333" s="4"/>
      <c r="R333" s="9" t="e">
        <f t="shared" si="78"/>
        <v>#DIV/0!</v>
      </c>
      <c r="S333" s="4" t="s">
        <v>169</v>
      </c>
      <c r="T333" s="4"/>
      <c r="U333" s="10"/>
      <c r="V333" s="10"/>
      <c r="W333" s="10"/>
      <c r="X333" s="10"/>
      <c r="Y333" s="10"/>
      <c r="Z333" s="10"/>
      <c r="AA333" s="11" t="e">
        <f t="shared" si="79"/>
        <v>#DIV/0!</v>
      </c>
      <c r="AB333" s="11">
        <f t="shared" si="80"/>
        <v>9</v>
      </c>
      <c r="AC333" s="11">
        <f t="shared" si="81"/>
        <v>8</v>
      </c>
      <c r="AD333" s="11" t="e">
        <f t="shared" si="82"/>
        <v>#DIV/0!</v>
      </c>
      <c r="AE333" s="11" t="e">
        <f t="shared" si="83"/>
        <v>#DIV/0!</v>
      </c>
      <c r="AF333" s="11" t="e">
        <f t="shared" si="84"/>
        <v>#DIV/0!</v>
      </c>
      <c r="AG333" s="11" t="e">
        <f t="shared" si="85"/>
        <v>#DIV/0!</v>
      </c>
      <c r="AH333" s="11" t="e">
        <f t="shared" si="86"/>
        <v>#DIV/0!</v>
      </c>
      <c r="AI333" s="10"/>
      <c r="AJ333" s="11" t="e">
        <f t="shared" si="87"/>
        <v>#DIV/0!</v>
      </c>
      <c r="AK333" s="11" t="e">
        <f t="shared" si="88"/>
        <v>#DIV/0!</v>
      </c>
      <c r="AL333" s="11" t="e">
        <f t="shared" si="89"/>
        <v>#DIV/0!</v>
      </c>
    </row>
    <row r="334" spans="2:38" x14ac:dyDescent="0.2">
      <c r="B334" s="4"/>
      <c r="C334" s="4"/>
      <c r="D334" s="4"/>
      <c r="E334" s="4"/>
      <c r="F334" s="4"/>
      <c r="G334" s="4"/>
      <c r="H334" s="4"/>
      <c r="I334" s="4"/>
      <c r="J334" s="9" t="e">
        <f t="shared" si="77"/>
        <v>#DIV/0!</v>
      </c>
      <c r="K334" s="4"/>
      <c r="L334" s="4"/>
      <c r="M334" s="4"/>
      <c r="N334" s="4"/>
      <c r="O334" s="7"/>
      <c r="P334" s="7"/>
      <c r="Q334" s="4"/>
      <c r="R334" s="9" t="e">
        <f t="shared" si="78"/>
        <v>#DIV/0!</v>
      </c>
      <c r="S334" s="4" t="s">
        <v>169</v>
      </c>
      <c r="T334" s="4"/>
      <c r="U334" s="10"/>
      <c r="V334" s="10"/>
      <c r="W334" s="10"/>
      <c r="X334" s="10"/>
      <c r="Y334" s="10"/>
      <c r="Z334" s="10"/>
      <c r="AA334" s="11" t="e">
        <f t="shared" si="79"/>
        <v>#DIV/0!</v>
      </c>
      <c r="AB334" s="11">
        <f t="shared" si="80"/>
        <v>9</v>
      </c>
      <c r="AC334" s="11">
        <f t="shared" si="81"/>
        <v>8</v>
      </c>
      <c r="AD334" s="11" t="e">
        <f t="shared" si="82"/>
        <v>#DIV/0!</v>
      </c>
      <c r="AE334" s="11" t="e">
        <f t="shared" si="83"/>
        <v>#DIV/0!</v>
      </c>
      <c r="AF334" s="11" t="e">
        <f t="shared" si="84"/>
        <v>#DIV/0!</v>
      </c>
      <c r="AG334" s="11" t="e">
        <f t="shared" si="85"/>
        <v>#DIV/0!</v>
      </c>
      <c r="AH334" s="11" t="e">
        <f t="shared" si="86"/>
        <v>#DIV/0!</v>
      </c>
      <c r="AI334" s="10"/>
      <c r="AJ334" s="11" t="e">
        <f t="shared" si="87"/>
        <v>#DIV/0!</v>
      </c>
      <c r="AK334" s="11" t="e">
        <f t="shared" si="88"/>
        <v>#DIV/0!</v>
      </c>
      <c r="AL334" s="11" t="e">
        <f t="shared" si="89"/>
        <v>#DIV/0!</v>
      </c>
    </row>
    <row r="335" spans="2:38" x14ac:dyDescent="0.2">
      <c r="B335" s="4"/>
      <c r="C335" s="4"/>
      <c r="D335" s="4"/>
      <c r="E335" s="4"/>
      <c r="F335" s="4"/>
      <c r="G335" s="4"/>
      <c r="H335" s="4"/>
      <c r="I335" s="4"/>
      <c r="J335" s="9" t="e">
        <f t="shared" si="77"/>
        <v>#DIV/0!</v>
      </c>
      <c r="K335" s="4"/>
      <c r="L335" s="4"/>
      <c r="M335" s="4"/>
      <c r="N335" s="4"/>
      <c r="O335" s="7"/>
      <c r="P335" s="7"/>
      <c r="Q335" s="4"/>
      <c r="R335" s="9" t="e">
        <f t="shared" si="78"/>
        <v>#DIV/0!</v>
      </c>
      <c r="S335" s="4" t="s">
        <v>169</v>
      </c>
      <c r="T335" s="4"/>
      <c r="U335" s="10"/>
      <c r="V335" s="10"/>
      <c r="W335" s="10"/>
      <c r="X335" s="10"/>
      <c r="Y335" s="10"/>
      <c r="Z335" s="10"/>
      <c r="AA335" s="11" t="e">
        <f t="shared" si="79"/>
        <v>#DIV/0!</v>
      </c>
      <c r="AB335" s="11">
        <f t="shared" si="80"/>
        <v>9</v>
      </c>
      <c r="AC335" s="11">
        <f t="shared" si="81"/>
        <v>8</v>
      </c>
      <c r="AD335" s="11" t="e">
        <f t="shared" si="82"/>
        <v>#DIV/0!</v>
      </c>
      <c r="AE335" s="11" t="e">
        <f t="shared" si="83"/>
        <v>#DIV/0!</v>
      </c>
      <c r="AF335" s="11" t="e">
        <f t="shared" si="84"/>
        <v>#DIV/0!</v>
      </c>
      <c r="AG335" s="11" t="e">
        <f t="shared" si="85"/>
        <v>#DIV/0!</v>
      </c>
      <c r="AH335" s="11" t="e">
        <f t="shared" si="86"/>
        <v>#DIV/0!</v>
      </c>
      <c r="AI335" s="10"/>
      <c r="AJ335" s="11" t="e">
        <f t="shared" si="87"/>
        <v>#DIV/0!</v>
      </c>
      <c r="AK335" s="11" t="e">
        <f t="shared" si="88"/>
        <v>#DIV/0!</v>
      </c>
      <c r="AL335" s="11" t="e">
        <f t="shared" si="89"/>
        <v>#DIV/0!</v>
      </c>
    </row>
    <row r="336" spans="2:38" x14ac:dyDescent="0.2">
      <c r="B336" s="4"/>
      <c r="C336" s="4"/>
      <c r="D336" s="4"/>
      <c r="E336" s="4"/>
      <c r="F336" s="4"/>
      <c r="G336" s="4"/>
      <c r="H336" s="4"/>
      <c r="I336" s="4"/>
      <c r="J336" s="9" t="e">
        <f t="shared" si="77"/>
        <v>#DIV/0!</v>
      </c>
      <c r="K336" s="4"/>
      <c r="L336" s="4"/>
      <c r="M336" s="4"/>
      <c r="N336" s="4"/>
      <c r="O336" s="7"/>
      <c r="P336" s="7"/>
      <c r="Q336" s="4"/>
      <c r="R336" s="9" t="e">
        <f t="shared" si="78"/>
        <v>#DIV/0!</v>
      </c>
      <c r="S336" s="4" t="s">
        <v>169</v>
      </c>
      <c r="T336" s="4"/>
      <c r="U336" s="10"/>
      <c r="V336" s="10"/>
      <c r="W336" s="10"/>
      <c r="X336" s="10"/>
      <c r="Y336" s="10"/>
      <c r="Z336" s="10"/>
      <c r="AA336" s="11" t="e">
        <f t="shared" si="79"/>
        <v>#DIV/0!</v>
      </c>
      <c r="AB336" s="11">
        <f t="shared" si="80"/>
        <v>9</v>
      </c>
      <c r="AC336" s="11">
        <f t="shared" si="81"/>
        <v>8</v>
      </c>
      <c r="AD336" s="11" t="e">
        <f t="shared" si="82"/>
        <v>#DIV/0!</v>
      </c>
      <c r="AE336" s="11" t="e">
        <f t="shared" si="83"/>
        <v>#DIV/0!</v>
      </c>
      <c r="AF336" s="11" t="e">
        <f t="shared" si="84"/>
        <v>#DIV/0!</v>
      </c>
      <c r="AG336" s="11" t="e">
        <f t="shared" si="85"/>
        <v>#DIV/0!</v>
      </c>
      <c r="AH336" s="11" t="e">
        <f t="shared" si="86"/>
        <v>#DIV/0!</v>
      </c>
      <c r="AI336" s="10"/>
      <c r="AJ336" s="11" t="e">
        <f t="shared" si="87"/>
        <v>#DIV/0!</v>
      </c>
      <c r="AK336" s="11" t="e">
        <f t="shared" si="88"/>
        <v>#DIV/0!</v>
      </c>
      <c r="AL336" s="11" t="e">
        <f t="shared" si="89"/>
        <v>#DIV/0!</v>
      </c>
    </row>
    <row r="337" spans="2:38" x14ac:dyDescent="0.2">
      <c r="B337" s="4"/>
      <c r="C337" s="4"/>
      <c r="D337" s="4"/>
      <c r="E337" s="4"/>
      <c r="F337" s="4"/>
      <c r="G337" s="4"/>
      <c r="H337" s="4"/>
      <c r="I337" s="4"/>
      <c r="J337" s="9" t="e">
        <f t="shared" si="77"/>
        <v>#DIV/0!</v>
      </c>
      <c r="K337" s="4"/>
      <c r="L337" s="4"/>
      <c r="M337" s="4"/>
      <c r="N337" s="4"/>
      <c r="O337" s="7"/>
      <c r="P337" s="7"/>
      <c r="Q337" s="4"/>
      <c r="R337" s="9" t="e">
        <f t="shared" si="78"/>
        <v>#DIV/0!</v>
      </c>
      <c r="S337" s="4" t="s">
        <v>169</v>
      </c>
      <c r="T337" s="4"/>
      <c r="U337" s="10"/>
      <c r="V337" s="10"/>
      <c r="W337" s="10"/>
      <c r="X337" s="10"/>
      <c r="Y337" s="10"/>
      <c r="Z337" s="10"/>
      <c r="AA337" s="11" t="e">
        <f t="shared" si="79"/>
        <v>#DIV/0!</v>
      </c>
      <c r="AB337" s="11">
        <f t="shared" si="80"/>
        <v>9</v>
      </c>
      <c r="AC337" s="11">
        <f t="shared" si="81"/>
        <v>8</v>
      </c>
      <c r="AD337" s="11" t="e">
        <f t="shared" si="82"/>
        <v>#DIV/0!</v>
      </c>
      <c r="AE337" s="11" t="e">
        <f t="shared" si="83"/>
        <v>#DIV/0!</v>
      </c>
      <c r="AF337" s="11" t="e">
        <f t="shared" si="84"/>
        <v>#DIV/0!</v>
      </c>
      <c r="AG337" s="11" t="e">
        <f t="shared" si="85"/>
        <v>#DIV/0!</v>
      </c>
      <c r="AH337" s="11" t="e">
        <f t="shared" si="86"/>
        <v>#DIV/0!</v>
      </c>
      <c r="AI337" s="10"/>
      <c r="AJ337" s="11" t="e">
        <f t="shared" si="87"/>
        <v>#DIV/0!</v>
      </c>
      <c r="AK337" s="11" t="e">
        <f t="shared" si="88"/>
        <v>#DIV/0!</v>
      </c>
      <c r="AL337" s="11" t="e">
        <f t="shared" si="89"/>
        <v>#DIV/0!</v>
      </c>
    </row>
    <row r="338" spans="2:38" x14ac:dyDescent="0.2">
      <c r="B338" s="4"/>
      <c r="C338" s="4"/>
      <c r="D338" s="4"/>
      <c r="E338" s="4"/>
      <c r="F338" s="4"/>
      <c r="G338" s="4"/>
      <c r="H338" s="4"/>
      <c r="I338" s="4"/>
      <c r="J338" s="9" t="e">
        <f t="shared" si="77"/>
        <v>#DIV/0!</v>
      </c>
      <c r="K338" s="4"/>
      <c r="L338" s="4"/>
      <c r="M338" s="4"/>
      <c r="N338" s="4"/>
      <c r="O338" s="7"/>
      <c r="P338" s="7"/>
      <c r="Q338" s="4"/>
      <c r="R338" s="9" t="e">
        <f t="shared" si="78"/>
        <v>#DIV/0!</v>
      </c>
      <c r="S338" s="4" t="s">
        <v>169</v>
      </c>
      <c r="T338" s="4"/>
      <c r="U338" s="10"/>
      <c r="V338" s="10"/>
      <c r="W338" s="10"/>
      <c r="X338" s="10"/>
      <c r="Y338" s="10"/>
      <c r="Z338" s="10"/>
      <c r="AA338" s="11" t="e">
        <f t="shared" si="79"/>
        <v>#DIV/0!</v>
      </c>
      <c r="AB338" s="11">
        <f t="shared" si="80"/>
        <v>9</v>
      </c>
      <c r="AC338" s="11">
        <f t="shared" si="81"/>
        <v>8</v>
      </c>
      <c r="AD338" s="11" t="e">
        <f t="shared" si="82"/>
        <v>#DIV/0!</v>
      </c>
      <c r="AE338" s="11" t="e">
        <f t="shared" si="83"/>
        <v>#DIV/0!</v>
      </c>
      <c r="AF338" s="11" t="e">
        <f t="shared" si="84"/>
        <v>#DIV/0!</v>
      </c>
      <c r="AG338" s="11" t="e">
        <f t="shared" si="85"/>
        <v>#DIV/0!</v>
      </c>
      <c r="AH338" s="11" t="e">
        <f t="shared" si="86"/>
        <v>#DIV/0!</v>
      </c>
      <c r="AI338" s="10"/>
      <c r="AJ338" s="11" t="e">
        <f t="shared" si="87"/>
        <v>#DIV/0!</v>
      </c>
      <c r="AK338" s="11" t="e">
        <f t="shared" si="88"/>
        <v>#DIV/0!</v>
      </c>
      <c r="AL338" s="11" t="e">
        <f t="shared" si="89"/>
        <v>#DIV/0!</v>
      </c>
    </row>
    <row r="339" spans="2:38" x14ac:dyDescent="0.2">
      <c r="B339" s="4"/>
      <c r="C339" s="4"/>
      <c r="D339" s="4"/>
      <c r="E339" s="4"/>
      <c r="F339" s="4"/>
      <c r="G339" s="4"/>
      <c r="H339" s="4"/>
      <c r="I339" s="4"/>
      <c r="J339" s="9" t="e">
        <f t="shared" si="77"/>
        <v>#DIV/0!</v>
      </c>
      <c r="K339" s="4"/>
      <c r="L339" s="4"/>
      <c r="M339" s="4"/>
      <c r="N339" s="4"/>
      <c r="O339" s="7"/>
      <c r="P339" s="7"/>
      <c r="Q339" s="4"/>
      <c r="R339" s="9" t="e">
        <f t="shared" si="78"/>
        <v>#DIV/0!</v>
      </c>
      <c r="S339" s="4" t="s">
        <v>169</v>
      </c>
      <c r="T339" s="4"/>
      <c r="U339" s="10"/>
      <c r="V339" s="10"/>
      <c r="W339" s="10"/>
      <c r="X339" s="10"/>
      <c r="Y339" s="10"/>
      <c r="Z339" s="10"/>
      <c r="AA339" s="11" t="e">
        <f t="shared" si="79"/>
        <v>#DIV/0!</v>
      </c>
      <c r="AB339" s="11">
        <f t="shared" si="80"/>
        <v>9</v>
      </c>
      <c r="AC339" s="11">
        <f t="shared" si="81"/>
        <v>8</v>
      </c>
      <c r="AD339" s="11" t="e">
        <f t="shared" si="82"/>
        <v>#DIV/0!</v>
      </c>
      <c r="AE339" s="11" t="e">
        <f t="shared" si="83"/>
        <v>#DIV/0!</v>
      </c>
      <c r="AF339" s="11" t="e">
        <f t="shared" si="84"/>
        <v>#DIV/0!</v>
      </c>
      <c r="AG339" s="11" t="e">
        <f t="shared" si="85"/>
        <v>#DIV/0!</v>
      </c>
      <c r="AH339" s="11" t="e">
        <f t="shared" si="86"/>
        <v>#DIV/0!</v>
      </c>
      <c r="AI339" s="10"/>
      <c r="AJ339" s="11" t="e">
        <f t="shared" si="87"/>
        <v>#DIV/0!</v>
      </c>
      <c r="AK339" s="11" t="e">
        <f t="shared" si="88"/>
        <v>#DIV/0!</v>
      </c>
      <c r="AL339" s="11" t="e">
        <f t="shared" si="89"/>
        <v>#DIV/0!</v>
      </c>
    </row>
    <row r="340" spans="2:38" x14ac:dyDescent="0.2">
      <c r="B340" s="4"/>
      <c r="C340" s="4"/>
      <c r="D340" s="4"/>
      <c r="E340" s="4"/>
      <c r="F340" s="4"/>
      <c r="G340" s="4"/>
      <c r="H340" s="4"/>
      <c r="I340" s="4"/>
      <c r="J340" s="9" t="e">
        <f t="shared" si="77"/>
        <v>#DIV/0!</v>
      </c>
      <c r="K340" s="4"/>
      <c r="L340" s="4"/>
      <c r="M340" s="4"/>
      <c r="N340" s="4"/>
      <c r="O340" s="7"/>
      <c r="P340" s="7"/>
      <c r="Q340" s="4"/>
      <c r="R340" s="9" t="e">
        <f t="shared" si="78"/>
        <v>#DIV/0!</v>
      </c>
      <c r="S340" s="4" t="s">
        <v>169</v>
      </c>
      <c r="T340" s="4"/>
      <c r="U340" s="10"/>
      <c r="V340" s="10"/>
      <c r="W340" s="10"/>
      <c r="X340" s="10"/>
      <c r="Y340" s="10"/>
      <c r="Z340" s="10"/>
      <c r="AA340" s="11" t="e">
        <f t="shared" si="79"/>
        <v>#DIV/0!</v>
      </c>
      <c r="AB340" s="11">
        <f t="shared" si="80"/>
        <v>9</v>
      </c>
      <c r="AC340" s="11">
        <f t="shared" si="81"/>
        <v>8</v>
      </c>
      <c r="AD340" s="11" t="e">
        <f t="shared" si="82"/>
        <v>#DIV/0!</v>
      </c>
      <c r="AE340" s="11" t="e">
        <f t="shared" si="83"/>
        <v>#DIV/0!</v>
      </c>
      <c r="AF340" s="11" t="e">
        <f t="shared" si="84"/>
        <v>#DIV/0!</v>
      </c>
      <c r="AG340" s="11" t="e">
        <f t="shared" si="85"/>
        <v>#DIV/0!</v>
      </c>
      <c r="AH340" s="11" t="e">
        <f t="shared" si="86"/>
        <v>#DIV/0!</v>
      </c>
      <c r="AI340" s="10"/>
      <c r="AJ340" s="11" t="e">
        <f t="shared" si="87"/>
        <v>#DIV/0!</v>
      </c>
      <c r="AK340" s="11" t="e">
        <f t="shared" si="88"/>
        <v>#DIV/0!</v>
      </c>
      <c r="AL340" s="11" t="e">
        <f t="shared" si="89"/>
        <v>#DIV/0!</v>
      </c>
    </row>
    <row r="341" spans="2:38" x14ac:dyDescent="0.2">
      <c r="B341" s="4"/>
      <c r="C341" s="4"/>
      <c r="D341" s="4"/>
      <c r="E341" s="4"/>
      <c r="F341" s="4"/>
      <c r="G341" s="4"/>
      <c r="H341" s="4"/>
      <c r="I341" s="4"/>
      <c r="J341" s="9" t="e">
        <f t="shared" si="77"/>
        <v>#DIV/0!</v>
      </c>
      <c r="K341" s="4"/>
      <c r="L341" s="4"/>
      <c r="M341" s="4"/>
      <c r="N341" s="4"/>
      <c r="O341" s="7"/>
      <c r="P341" s="7"/>
      <c r="Q341" s="4"/>
      <c r="R341" s="9" t="e">
        <f t="shared" si="78"/>
        <v>#DIV/0!</v>
      </c>
      <c r="S341" s="4" t="s">
        <v>169</v>
      </c>
      <c r="T341" s="4"/>
      <c r="U341" s="10"/>
      <c r="V341" s="10"/>
      <c r="W341" s="10"/>
      <c r="X341" s="10"/>
      <c r="Y341" s="10"/>
      <c r="Z341" s="10"/>
      <c r="AA341" s="11" t="e">
        <f t="shared" si="79"/>
        <v>#DIV/0!</v>
      </c>
      <c r="AB341" s="11">
        <f t="shared" si="80"/>
        <v>9</v>
      </c>
      <c r="AC341" s="11">
        <f t="shared" si="81"/>
        <v>8</v>
      </c>
      <c r="AD341" s="11" t="e">
        <f t="shared" si="82"/>
        <v>#DIV/0!</v>
      </c>
      <c r="AE341" s="11" t="e">
        <f t="shared" si="83"/>
        <v>#DIV/0!</v>
      </c>
      <c r="AF341" s="11" t="e">
        <f t="shared" si="84"/>
        <v>#DIV/0!</v>
      </c>
      <c r="AG341" s="11" t="e">
        <f t="shared" si="85"/>
        <v>#DIV/0!</v>
      </c>
      <c r="AH341" s="11" t="e">
        <f t="shared" si="86"/>
        <v>#DIV/0!</v>
      </c>
      <c r="AI341" s="10"/>
      <c r="AJ341" s="11" t="e">
        <f t="shared" si="87"/>
        <v>#DIV/0!</v>
      </c>
      <c r="AK341" s="11" t="e">
        <f t="shared" si="88"/>
        <v>#DIV/0!</v>
      </c>
      <c r="AL341" s="11" t="e">
        <f t="shared" si="89"/>
        <v>#DIV/0!</v>
      </c>
    </row>
    <row r="342" spans="2:38" x14ac:dyDescent="0.2">
      <c r="B342" s="4"/>
      <c r="C342" s="4"/>
      <c r="D342" s="4"/>
      <c r="E342" s="4"/>
      <c r="F342" s="4"/>
      <c r="G342" s="4"/>
      <c r="H342" s="4"/>
      <c r="I342" s="4"/>
      <c r="J342" s="9" t="e">
        <f t="shared" si="77"/>
        <v>#DIV/0!</v>
      </c>
      <c r="K342" s="4"/>
      <c r="L342" s="4"/>
      <c r="M342" s="4"/>
      <c r="N342" s="4"/>
      <c r="O342" s="7"/>
      <c r="P342" s="7"/>
      <c r="Q342" s="4"/>
      <c r="R342" s="9" t="e">
        <f t="shared" si="78"/>
        <v>#DIV/0!</v>
      </c>
      <c r="S342" s="4" t="s">
        <v>169</v>
      </c>
      <c r="T342" s="4"/>
      <c r="U342" s="10"/>
      <c r="V342" s="10"/>
      <c r="W342" s="10"/>
      <c r="X342" s="10"/>
      <c r="Y342" s="10"/>
      <c r="Z342" s="10"/>
      <c r="AA342" s="11" t="e">
        <f t="shared" si="79"/>
        <v>#DIV/0!</v>
      </c>
      <c r="AB342" s="11">
        <f t="shared" si="80"/>
        <v>9</v>
      </c>
      <c r="AC342" s="11">
        <f t="shared" si="81"/>
        <v>8</v>
      </c>
      <c r="AD342" s="11" t="e">
        <f t="shared" si="82"/>
        <v>#DIV/0!</v>
      </c>
      <c r="AE342" s="11" t="e">
        <f t="shared" si="83"/>
        <v>#DIV/0!</v>
      </c>
      <c r="AF342" s="11" t="e">
        <f t="shared" si="84"/>
        <v>#DIV/0!</v>
      </c>
      <c r="AG342" s="11" t="e">
        <f t="shared" si="85"/>
        <v>#DIV/0!</v>
      </c>
      <c r="AH342" s="11" t="e">
        <f t="shared" si="86"/>
        <v>#DIV/0!</v>
      </c>
      <c r="AI342" s="10"/>
      <c r="AJ342" s="11" t="e">
        <f t="shared" si="87"/>
        <v>#DIV/0!</v>
      </c>
      <c r="AK342" s="11" t="e">
        <f t="shared" si="88"/>
        <v>#DIV/0!</v>
      </c>
      <c r="AL342" s="11" t="e">
        <f t="shared" si="89"/>
        <v>#DIV/0!</v>
      </c>
    </row>
    <row r="343" spans="2:38" x14ac:dyDescent="0.2">
      <c r="B343" s="4"/>
      <c r="C343" s="4"/>
      <c r="D343" s="4"/>
      <c r="E343" s="4"/>
      <c r="F343" s="4"/>
      <c r="G343" s="4"/>
      <c r="H343" s="4"/>
      <c r="I343" s="4"/>
      <c r="J343" s="9" t="e">
        <f t="shared" si="77"/>
        <v>#DIV/0!</v>
      </c>
      <c r="K343" s="4"/>
      <c r="L343" s="4"/>
      <c r="M343" s="4"/>
      <c r="N343" s="4"/>
      <c r="O343" s="7"/>
      <c r="P343" s="7"/>
      <c r="Q343" s="4"/>
      <c r="R343" s="9" t="e">
        <f t="shared" si="78"/>
        <v>#DIV/0!</v>
      </c>
      <c r="S343" s="2" t="s">
        <v>31</v>
      </c>
      <c r="T343" s="4"/>
      <c r="U343" s="10"/>
      <c r="V343" s="10"/>
      <c r="W343" s="10"/>
      <c r="X343" s="10"/>
      <c r="Y343" s="10"/>
      <c r="Z343" s="10"/>
      <c r="AA343" s="11" t="e">
        <f t="shared" si="79"/>
        <v>#DIV/0!</v>
      </c>
      <c r="AB343" s="11">
        <f t="shared" si="80"/>
        <v>9</v>
      </c>
      <c r="AC343" s="11">
        <f t="shared" si="81"/>
        <v>8</v>
      </c>
      <c r="AD343" s="11" t="e">
        <f t="shared" si="82"/>
        <v>#DIV/0!</v>
      </c>
      <c r="AE343" s="11" t="e">
        <f t="shared" si="83"/>
        <v>#DIV/0!</v>
      </c>
      <c r="AF343" s="11" t="e">
        <f t="shared" si="84"/>
        <v>#DIV/0!</v>
      </c>
      <c r="AG343" s="11" t="e">
        <f t="shared" si="85"/>
        <v>#DIV/0!</v>
      </c>
      <c r="AH343" s="11" t="e">
        <f t="shared" si="86"/>
        <v>#DIV/0!</v>
      </c>
      <c r="AI343" s="10"/>
      <c r="AJ343" s="11" t="e">
        <f t="shared" si="87"/>
        <v>#DIV/0!</v>
      </c>
      <c r="AK343" s="11" t="e">
        <f t="shared" si="88"/>
        <v>#DIV/0!</v>
      </c>
      <c r="AL343" s="11" t="e">
        <f t="shared" si="89"/>
        <v>#DIV/0!</v>
      </c>
    </row>
    <row r="344" spans="2:38" x14ac:dyDescent="0.2">
      <c r="B344" s="4"/>
      <c r="C344" s="4"/>
      <c r="D344" s="4"/>
      <c r="E344" s="4"/>
      <c r="F344" s="4"/>
      <c r="G344" s="4"/>
      <c r="H344" s="4"/>
      <c r="I344" s="4"/>
      <c r="J344" s="9" t="e">
        <f t="shared" si="77"/>
        <v>#DIV/0!</v>
      </c>
      <c r="K344" s="4"/>
      <c r="L344" s="4"/>
      <c r="M344" s="4"/>
      <c r="N344" s="4"/>
      <c r="O344" s="7"/>
      <c r="P344" s="7"/>
      <c r="Q344" s="4"/>
      <c r="R344" s="9" t="e">
        <f t="shared" si="78"/>
        <v>#DIV/0!</v>
      </c>
      <c r="S344" s="2" t="s">
        <v>31</v>
      </c>
      <c r="T344" s="4"/>
      <c r="U344" s="10"/>
      <c r="V344" s="10"/>
      <c r="W344" s="10"/>
      <c r="X344" s="10"/>
      <c r="Y344" s="10"/>
      <c r="Z344" s="10"/>
      <c r="AA344" s="11" t="e">
        <f t="shared" si="79"/>
        <v>#DIV/0!</v>
      </c>
      <c r="AB344" s="11">
        <f t="shared" si="80"/>
        <v>9</v>
      </c>
      <c r="AC344" s="11">
        <f t="shared" si="81"/>
        <v>8</v>
      </c>
      <c r="AD344" s="11" t="e">
        <f t="shared" si="82"/>
        <v>#DIV/0!</v>
      </c>
      <c r="AE344" s="11" t="e">
        <f t="shared" si="83"/>
        <v>#DIV/0!</v>
      </c>
      <c r="AF344" s="11" t="e">
        <f t="shared" si="84"/>
        <v>#DIV/0!</v>
      </c>
      <c r="AG344" s="11" t="e">
        <f t="shared" si="85"/>
        <v>#DIV/0!</v>
      </c>
      <c r="AH344" s="11" t="e">
        <f t="shared" si="86"/>
        <v>#DIV/0!</v>
      </c>
      <c r="AI344" s="10"/>
      <c r="AJ344" s="11" t="e">
        <f t="shared" si="87"/>
        <v>#DIV/0!</v>
      </c>
      <c r="AK344" s="11" t="e">
        <f t="shared" si="88"/>
        <v>#DIV/0!</v>
      </c>
      <c r="AL344" s="11" t="e">
        <f t="shared" si="89"/>
        <v>#DIV/0!</v>
      </c>
    </row>
    <row r="345" spans="2:38" x14ac:dyDescent="0.2">
      <c r="B345" s="4"/>
      <c r="C345" s="4"/>
      <c r="D345" s="4"/>
      <c r="E345" s="4"/>
      <c r="F345" s="4"/>
      <c r="G345" s="4"/>
      <c r="H345" s="4"/>
      <c r="I345" s="4"/>
      <c r="J345" s="9" t="e">
        <f t="shared" si="77"/>
        <v>#DIV/0!</v>
      </c>
      <c r="K345" s="4"/>
      <c r="L345" s="4"/>
      <c r="M345" s="4"/>
      <c r="N345" s="4"/>
      <c r="O345" s="7"/>
      <c r="P345" s="7"/>
      <c r="Q345" s="4"/>
      <c r="R345" s="9" t="e">
        <f t="shared" si="78"/>
        <v>#DIV/0!</v>
      </c>
      <c r="S345" s="4" t="s">
        <v>31</v>
      </c>
      <c r="T345" s="4"/>
      <c r="U345" s="10"/>
      <c r="V345" s="10"/>
      <c r="W345" s="10"/>
      <c r="X345" s="10"/>
      <c r="Y345" s="10"/>
      <c r="Z345" s="10"/>
      <c r="AA345" s="11" t="e">
        <f t="shared" si="79"/>
        <v>#DIV/0!</v>
      </c>
      <c r="AB345" s="11">
        <f t="shared" si="80"/>
        <v>9</v>
      </c>
      <c r="AC345" s="11">
        <f t="shared" si="81"/>
        <v>8</v>
      </c>
      <c r="AD345" s="11" t="e">
        <f t="shared" si="82"/>
        <v>#DIV/0!</v>
      </c>
      <c r="AE345" s="11" t="e">
        <f t="shared" si="83"/>
        <v>#DIV/0!</v>
      </c>
      <c r="AF345" s="11" t="e">
        <f t="shared" si="84"/>
        <v>#DIV/0!</v>
      </c>
      <c r="AG345" s="11" t="e">
        <f t="shared" si="85"/>
        <v>#DIV/0!</v>
      </c>
      <c r="AH345" s="11" t="e">
        <f t="shared" si="86"/>
        <v>#DIV/0!</v>
      </c>
      <c r="AI345" s="10"/>
      <c r="AJ345" s="11" t="e">
        <f t="shared" si="87"/>
        <v>#DIV/0!</v>
      </c>
      <c r="AK345" s="11" t="e">
        <f t="shared" si="88"/>
        <v>#DIV/0!</v>
      </c>
      <c r="AL345" s="11" t="e">
        <f t="shared" si="89"/>
        <v>#DIV/0!</v>
      </c>
    </row>
    <row r="346" spans="2:38" x14ac:dyDescent="0.2">
      <c r="B346" s="4"/>
      <c r="C346" s="4"/>
      <c r="D346" s="4"/>
      <c r="E346" s="4"/>
      <c r="F346" s="4"/>
      <c r="G346" s="4"/>
      <c r="H346" s="4"/>
      <c r="I346" s="4"/>
      <c r="J346" s="9" t="e">
        <f t="shared" si="77"/>
        <v>#DIV/0!</v>
      </c>
      <c r="K346" s="4"/>
      <c r="L346" s="4"/>
      <c r="M346" s="4"/>
      <c r="N346" s="4"/>
      <c r="O346" s="7"/>
      <c r="P346" s="7"/>
      <c r="Q346" s="4"/>
      <c r="R346" s="9" t="e">
        <f t="shared" si="78"/>
        <v>#DIV/0!</v>
      </c>
      <c r="S346" s="2" t="s">
        <v>31</v>
      </c>
      <c r="T346" s="4"/>
      <c r="U346" s="10"/>
      <c r="V346" s="10"/>
      <c r="W346" s="10"/>
      <c r="X346" s="10"/>
      <c r="Y346" s="10"/>
      <c r="Z346" s="10"/>
      <c r="AA346" s="11" t="e">
        <f t="shared" si="79"/>
        <v>#DIV/0!</v>
      </c>
      <c r="AB346" s="11">
        <f t="shared" si="80"/>
        <v>9</v>
      </c>
      <c r="AC346" s="11">
        <f t="shared" si="81"/>
        <v>8</v>
      </c>
      <c r="AD346" s="11" t="e">
        <f t="shared" si="82"/>
        <v>#DIV/0!</v>
      </c>
      <c r="AE346" s="11" t="e">
        <f t="shared" si="83"/>
        <v>#DIV/0!</v>
      </c>
      <c r="AF346" s="11" t="e">
        <f t="shared" si="84"/>
        <v>#DIV/0!</v>
      </c>
      <c r="AG346" s="11" t="e">
        <f t="shared" si="85"/>
        <v>#DIV/0!</v>
      </c>
      <c r="AH346" s="11" t="e">
        <f t="shared" si="86"/>
        <v>#DIV/0!</v>
      </c>
      <c r="AI346" s="10"/>
      <c r="AJ346" s="11" t="e">
        <f t="shared" si="87"/>
        <v>#DIV/0!</v>
      </c>
      <c r="AK346" s="11" t="e">
        <f t="shared" si="88"/>
        <v>#DIV/0!</v>
      </c>
      <c r="AL346" s="11" t="e">
        <f t="shared" si="89"/>
        <v>#DIV/0!</v>
      </c>
    </row>
    <row r="347" spans="2:38" x14ac:dyDescent="0.2">
      <c r="B347" s="4"/>
      <c r="C347" s="4"/>
      <c r="D347" s="4"/>
      <c r="E347" s="4"/>
      <c r="F347" s="4"/>
      <c r="G347" s="4"/>
      <c r="H347" s="4"/>
      <c r="I347" s="4"/>
      <c r="J347" s="9" t="e">
        <f t="shared" si="77"/>
        <v>#DIV/0!</v>
      </c>
      <c r="K347" s="4"/>
      <c r="L347" s="4"/>
      <c r="M347" s="4"/>
      <c r="N347" s="4"/>
      <c r="O347" s="7"/>
      <c r="P347" s="7"/>
      <c r="Q347" s="4"/>
      <c r="R347" s="9" t="e">
        <f t="shared" si="78"/>
        <v>#DIV/0!</v>
      </c>
      <c r="S347" s="2" t="s">
        <v>31</v>
      </c>
      <c r="T347" s="4"/>
      <c r="U347" s="10"/>
      <c r="V347" s="10"/>
      <c r="W347" s="10"/>
      <c r="X347" s="10"/>
      <c r="Y347" s="10"/>
      <c r="Z347" s="10"/>
      <c r="AA347" s="11" t="e">
        <f t="shared" si="79"/>
        <v>#DIV/0!</v>
      </c>
      <c r="AB347" s="11">
        <f t="shared" si="80"/>
        <v>9</v>
      </c>
      <c r="AC347" s="11">
        <f t="shared" si="81"/>
        <v>8</v>
      </c>
      <c r="AD347" s="11" t="e">
        <f t="shared" si="82"/>
        <v>#DIV/0!</v>
      </c>
      <c r="AE347" s="11" t="e">
        <f t="shared" si="83"/>
        <v>#DIV/0!</v>
      </c>
      <c r="AF347" s="11" t="e">
        <f t="shared" si="84"/>
        <v>#DIV/0!</v>
      </c>
      <c r="AG347" s="11" t="e">
        <f t="shared" si="85"/>
        <v>#DIV/0!</v>
      </c>
      <c r="AH347" s="11" t="e">
        <f t="shared" si="86"/>
        <v>#DIV/0!</v>
      </c>
      <c r="AI347" s="10"/>
      <c r="AJ347" s="11" t="e">
        <f t="shared" si="87"/>
        <v>#DIV/0!</v>
      </c>
      <c r="AK347" s="11" t="e">
        <f t="shared" si="88"/>
        <v>#DIV/0!</v>
      </c>
      <c r="AL347" s="11" t="e">
        <f t="shared" si="89"/>
        <v>#DIV/0!</v>
      </c>
    </row>
    <row r="348" spans="2:38" x14ac:dyDescent="0.2">
      <c r="B348" s="4"/>
      <c r="C348" s="4"/>
      <c r="D348" s="4"/>
      <c r="E348" s="4"/>
      <c r="F348" s="4"/>
      <c r="G348" s="4"/>
      <c r="H348" s="4"/>
      <c r="I348" s="4"/>
      <c r="J348" s="9" t="e">
        <f t="shared" si="77"/>
        <v>#DIV/0!</v>
      </c>
      <c r="K348" s="4"/>
      <c r="L348" s="4"/>
      <c r="M348" s="4"/>
      <c r="N348" s="4"/>
      <c r="O348" s="7"/>
      <c r="P348" s="7"/>
      <c r="Q348" s="4"/>
      <c r="R348" s="9" t="e">
        <f t="shared" si="78"/>
        <v>#DIV/0!</v>
      </c>
      <c r="S348" s="4" t="s">
        <v>31</v>
      </c>
      <c r="T348" s="4"/>
      <c r="U348" s="10"/>
      <c r="V348" s="10"/>
      <c r="W348" s="10"/>
      <c r="X348" s="10"/>
      <c r="Y348" s="10"/>
      <c r="Z348" s="10"/>
      <c r="AA348" s="11" t="e">
        <f t="shared" si="79"/>
        <v>#DIV/0!</v>
      </c>
      <c r="AB348" s="11">
        <f t="shared" si="80"/>
        <v>9</v>
      </c>
      <c r="AC348" s="11">
        <f t="shared" si="81"/>
        <v>8</v>
      </c>
      <c r="AD348" s="11" t="e">
        <f t="shared" si="82"/>
        <v>#DIV/0!</v>
      </c>
      <c r="AE348" s="11" t="e">
        <f t="shared" si="83"/>
        <v>#DIV/0!</v>
      </c>
      <c r="AF348" s="11" t="e">
        <f t="shared" si="84"/>
        <v>#DIV/0!</v>
      </c>
      <c r="AG348" s="11" t="e">
        <f t="shared" si="85"/>
        <v>#DIV/0!</v>
      </c>
      <c r="AH348" s="11" t="e">
        <f t="shared" si="86"/>
        <v>#DIV/0!</v>
      </c>
      <c r="AI348" s="10"/>
      <c r="AJ348" s="11" t="e">
        <f t="shared" si="87"/>
        <v>#DIV/0!</v>
      </c>
      <c r="AK348" s="11" t="e">
        <f t="shared" si="88"/>
        <v>#DIV/0!</v>
      </c>
      <c r="AL348" s="11" t="e">
        <f t="shared" si="89"/>
        <v>#DIV/0!</v>
      </c>
    </row>
    <row r="349" spans="2:38" x14ac:dyDescent="0.2">
      <c r="B349" s="4"/>
      <c r="C349" s="4"/>
      <c r="D349" s="4"/>
      <c r="E349" s="4"/>
      <c r="F349" s="4"/>
      <c r="G349" s="4"/>
      <c r="H349" s="4"/>
      <c r="I349" s="4"/>
      <c r="J349" s="9" t="e">
        <f t="shared" si="77"/>
        <v>#DIV/0!</v>
      </c>
      <c r="K349" s="4"/>
      <c r="L349" s="4"/>
      <c r="M349" s="4"/>
      <c r="N349" s="4"/>
      <c r="O349" s="7"/>
      <c r="P349" s="7"/>
      <c r="Q349" s="4"/>
      <c r="R349" s="9" t="e">
        <f t="shared" si="78"/>
        <v>#DIV/0!</v>
      </c>
      <c r="S349" s="4" t="s">
        <v>31</v>
      </c>
      <c r="T349" s="4"/>
      <c r="U349" s="10"/>
      <c r="V349" s="10"/>
      <c r="W349" s="10"/>
      <c r="X349" s="10"/>
      <c r="Y349" s="10"/>
      <c r="Z349" s="10"/>
      <c r="AA349" s="11" t="e">
        <f t="shared" si="79"/>
        <v>#DIV/0!</v>
      </c>
      <c r="AB349" s="11">
        <f t="shared" si="80"/>
        <v>9</v>
      </c>
      <c r="AC349" s="11">
        <f t="shared" si="81"/>
        <v>8</v>
      </c>
      <c r="AD349" s="11" t="e">
        <f t="shared" si="82"/>
        <v>#DIV/0!</v>
      </c>
      <c r="AE349" s="11" t="e">
        <f t="shared" si="83"/>
        <v>#DIV/0!</v>
      </c>
      <c r="AF349" s="11" t="e">
        <f t="shared" si="84"/>
        <v>#DIV/0!</v>
      </c>
      <c r="AG349" s="11" t="e">
        <f t="shared" si="85"/>
        <v>#DIV/0!</v>
      </c>
      <c r="AH349" s="11" t="e">
        <f t="shared" si="86"/>
        <v>#DIV/0!</v>
      </c>
      <c r="AI349" s="10"/>
      <c r="AJ349" s="11" t="e">
        <f t="shared" si="87"/>
        <v>#DIV/0!</v>
      </c>
      <c r="AK349" s="11" t="e">
        <f t="shared" si="88"/>
        <v>#DIV/0!</v>
      </c>
      <c r="AL349" s="11" t="e">
        <f t="shared" si="89"/>
        <v>#DIV/0!</v>
      </c>
    </row>
    <row r="350" spans="2:38" x14ac:dyDescent="0.2">
      <c r="B350" s="4"/>
      <c r="C350" s="4"/>
      <c r="D350" s="4"/>
      <c r="E350" s="4"/>
      <c r="F350" s="4"/>
      <c r="G350" s="4"/>
      <c r="H350" s="4"/>
      <c r="I350" s="4"/>
      <c r="J350" s="9" t="e">
        <f t="shared" si="77"/>
        <v>#DIV/0!</v>
      </c>
      <c r="K350" s="4"/>
      <c r="L350" s="4"/>
      <c r="M350" s="4"/>
      <c r="N350" s="4"/>
      <c r="O350" s="7"/>
      <c r="P350" s="7"/>
      <c r="Q350" s="4"/>
      <c r="R350" s="9" t="e">
        <f t="shared" si="78"/>
        <v>#DIV/0!</v>
      </c>
      <c r="S350" s="2" t="s">
        <v>31</v>
      </c>
      <c r="T350" s="4"/>
      <c r="U350" s="10"/>
      <c r="V350" s="10"/>
      <c r="W350" s="10"/>
      <c r="X350" s="10"/>
      <c r="Y350" s="10"/>
      <c r="Z350" s="10"/>
      <c r="AA350" s="11" t="e">
        <f t="shared" si="79"/>
        <v>#DIV/0!</v>
      </c>
      <c r="AB350" s="11">
        <f t="shared" si="80"/>
        <v>9</v>
      </c>
      <c r="AC350" s="11">
        <f t="shared" si="81"/>
        <v>8</v>
      </c>
      <c r="AD350" s="11" t="e">
        <f t="shared" si="82"/>
        <v>#DIV/0!</v>
      </c>
      <c r="AE350" s="11" t="e">
        <f t="shared" si="83"/>
        <v>#DIV/0!</v>
      </c>
      <c r="AF350" s="11" t="e">
        <f t="shared" si="84"/>
        <v>#DIV/0!</v>
      </c>
      <c r="AG350" s="11" t="e">
        <f t="shared" si="85"/>
        <v>#DIV/0!</v>
      </c>
      <c r="AH350" s="11" t="e">
        <f t="shared" si="86"/>
        <v>#DIV/0!</v>
      </c>
      <c r="AI350" s="10"/>
      <c r="AJ350" s="11" t="e">
        <f t="shared" si="87"/>
        <v>#DIV/0!</v>
      </c>
      <c r="AK350" s="11" t="e">
        <f t="shared" si="88"/>
        <v>#DIV/0!</v>
      </c>
      <c r="AL350" s="11" t="e">
        <f t="shared" si="89"/>
        <v>#DIV/0!</v>
      </c>
    </row>
    <row r="351" spans="2:38" x14ac:dyDescent="0.2">
      <c r="B351" s="4"/>
      <c r="C351" s="4"/>
      <c r="D351" s="4"/>
      <c r="E351" s="4"/>
      <c r="F351" s="4"/>
      <c r="G351" s="4"/>
      <c r="H351" s="4"/>
      <c r="I351" s="4"/>
      <c r="J351" s="9" t="e">
        <f t="shared" si="77"/>
        <v>#DIV/0!</v>
      </c>
      <c r="K351" s="4"/>
      <c r="L351" s="4"/>
      <c r="M351" s="4"/>
      <c r="N351" s="4"/>
      <c r="O351" s="7"/>
      <c r="P351" s="7"/>
      <c r="Q351" s="4"/>
      <c r="R351" s="9" t="e">
        <f t="shared" si="78"/>
        <v>#DIV/0!</v>
      </c>
      <c r="S351" s="4" t="s">
        <v>31</v>
      </c>
      <c r="T351" s="4"/>
      <c r="U351" s="10"/>
      <c r="V351" s="10"/>
      <c r="W351" s="10"/>
      <c r="X351" s="10"/>
      <c r="Y351" s="10"/>
      <c r="Z351" s="10"/>
      <c r="AA351" s="11" t="e">
        <f t="shared" si="79"/>
        <v>#DIV/0!</v>
      </c>
      <c r="AB351" s="11">
        <f t="shared" si="80"/>
        <v>9</v>
      </c>
      <c r="AC351" s="11">
        <f t="shared" si="81"/>
        <v>8</v>
      </c>
      <c r="AD351" s="11" t="e">
        <f t="shared" si="82"/>
        <v>#DIV/0!</v>
      </c>
      <c r="AE351" s="11" t="e">
        <f t="shared" si="83"/>
        <v>#DIV/0!</v>
      </c>
      <c r="AF351" s="11" t="e">
        <f t="shared" si="84"/>
        <v>#DIV/0!</v>
      </c>
      <c r="AG351" s="11" t="e">
        <f t="shared" si="85"/>
        <v>#DIV/0!</v>
      </c>
      <c r="AH351" s="11" t="e">
        <f t="shared" si="86"/>
        <v>#DIV/0!</v>
      </c>
      <c r="AI351" s="10"/>
      <c r="AJ351" s="11" t="e">
        <f t="shared" si="87"/>
        <v>#DIV/0!</v>
      </c>
      <c r="AK351" s="11" t="e">
        <f t="shared" si="88"/>
        <v>#DIV/0!</v>
      </c>
      <c r="AL351" s="11" t="e">
        <f t="shared" si="89"/>
        <v>#DIV/0!</v>
      </c>
    </row>
    <row r="352" spans="2:38" x14ac:dyDescent="0.2">
      <c r="B352" s="4"/>
      <c r="C352" s="4"/>
      <c r="D352" s="4"/>
      <c r="E352" s="4"/>
      <c r="F352" s="4"/>
      <c r="G352" s="4"/>
      <c r="H352" s="4"/>
      <c r="I352" s="4"/>
      <c r="J352" s="9" t="e">
        <f t="shared" si="77"/>
        <v>#DIV/0!</v>
      </c>
      <c r="K352" s="4"/>
      <c r="L352" s="4"/>
      <c r="M352" s="4"/>
      <c r="N352" s="4"/>
      <c r="O352" s="7"/>
      <c r="P352" s="7"/>
      <c r="Q352" s="4"/>
      <c r="R352" s="9" t="e">
        <f t="shared" si="78"/>
        <v>#DIV/0!</v>
      </c>
      <c r="S352" s="4" t="s">
        <v>31</v>
      </c>
      <c r="T352" s="4"/>
      <c r="U352" s="10"/>
      <c r="V352" s="10"/>
      <c r="W352" s="10"/>
      <c r="X352" s="10"/>
      <c r="Y352" s="10"/>
      <c r="Z352" s="10"/>
      <c r="AA352" s="11" t="e">
        <f t="shared" si="79"/>
        <v>#DIV/0!</v>
      </c>
      <c r="AB352" s="11">
        <f t="shared" si="80"/>
        <v>9</v>
      </c>
      <c r="AC352" s="11">
        <f t="shared" si="81"/>
        <v>8</v>
      </c>
      <c r="AD352" s="11" t="e">
        <f t="shared" si="82"/>
        <v>#DIV/0!</v>
      </c>
      <c r="AE352" s="11" t="e">
        <f t="shared" si="83"/>
        <v>#DIV/0!</v>
      </c>
      <c r="AF352" s="11" t="e">
        <f t="shared" si="84"/>
        <v>#DIV/0!</v>
      </c>
      <c r="AG352" s="11" t="e">
        <f t="shared" si="85"/>
        <v>#DIV/0!</v>
      </c>
      <c r="AH352" s="11" t="e">
        <f t="shared" si="86"/>
        <v>#DIV/0!</v>
      </c>
      <c r="AI352" s="10"/>
      <c r="AJ352" s="11" t="e">
        <f t="shared" si="87"/>
        <v>#DIV/0!</v>
      </c>
      <c r="AK352" s="11" t="e">
        <f t="shared" si="88"/>
        <v>#DIV/0!</v>
      </c>
      <c r="AL352" s="11" t="e">
        <f t="shared" si="89"/>
        <v>#DIV/0!</v>
      </c>
    </row>
    <row r="353" spans="2:38" x14ac:dyDescent="0.2">
      <c r="B353" s="4"/>
      <c r="C353" s="4"/>
      <c r="D353" s="4"/>
      <c r="E353" s="4"/>
      <c r="F353" s="4"/>
      <c r="G353" s="4"/>
      <c r="H353" s="4"/>
      <c r="I353" s="4"/>
      <c r="J353" s="9" t="e">
        <f t="shared" si="77"/>
        <v>#DIV/0!</v>
      </c>
      <c r="K353" s="4"/>
      <c r="L353" s="4"/>
      <c r="M353" s="4"/>
      <c r="N353" s="4"/>
      <c r="O353" s="7"/>
      <c r="P353" s="7"/>
      <c r="Q353" s="4"/>
      <c r="R353" s="9" t="e">
        <f t="shared" si="78"/>
        <v>#DIV/0!</v>
      </c>
      <c r="S353" s="2" t="s">
        <v>31</v>
      </c>
      <c r="T353" s="4"/>
      <c r="U353" s="10"/>
      <c r="V353" s="10"/>
      <c r="W353" s="10"/>
      <c r="X353" s="10"/>
      <c r="Y353" s="10"/>
      <c r="Z353" s="10"/>
      <c r="AA353" s="11" t="e">
        <f t="shared" si="79"/>
        <v>#DIV/0!</v>
      </c>
      <c r="AB353" s="11">
        <f t="shared" si="80"/>
        <v>9</v>
      </c>
      <c r="AC353" s="11">
        <f t="shared" si="81"/>
        <v>8</v>
      </c>
      <c r="AD353" s="11" t="e">
        <f t="shared" si="82"/>
        <v>#DIV/0!</v>
      </c>
      <c r="AE353" s="11" t="e">
        <f t="shared" si="83"/>
        <v>#DIV/0!</v>
      </c>
      <c r="AF353" s="11" t="e">
        <f t="shared" si="84"/>
        <v>#DIV/0!</v>
      </c>
      <c r="AG353" s="11" t="e">
        <f t="shared" si="85"/>
        <v>#DIV/0!</v>
      </c>
      <c r="AH353" s="11" t="e">
        <f t="shared" si="86"/>
        <v>#DIV/0!</v>
      </c>
      <c r="AI353" s="10"/>
      <c r="AJ353" s="11" t="e">
        <f t="shared" si="87"/>
        <v>#DIV/0!</v>
      </c>
      <c r="AK353" s="11" t="e">
        <f t="shared" si="88"/>
        <v>#DIV/0!</v>
      </c>
      <c r="AL353" s="11" t="e">
        <f t="shared" si="89"/>
        <v>#DIV/0!</v>
      </c>
    </row>
    <row r="354" spans="2:38" x14ac:dyDescent="0.2">
      <c r="B354" s="4"/>
      <c r="C354" s="4"/>
      <c r="D354" s="4"/>
      <c r="E354" s="4"/>
      <c r="F354" s="4"/>
      <c r="G354" s="4"/>
      <c r="H354" s="4"/>
      <c r="I354" s="4"/>
      <c r="J354" s="9" t="e">
        <f t="shared" si="77"/>
        <v>#DIV/0!</v>
      </c>
      <c r="K354" s="4"/>
      <c r="L354" s="4"/>
      <c r="M354" s="4"/>
      <c r="N354" s="4"/>
      <c r="O354" s="7"/>
      <c r="P354" s="7"/>
      <c r="Q354" s="4"/>
      <c r="R354" s="9" t="e">
        <f t="shared" si="78"/>
        <v>#DIV/0!</v>
      </c>
      <c r="S354" s="2" t="s">
        <v>31</v>
      </c>
      <c r="T354" s="4"/>
      <c r="U354" s="10"/>
      <c r="V354" s="10"/>
      <c r="W354" s="10"/>
      <c r="X354" s="10"/>
      <c r="Y354" s="10"/>
      <c r="Z354" s="10"/>
      <c r="AA354" s="11" t="e">
        <f t="shared" si="79"/>
        <v>#DIV/0!</v>
      </c>
      <c r="AB354" s="11">
        <f t="shared" si="80"/>
        <v>9</v>
      </c>
      <c r="AC354" s="11">
        <f t="shared" si="81"/>
        <v>8</v>
      </c>
      <c r="AD354" s="11" t="e">
        <f t="shared" si="82"/>
        <v>#DIV/0!</v>
      </c>
      <c r="AE354" s="11" t="e">
        <f t="shared" si="83"/>
        <v>#DIV/0!</v>
      </c>
      <c r="AF354" s="11" t="e">
        <f t="shared" si="84"/>
        <v>#DIV/0!</v>
      </c>
      <c r="AG354" s="11" t="e">
        <f t="shared" si="85"/>
        <v>#DIV/0!</v>
      </c>
      <c r="AH354" s="11" t="e">
        <f t="shared" si="86"/>
        <v>#DIV/0!</v>
      </c>
      <c r="AI354" s="10"/>
      <c r="AJ354" s="11" t="e">
        <f t="shared" si="87"/>
        <v>#DIV/0!</v>
      </c>
      <c r="AK354" s="11" t="e">
        <f t="shared" si="88"/>
        <v>#DIV/0!</v>
      </c>
      <c r="AL354" s="11" t="e">
        <f t="shared" si="89"/>
        <v>#DIV/0!</v>
      </c>
    </row>
    <row r="355" spans="2:38" x14ac:dyDescent="0.2">
      <c r="B355" s="4"/>
      <c r="C355" s="4"/>
      <c r="D355" s="4"/>
      <c r="E355" s="4"/>
      <c r="F355" s="4"/>
      <c r="G355" s="4"/>
      <c r="H355" s="4"/>
      <c r="I355" s="4"/>
      <c r="J355" s="9" t="e">
        <f t="shared" si="77"/>
        <v>#DIV/0!</v>
      </c>
      <c r="K355" s="4"/>
      <c r="L355" s="4"/>
      <c r="M355" s="4"/>
      <c r="N355" s="4"/>
      <c r="O355" s="7"/>
      <c r="P355" s="7"/>
      <c r="Q355" s="4"/>
      <c r="R355" s="9" t="e">
        <f t="shared" si="78"/>
        <v>#DIV/0!</v>
      </c>
      <c r="S355" s="2" t="s">
        <v>31</v>
      </c>
      <c r="T355" s="4"/>
      <c r="U355" s="10"/>
      <c r="V355" s="10"/>
      <c r="W355" s="10"/>
      <c r="X355" s="10"/>
      <c r="Y355" s="10"/>
      <c r="Z355" s="10"/>
      <c r="AA355" s="11" t="e">
        <f t="shared" si="79"/>
        <v>#DIV/0!</v>
      </c>
      <c r="AB355" s="11">
        <f t="shared" si="80"/>
        <v>9</v>
      </c>
      <c r="AC355" s="11">
        <f t="shared" si="81"/>
        <v>8</v>
      </c>
      <c r="AD355" s="11" t="e">
        <f t="shared" si="82"/>
        <v>#DIV/0!</v>
      </c>
      <c r="AE355" s="11" t="e">
        <f t="shared" si="83"/>
        <v>#DIV/0!</v>
      </c>
      <c r="AF355" s="11" t="e">
        <f t="shared" si="84"/>
        <v>#DIV/0!</v>
      </c>
      <c r="AG355" s="11" t="e">
        <f t="shared" si="85"/>
        <v>#DIV/0!</v>
      </c>
      <c r="AH355" s="11" t="e">
        <f t="shared" si="86"/>
        <v>#DIV/0!</v>
      </c>
      <c r="AI355" s="10"/>
      <c r="AJ355" s="11" t="e">
        <f t="shared" si="87"/>
        <v>#DIV/0!</v>
      </c>
      <c r="AK355" s="11" t="e">
        <f t="shared" si="88"/>
        <v>#DIV/0!</v>
      </c>
      <c r="AL355" s="11" t="e">
        <f t="shared" si="89"/>
        <v>#DIV/0!</v>
      </c>
    </row>
    <row r="356" spans="2:38" x14ac:dyDescent="0.2">
      <c r="B356" s="4"/>
      <c r="C356" s="4"/>
      <c r="D356" s="4"/>
      <c r="E356" s="4"/>
      <c r="F356" s="4"/>
      <c r="G356" s="4"/>
      <c r="H356" s="4"/>
      <c r="I356" s="4"/>
      <c r="J356" s="9" t="e">
        <f t="shared" si="77"/>
        <v>#DIV/0!</v>
      </c>
      <c r="K356" s="4"/>
      <c r="L356" s="4"/>
      <c r="M356" s="4"/>
      <c r="N356" s="4"/>
      <c r="O356" s="7"/>
      <c r="P356" s="7"/>
      <c r="Q356" s="4"/>
      <c r="R356" s="9" t="e">
        <f t="shared" si="78"/>
        <v>#DIV/0!</v>
      </c>
      <c r="S356" s="2" t="s">
        <v>31</v>
      </c>
      <c r="T356" s="4"/>
      <c r="U356" s="10"/>
      <c r="V356" s="10"/>
      <c r="W356" s="10"/>
      <c r="X356" s="10"/>
      <c r="Y356" s="10"/>
      <c r="Z356" s="10"/>
      <c r="AA356" s="11" t="e">
        <f t="shared" si="79"/>
        <v>#DIV/0!</v>
      </c>
      <c r="AB356" s="11">
        <f t="shared" si="80"/>
        <v>9</v>
      </c>
      <c r="AC356" s="11">
        <f t="shared" si="81"/>
        <v>8</v>
      </c>
      <c r="AD356" s="11" t="e">
        <f t="shared" si="82"/>
        <v>#DIV/0!</v>
      </c>
      <c r="AE356" s="11" t="e">
        <f t="shared" si="83"/>
        <v>#DIV/0!</v>
      </c>
      <c r="AF356" s="11" t="e">
        <f t="shared" si="84"/>
        <v>#DIV/0!</v>
      </c>
      <c r="AG356" s="11" t="e">
        <f t="shared" si="85"/>
        <v>#DIV/0!</v>
      </c>
      <c r="AH356" s="11" t="e">
        <f t="shared" si="86"/>
        <v>#DIV/0!</v>
      </c>
      <c r="AI356" s="10"/>
      <c r="AJ356" s="11" t="e">
        <f t="shared" si="87"/>
        <v>#DIV/0!</v>
      </c>
      <c r="AK356" s="11" t="e">
        <f t="shared" si="88"/>
        <v>#DIV/0!</v>
      </c>
      <c r="AL356" s="11" t="e">
        <f t="shared" si="89"/>
        <v>#DIV/0!</v>
      </c>
    </row>
    <row r="357" spans="2:38" x14ac:dyDescent="0.2">
      <c r="B357" s="4"/>
      <c r="C357" s="4"/>
      <c r="D357" s="4"/>
      <c r="E357" s="4"/>
      <c r="F357" s="4"/>
      <c r="G357" s="4"/>
      <c r="H357" s="4"/>
      <c r="I357" s="4"/>
      <c r="J357" s="9" t="e">
        <f t="shared" si="77"/>
        <v>#DIV/0!</v>
      </c>
      <c r="K357" s="4"/>
      <c r="L357" s="4"/>
      <c r="M357" s="4"/>
      <c r="N357" s="4"/>
      <c r="O357" s="7"/>
      <c r="P357" s="7"/>
      <c r="Q357" s="4"/>
      <c r="R357" s="9" t="e">
        <f t="shared" si="78"/>
        <v>#DIV/0!</v>
      </c>
      <c r="S357" s="2" t="s">
        <v>49</v>
      </c>
      <c r="T357" s="4"/>
      <c r="U357" s="10"/>
      <c r="V357" s="10"/>
      <c r="W357" s="10"/>
      <c r="X357" s="10"/>
      <c r="Y357" s="10"/>
      <c r="Z357" s="10"/>
      <c r="AA357" s="11" t="e">
        <f t="shared" si="79"/>
        <v>#DIV/0!</v>
      </c>
      <c r="AB357" s="11">
        <f t="shared" si="80"/>
        <v>9</v>
      </c>
      <c r="AC357" s="11">
        <f t="shared" si="81"/>
        <v>8</v>
      </c>
      <c r="AD357" s="11" t="e">
        <f t="shared" si="82"/>
        <v>#DIV/0!</v>
      </c>
      <c r="AE357" s="11" t="e">
        <f t="shared" si="83"/>
        <v>#DIV/0!</v>
      </c>
      <c r="AF357" s="11" t="e">
        <f t="shared" si="84"/>
        <v>#DIV/0!</v>
      </c>
      <c r="AG357" s="11" t="e">
        <f t="shared" si="85"/>
        <v>#DIV/0!</v>
      </c>
      <c r="AH357" s="11" t="e">
        <f t="shared" si="86"/>
        <v>#DIV/0!</v>
      </c>
      <c r="AI357" s="10"/>
      <c r="AJ357" s="11" t="e">
        <f t="shared" si="87"/>
        <v>#DIV/0!</v>
      </c>
      <c r="AK357" s="11" t="e">
        <f t="shared" si="88"/>
        <v>#DIV/0!</v>
      </c>
      <c r="AL357" s="11" t="e">
        <f t="shared" si="89"/>
        <v>#DIV/0!</v>
      </c>
    </row>
    <row r="358" spans="2:38" x14ac:dyDescent="0.2">
      <c r="B358" s="4"/>
      <c r="C358" s="4"/>
      <c r="D358" s="4"/>
      <c r="E358" s="4"/>
      <c r="F358" s="4"/>
      <c r="G358" s="4"/>
      <c r="H358" s="4"/>
      <c r="I358" s="4"/>
      <c r="J358" s="9" t="e">
        <f t="shared" si="77"/>
        <v>#DIV/0!</v>
      </c>
      <c r="K358" s="4"/>
      <c r="L358" s="4"/>
      <c r="M358" s="4"/>
      <c r="N358" s="4"/>
      <c r="O358" s="7"/>
      <c r="P358" s="7"/>
      <c r="Q358" s="4"/>
      <c r="R358" s="9" t="e">
        <f t="shared" si="78"/>
        <v>#DIV/0!</v>
      </c>
      <c r="S358" s="2" t="s">
        <v>49</v>
      </c>
      <c r="T358" s="4"/>
      <c r="U358" s="10"/>
      <c r="V358" s="10"/>
      <c r="W358" s="10"/>
      <c r="X358" s="10"/>
      <c r="Y358" s="10"/>
      <c r="Z358" s="10"/>
      <c r="AA358" s="11" t="e">
        <f t="shared" si="79"/>
        <v>#DIV/0!</v>
      </c>
      <c r="AB358" s="11">
        <f t="shared" si="80"/>
        <v>9</v>
      </c>
      <c r="AC358" s="11">
        <f t="shared" si="81"/>
        <v>8</v>
      </c>
      <c r="AD358" s="11" t="e">
        <f t="shared" si="82"/>
        <v>#DIV/0!</v>
      </c>
      <c r="AE358" s="11" t="e">
        <f t="shared" si="83"/>
        <v>#DIV/0!</v>
      </c>
      <c r="AF358" s="11" t="e">
        <f t="shared" si="84"/>
        <v>#DIV/0!</v>
      </c>
      <c r="AG358" s="11" t="e">
        <f t="shared" si="85"/>
        <v>#DIV/0!</v>
      </c>
      <c r="AH358" s="11" t="e">
        <f t="shared" si="86"/>
        <v>#DIV/0!</v>
      </c>
      <c r="AI358" s="10"/>
      <c r="AJ358" s="11" t="e">
        <f t="shared" si="87"/>
        <v>#DIV/0!</v>
      </c>
      <c r="AK358" s="11" t="e">
        <f t="shared" si="88"/>
        <v>#DIV/0!</v>
      </c>
      <c r="AL358" s="11" t="e">
        <f t="shared" si="89"/>
        <v>#DIV/0!</v>
      </c>
    </row>
    <row r="359" spans="2:38" x14ac:dyDescent="0.2">
      <c r="B359" s="4"/>
      <c r="C359" s="4"/>
      <c r="D359" s="4"/>
      <c r="E359" s="4"/>
      <c r="F359" s="4"/>
      <c r="G359" s="4"/>
      <c r="H359" s="4"/>
      <c r="I359" s="4"/>
      <c r="J359" s="9" t="e">
        <f t="shared" si="77"/>
        <v>#DIV/0!</v>
      </c>
      <c r="K359" s="4"/>
      <c r="L359" s="4"/>
      <c r="M359" s="4"/>
      <c r="N359" s="4"/>
      <c r="O359" s="7"/>
      <c r="P359" s="7"/>
      <c r="Q359" s="4"/>
      <c r="R359" s="9" t="e">
        <f t="shared" si="78"/>
        <v>#DIV/0!</v>
      </c>
      <c r="S359" s="4" t="s">
        <v>49</v>
      </c>
      <c r="T359" s="4"/>
      <c r="U359" s="10"/>
      <c r="V359" s="10"/>
      <c r="W359" s="10"/>
      <c r="X359" s="10"/>
      <c r="Y359" s="10"/>
      <c r="Z359" s="10"/>
      <c r="AA359" s="11" t="e">
        <f t="shared" si="79"/>
        <v>#DIV/0!</v>
      </c>
      <c r="AB359" s="11">
        <f t="shared" si="80"/>
        <v>9</v>
      </c>
      <c r="AC359" s="11">
        <f t="shared" si="81"/>
        <v>8</v>
      </c>
      <c r="AD359" s="11" t="e">
        <f t="shared" si="82"/>
        <v>#DIV/0!</v>
      </c>
      <c r="AE359" s="11" t="e">
        <f t="shared" si="83"/>
        <v>#DIV/0!</v>
      </c>
      <c r="AF359" s="11" t="e">
        <f t="shared" si="84"/>
        <v>#DIV/0!</v>
      </c>
      <c r="AG359" s="11" t="e">
        <f t="shared" si="85"/>
        <v>#DIV/0!</v>
      </c>
      <c r="AH359" s="11" t="e">
        <f t="shared" si="86"/>
        <v>#DIV/0!</v>
      </c>
      <c r="AI359" s="10"/>
      <c r="AJ359" s="11" t="e">
        <f t="shared" si="87"/>
        <v>#DIV/0!</v>
      </c>
      <c r="AK359" s="11" t="e">
        <f t="shared" si="88"/>
        <v>#DIV/0!</v>
      </c>
      <c r="AL359" s="11" t="e">
        <f t="shared" si="89"/>
        <v>#DIV/0!</v>
      </c>
    </row>
    <row r="360" spans="2:38" x14ac:dyDescent="0.2">
      <c r="B360" s="4"/>
      <c r="C360" s="4"/>
      <c r="D360" s="4"/>
      <c r="E360" s="4"/>
      <c r="F360" s="4"/>
      <c r="G360" s="4"/>
      <c r="H360" s="4"/>
      <c r="I360" s="4"/>
      <c r="J360" s="9" t="e">
        <f t="shared" si="77"/>
        <v>#DIV/0!</v>
      </c>
      <c r="K360" s="4"/>
      <c r="L360" s="4"/>
      <c r="M360" s="4"/>
      <c r="N360" s="4"/>
      <c r="O360" s="7"/>
      <c r="P360" s="7"/>
      <c r="Q360" s="4"/>
      <c r="R360" s="9" t="e">
        <f t="shared" si="78"/>
        <v>#DIV/0!</v>
      </c>
      <c r="S360" s="2" t="s">
        <v>49</v>
      </c>
      <c r="T360" s="4"/>
      <c r="U360" s="10"/>
      <c r="V360" s="10"/>
      <c r="W360" s="10"/>
      <c r="X360" s="10"/>
      <c r="Y360" s="10"/>
      <c r="Z360" s="10"/>
      <c r="AA360" s="11" t="e">
        <f t="shared" si="79"/>
        <v>#DIV/0!</v>
      </c>
      <c r="AB360" s="11">
        <f t="shared" si="80"/>
        <v>9</v>
      </c>
      <c r="AC360" s="11">
        <f t="shared" si="81"/>
        <v>8</v>
      </c>
      <c r="AD360" s="11" t="e">
        <f t="shared" si="82"/>
        <v>#DIV/0!</v>
      </c>
      <c r="AE360" s="11" t="e">
        <f t="shared" si="83"/>
        <v>#DIV/0!</v>
      </c>
      <c r="AF360" s="11" t="e">
        <f t="shared" si="84"/>
        <v>#DIV/0!</v>
      </c>
      <c r="AG360" s="11" t="e">
        <f t="shared" si="85"/>
        <v>#DIV/0!</v>
      </c>
      <c r="AH360" s="11" t="e">
        <f t="shared" si="86"/>
        <v>#DIV/0!</v>
      </c>
      <c r="AI360" s="10"/>
      <c r="AJ360" s="11" t="e">
        <f t="shared" si="87"/>
        <v>#DIV/0!</v>
      </c>
      <c r="AK360" s="11" t="e">
        <f t="shared" si="88"/>
        <v>#DIV/0!</v>
      </c>
      <c r="AL360" s="11" t="e">
        <f t="shared" si="89"/>
        <v>#DIV/0!</v>
      </c>
    </row>
    <row r="361" spans="2:38" x14ac:dyDescent="0.2">
      <c r="B361" s="4"/>
      <c r="C361" s="4"/>
      <c r="D361" s="4"/>
      <c r="E361" s="4"/>
      <c r="F361" s="4"/>
      <c r="G361" s="4"/>
      <c r="H361" s="4"/>
      <c r="I361" s="4"/>
      <c r="J361" s="9" t="e">
        <f t="shared" si="77"/>
        <v>#DIV/0!</v>
      </c>
      <c r="K361" s="4"/>
      <c r="L361" s="4"/>
      <c r="M361" s="4"/>
      <c r="N361" s="4"/>
      <c r="O361" s="7"/>
      <c r="P361" s="7"/>
      <c r="Q361" s="4"/>
      <c r="R361" s="9" t="e">
        <f t="shared" si="78"/>
        <v>#DIV/0!</v>
      </c>
      <c r="S361" s="2" t="s">
        <v>49</v>
      </c>
      <c r="T361" s="4"/>
      <c r="U361" s="10"/>
      <c r="V361" s="10"/>
      <c r="W361" s="10"/>
      <c r="X361" s="10"/>
      <c r="Y361" s="10"/>
      <c r="Z361" s="10"/>
      <c r="AA361" s="11" t="e">
        <f t="shared" si="79"/>
        <v>#DIV/0!</v>
      </c>
      <c r="AB361" s="11">
        <f t="shared" si="80"/>
        <v>9</v>
      </c>
      <c r="AC361" s="11">
        <f t="shared" si="81"/>
        <v>8</v>
      </c>
      <c r="AD361" s="11" t="e">
        <f t="shared" si="82"/>
        <v>#DIV/0!</v>
      </c>
      <c r="AE361" s="11" t="e">
        <f t="shared" si="83"/>
        <v>#DIV/0!</v>
      </c>
      <c r="AF361" s="11" t="e">
        <f t="shared" si="84"/>
        <v>#DIV/0!</v>
      </c>
      <c r="AG361" s="11" t="e">
        <f t="shared" si="85"/>
        <v>#DIV/0!</v>
      </c>
      <c r="AH361" s="11" t="e">
        <f t="shared" si="86"/>
        <v>#DIV/0!</v>
      </c>
      <c r="AI361" s="10"/>
      <c r="AJ361" s="11" t="e">
        <f t="shared" si="87"/>
        <v>#DIV/0!</v>
      </c>
      <c r="AK361" s="11" t="e">
        <f t="shared" si="88"/>
        <v>#DIV/0!</v>
      </c>
      <c r="AL361" s="11" t="e">
        <f t="shared" si="89"/>
        <v>#DIV/0!</v>
      </c>
    </row>
    <row r="362" spans="2:38" x14ac:dyDescent="0.2">
      <c r="B362" s="4"/>
      <c r="C362" s="4"/>
      <c r="D362" s="4"/>
      <c r="E362" s="4"/>
      <c r="F362" s="4"/>
      <c r="G362" s="4"/>
      <c r="H362" s="4"/>
      <c r="I362" s="4"/>
      <c r="J362" s="9" t="e">
        <f t="shared" si="77"/>
        <v>#DIV/0!</v>
      </c>
      <c r="K362" s="4"/>
      <c r="L362" s="4"/>
      <c r="M362" s="4"/>
      <c r="N362" s="4"/>
      <c r="O362" s="7"/>
      <c r="P362" s="7"/>
      <c r="Q362" s="4"/>
      <c r="R362" s="9" t="e">
        <f t="shared" si="78"/>
        <v>#DIV/0!</v>
      </c>
      <c r="S362" s="4" t="s">
        <v>49</v>
      </c>
      <c r="T362" s="4"/>
      <c r="U362" s="10"/>
      <c r="V362" s="10"/>
      <c r="W362" s="10"/>
      <c r="X362" s="10"/>
      <c r="Y362" s="10"/>
      <c r="Z362" s="10"/>
      <c r="AA362" s="11" t="e">
        <f t="shared" si="79"/>
        <v>#DIV/0!</v>
      </c>
      <c r="AB362" s="11">
        <f t="shared" si="80"/>
        <v>9</v>
      </c>
      <c r="AC362" s="11">
        <f t="shared" si="81"/>
        <v>8</v>
      </c>
      <c r="AD362" s="11" t="e">
        <f t="shared" si="82"/>
        <v>#DIV/0!</v>
      </c>
      <c r="AE362" s="11" t="e">
        <f t="shared" si="83"/>
        <v>#DIV/0!</v>
      </c>
      <c r="AF362" s="11" t="e">
        <f t="shared" si="84"/>
        <v>#DIV/0!</v>
      </c>
      <c r="AG362" s="11" t="e">
        <f t="shared" si="85"/>
        <v>#DIV/0!</v>
      </c>
      <c r="AH362" s="11" t="e">
        <f t="shared" si="86"/>
        <v>#DIV/0!</v>
      </c>
      <c r="AI362" s="10"/>
      <c r="AJ362" s="11" t="e">
        <f t="shared" si="87"/>
        <v>#DIV/0!</v>
      </c>
      <c r="AK362" s="11" t="e">
        <f t="shared" si="88"/>
        <v>#DIV/0!</v>
      </c>
      <c r="AL362" s="11" t="e">
        <f t="shared" si="89"/>
        <v>#DIV/0!</v>
      </c>
    </row>
    <row r="363" spans="2:38" x14ac:dyDescent="0.2">
      <c r="B363" s="4"/>
      <c r="C363" s="4"/>
      <c r="D363" s="4"/>
      <c r="E363" s="4"/>
      <c r="F363" s="4"/>
      <c r="G363" s="4"/>
      <c r="H363" s="4"/>
      <c r="I363" s="4"/>
      <c r="J363" s="9" t="e">
        <f t="shared" si="77"/>
        <v>#DIV/0!</v>
      </c>
      <c r="K363" s="4"/>
      <c r="L363" s="4"/>
      <c r="M363" s="4"/>
      <c r="N363" s="4"/>
      <c r="O363" s="7"/>
      <c r="P363" s="7"/>
      <c r="Q363" s="4"/>
      <c r="R363" s="9" t="e">
        <f t="shared" si="78"/>
        <v>#DIV/0!</v>
      </c>
      <c r="S363" s="2" t="s">
        <v>49</v>
      </c>
      <c r="T363" s="4"/>
      <c r="U363" s="10"/>
      <c r="V363" s="10"/>
      <c r="W363" s="10"/>
      <c r="X363" s="10"/>
      <c r="Y363" s="10"/>
      <c r="Z363" s="10"/>
      <c r="AA363" s="11" t="e">
        <f t="shared" si="79"/>
        <v>#DIV/0!</v>
      </c>
      <c r="AB363" s="11">
        <f t="shared" si="80"/>
        <v>9</v>
      </c>
      <c r="AC363" s="11">
        <f t="shared" si="81"/>
        <v>8</v>
      </c>
      <c r="AD363" s="11" t="e">
        <f t="shared" si="82"/>
        <v>#DIV/0!</v>
      </c>
      <c r="AE363" s="11" t="e">
        <f t="shared" si="83"/>
        <v>#DIV/0!</v>
      </c>
      <c r="AF363" s="11" t="e">
        <f t="shared" si="84"/>
        <v>#DIV/0!</v>
      </c>
      <c r="AG363" s="11" t="e">
        <f t="shared" si="85"/>
        <v>#DIV/0!</v>
      </c>
      <c r="AH363" s="11" t="e">
        <f t="shared" si="86"/>
        <v>#DIV/0!</v>
      </c>
      <c r="AI363" s="10"/>
      <c r="AJ363" s="11" t="e">
        <f t="shared" si="87"/>
        <v>#DIV/0!</v>
      </c>
      <c r="AK363" s="11" t="e">
        <f t="shared" si="88"/>
        <v>#DIV/0!</v>
      </c>
      <c r="AL363" s="11" t="e">
        <f t="shared" si="89"/>
        <v>#DIV/0!</v>
      </c>
    </row>
    <row r="364" spans="2:38" x14ac:dyDescent="0.2">
      <c r="B364" s="4"/>
      <c r="C364" s="4"/>
      <c r="D364" s="4"/>
      <c r="E364" s="4"/>
      <c r="F364" s="4"/>
      <c r="G364" s="4"/>
      <c r="H364" s="4"/>
      <c r="I364" s="4"/>
      <c r="J364" s="9" t="e">
        <f t="shared" si="77"/>
        <v>#DIV/0!</v>
      </c>
      <c r="K364" s="4"/>
      <c r="L364" s="4"/>
      <c r="M364" s="4"/>
      <c r="N364" s="4"/>
      <c r="O364" s="7"/>
      <c r="P364" s="7"/>
      <c r="Q364" s="4"/>
      <c r="R364" s="9" t="e">
        <f t="shared" si="78"/>
        <v>#DIV/0!</v>
      </c>
      <c r="S364" s="2" t="s">
        <v>49</v>
      </c>
      <c r="T364" s="4"/>
      <c r="U364" s="10"/>
      <c r="V364" s="10"/>
      <c r="W364" s="10"/>
      <c r="X364" s="10"/>
      <c r="Y364" s="10"/>
      <c r="Z364" s="10"/>
      <c r="AA364" s="11" t="e">
        <f t="shared" si="79"/>
        <v>#DIV/0!</v>
      </c>
      <c r="AB364" s="11">
        <f t="shared" si="80"/>
        <v>9</v>
      </c>
      <c r="AC364" s="11">
        <f t="shared" si="81"/>
        <v>8</v>
      </c>
      <c r="AD364" s="11" t="e">
        <f t="shared" si="82"/>
        <v>#DIV/0!</v>
      </c>
      <c r="AE364" s="11" t="e">
        <f t="shared" si="83"/>
        <v>#DIV/0!</v>
      </c>
      <c r="AF364" s="11" t="e">
        <f t="shared" si="84"/>
        <v>#DIV/0!</v>
      </c>
      <c r="AG364" s="11" t="e">
        <f t="shared" si="85"/>
        <v>#DIV/0!</v>
      </c>
      <c r="AH364" s="11" t="e">
        <f t="shared" si="86"/>
        <v>#DIV/0!</v>
      </c>
      <c r="AI364" s="10"/>
      <c r="AJ364" s="11" t="e">
        <f t="shared" si="87"/>
        <v>#DIV/0!</v>
      </c>
      <c r="AK364" s="11" t="e">
        <f t="shared" si="88"/>
        <v>#DIV/0!</v>
      </c>
      <c r="AL364" s="11" t="e">
        <f t="shared" si="89"/>
        <v>#DIV/0!</v>
      </c>
    </row>
    <row r="365" spans="2:38" x14ac:dyDescent="0.2">
      <c r="B365" s="4"/>
      <c r="C365" s="4"/>
      <c r="D365" s="4"/>
      <c r="E365" s="4"/>
      <c r="F365" s="4"/>
      <c r="G365" s="4"/>
      <c r="H365" s="4"/>
      <c r="I365" s="4"/>
      <c r="J365" s="9" t="e">
        <f t="shared" si="77"/>
        <v>#DIV/0!</v>
      </c>
      <c r="K365" s="4"/>
      <c r="L365" s="4"/>
      <c r="M365" s="4"/>
      <c r="N365" s="4"/>
      <c r="O365" s="7"/>
      <c r="P365" s="7"/>
      <c r="Q365" s="4"/>
      <c r="R365" s="9" t="e">
        <f t="shared" si="78"/>
        <v>#DIV/0!</v>
      </c>
      <c r="S365" s="2" t="s">
        <v>49</v>
      </c>
      <c r="T365" s="4"/>
      <c r="U365" s="10"/>
      <c r="V365" s="10"/>
      <c r="W365" s="10"/>
      <c r="X365" s="10"/>
      <c r="Y365" s="10"/>
      <c r="Z365" s="10"/>
      <c r="AA365" s="11" t="e">
        <f t="shared" si="79"/>
        <v>#DIV/0!</v>
      </c>
      <c r="AB365" s="11">
        <f t="shared" si="80"/>
        <v>9</v>
      </c>
      <c r="AC365" s="11">
        <f t="shared" si="81"/>
        <v>8</v>
      </c>
      <c r="AD365" s="11" t="e">
        <f t="shared" si="82"/>
        <v>#DIV/0!</v>
      </c>
      <c r="AE365" s="11" t="e">
        <f t="shared" si="83"/>
        <v>#DIV/0!</v>
      </c>
      <c r="AF365" s="11" t="e">
        <f t="shared" si="84"/>
        <v>#DIV/0!</v>
      </c>
      <c r="AG365" s="11" t="e">
        <f t="shared" si="85"/>
        <v>#DIV/0!</v>
      </c>
      <c r="AH365" s="11" t="e">
        <f t="shared" si="86"/>
        <v>#DIV/0!</v>
      </c>
      <c r="AI365" s="10"/>
      <c r="AJ365" s="11" t="e">
        <f t="shared" si="87"/>
        <v>#DIV/0!</v>
      </c>
      <c r="AK365" s="11" t="e">
        <f t="shared" si="88"/>
        <v>#DIV/0!</v>
      </c>
      <c r="AL365" s="11" t="e">
        <f t="shared" si="89"/>
        <v>#DIV/0!</v>
      </c>
    </row>
    <row r="366" spans="2:38" x14ac:dyDescent="0.2">
      <c r="B366" s="4"/>
      <c r="C366" s="4"/>
      <c r="D366" s="4"/>
      <c r="E366" s="4"/>
      <c r="F366" s="4"/>
      <c r="G366" s="4"/>
      <c r="H366" s="4"/>
      <c r="I366" s="4"/>
      <c r="J366" s="9" t="e">
        <f t="shared" si="77"/>
        <v>#DIV/0!</v>
      </c>
      <c r="K366" s="4"/>
      <c r="L366" s="4"/>
      <c r="M366" s="4"/>
      <c r="N366" s="4"/>
      <c r="O366" s="7"/>
      <c r="P366" s="7"/>
      <c r="Q366" s="4"/>
      <c r="R366" s="9" t="e">
        <f t="shared" si="78"/>
        <v>#DIV/0!</v>
      </c>
      <c r="S366" s="4" t="s">
        <v>49</v>
      </c>
      <c r="T366" s="4"/>
      <c r="U366" s="10"/>
      <c r="V366" s="10"/>
      <c r="W366" s="10"/>
      <c r="X366" s="10"/>
      <c r="Y366" s="10"/>
      <c r="Z366" s="10"/>
      <c r="AA366" s="11" t="e">
        <f t="shared" si="79"/>
        <v>#DIV/0!</v>
      </c>
      <c r="AB366" s="11">
        <f t="shared" si="80"/>
        <v>9</v>
      </c>
      <c r="AC366" s="11">
        <f t="shared" si="81"/>
        <v>8</v>
      </c>
      <c r="AD366" s="11" t="e">
        <f t="shared" si="82"/>
        <v>#DIV/0!</v>
      </c>
      <c r="AE366" s="11" t="e">
        <f t="shared" si="83"/>
        <v>#DIV/0!</v>
      </c>
      <c r="AF366" s="11" t="e">
        <f t="shared" si="84"/>
        <v>#DIV/0!</v>
      </c>
      <c r="AG366" s="11" t="e">
        <f t="shared" si="85"/>
        <v>#DIV/0!</v>
      </c>
      <c r="AH366" s="11" t="e">
        <f t="shared" si="86"/>
        <v>#DIV/0!</v>
      </c>
      <c r="AI366" s="10"/>
      <c r="AJ366" s="11" t="e">
        <f t="shared" si="87"/>
        <v>#DIV/0!</v>
      </c>
      <c r="AK366" s="11" t="e">
        <f t="shared" si="88"/>
        <v>#DIV/0!</v>
      </c>
      <c r="AL366" s="11" t="e">
        <f t="shared" si="89"/>
        <v>#DIV/0!</v>
      </c>
    </row>
    <row r="367" spans="2:38" x14ac:dyDescent="0.2">
      <c r="B367" s="4"/>
      <c r="C367" s="4"/>
      <c r="D367" s="4"/>
      <c r="E367" s="4"/>
      <c r="F367" s="4"/>
      <c r="G367" s="4"/>
      <c r="H367" s="4"/>
      <c r="I367" s="4"/>
      <c r="J367" s="9" t="e">
        <f t="shared" si="77"/>
        <v>#DIV/0!</v>
      </c>
      <c r="K367" s="4"/>
      <c r="L367" s="4"/>
      <c r="M367" s="4"/>
      <c r="N367" s="4"/>
      <c r="O367" s="7"/>
      <c r="P367" s="7"/>
      <c r="Q367" s="4"/>
      <c r="R367" s="9" t="e">
        <f t="shared" si="78"/>
        <v>#DIV/0!</v>
      </c>
      <c r="S367" s="2" t="s">
        <v>49</v>
      </c>
      <c r="T367" s="4"/>
      <c r="U367" s="10"/>
      <c r="V367" s="10"/>
      <c r="W367" s="10"/>
      <c r="X367" s="10"/>
      <c r="Y367" s="10"/>
      <c r="Z367" s="10"/>
      <c r="AA367" s="11" t="e">
        <f t="shared" si="79"/>
        <v>#DIV/0!</v>
      </c>
      <c r="AB367" s="11">
        <f t="shared" si="80"/>
        <v>9</v>
      </c>
      <c r="AC367" s="11">
        <f t="shared" si="81"/>
        <v>8</v>
      </c>
      <c r="AD367" s="11" t="e">
        <f t="shared" si="82"/>
        <v>#DIV/0!</v>
      </c>
      <c r="AE367" s="11" t="e">
        <f t="shared" si="83"/>
        <v>#DIV/0!</v>
      </c>
      <c r="AF367" s="11" t="e">
        <f t="shared" si="84"/>
        <v>#DIV/0!</v>
      </c>
      <c r="AG367" s="11" t="e">
        <f t="shared" si="85"/>
        <v>#DIV/0!</v>
      </c>
      <c r="AH367" s="11" t="e">
        <f t="shared" si="86"/>
        <v>#DIV/0!</v>
      </c>
      <c r="AI367" s="10"/>
      <c r="AJ367" s="11" t="e">
        <f t="shared" si="87"/>
        <v>#DIV/0!</v>
      </c>
      <c r="AK367" s="11" t="e">
        <f t="shared" si="88"/>
        <v>#DIV/0!</v>
      </c>
      <c r="AL367" s="11" t="e">
        <f t="shared" si="89"/>
        <v>#DIV/0!</v>
      </c>
    </row>
    <row r="368" spans="2:38" x14ac:dyDescent="0.2">
      <c r="B368" s="4"/>
      <c r="C368" s="4"/>
      <c r="D368" s="4"/>
      <c r="E368" s="4"/>
      <c r="F368" s="4"/>
      <c r="G368" s="4"/>
      <c r="H368" s="4"/>
      <c r="I368" s="4"/>
      <c r="J368" s="9" t="e">
        <f t="shared" si="77"/>
        <v>#DIV/0!</v>
      </c>
      <c r="K368" s="4"/>
      <c r="L368" s="4"/>
      <c r="M368" s="4"/>
      <c r="N368" s="4"/>
      <c r="O368" s="7"/>
      <c r="P368" s="7"/>
      <c r="Q368" s="4"/>
      <c r="R368" s="9" t="e">
        <f t="shared" si="78"/>
        <v>#DIV/0!</v>
      </c>
      <c r="S368" s="2" t="s">
        <v>49</v>
      </c>
      <c r="T368" s="4"/>
      <c r="U368" s="10"/>
      <c r="V368" s="10"/>
      <c r="W368" s="10"/>
      <c r="X368" s="10"/>
      <c r="Y368" s="10"/>
      <c r="Z368" s="10"/>
      <c r="AA368" s="11" t="e">
        <f t="shared" si="79"/>
        <v>#DIV/0!</v>
      </c>
      <c r="AB368" s="11">
        <f t="shared" si="80"/>
        <v>9</v>
      </c>
      <c r="AC368" s="11">
        <f t="shared" si="81"/>
        <v>8</v>
      </c>
      <c r="AD368" s="11" t="e">
        <f t="shared" si="82"/>
        <v>#DIV/0!</v>
      </c>
      <c r="AE368" s="11" t="e">
        <f t="shared" si="83"/>
        <v>#DIV/0!</v>
      </c>
      <c r="AF368" s="11" t="e">
        <f t="shared" si="84"/>
        <v>#DIV/0!</v>
      </c>
      <c r="AG368" s="11" t="e">
        <f t="shared" si="85"/>
        <v>#DIV/0!</v>
      </c>
      <c r="AH368" s="11" t="e">
        <f t="shared" si="86"/>
        <v>#DIV/0!</v>
      </c>
      <c r="AI368" s="10"/>
      <c r="AJ368" s="11" t="e">
        <f t="shared" si="87"/>
        <v>#DIV/0!</v>
      </c>
      <c r="AK368" s="11" t="e">
        <f t="shared" si="88"/>
        <v>#DIV/0!</v>
      </c>
      <c r="AL368" s="11" t="e">
        <f t="shared" si="89"/>
        <v>#DIV/0!</v>
      </c>
    </row>
    <row r="369" spans="2:38" x14ac:dyDescent="0.2">
      <c r="B369" s="4"/>
      <c r="C369" s="4"/>
      <c r="D369" s="4"/>
      <c r="E369" s="4"/>
      <c r="F369" s="4"/>
      <c r="G369" s="4"/>
      <c r="H369" s="4"/>
      <c r="I369" s="4"/>
      <c r="J369" s="9" t="e">
        <f t="shared" si="77"/>
        <v>#DIV/0!</v>
      </c>
      <c r="K369" s="4"/>
      <c r="L369" s="4"/>
      <c r="M369" s="4"/>
      <c r="N369" s="4"/>
      <c r="O369" s="7"/>
      <c r="P369" s="7"/>
      <c r="Q369" s="4"/>
      <c r="R369" s="9" t="e">
        <f t="shared" si="78"/>
        <v>#DIV/0!</v>
      </c>
      <c r="S369" s="4" t="s">
        <v>49</v>
      </c>
      <c r="T369" s="4"/>
      <c r="U369" s="10"/>
      <c r="V369" s="10"/>
      <c r="W369" s="10"/>
      <c r="X369" s="10"/>
      <c r="Y369" s="10"/>
      <c r="Z369" s="10"/>
      <c r="AA369" s="11" t="e">
        <f t="shared" si="79"/>
        <v>#DIV/0!</v>
      </c>
      <c r="AB369" s="11">
        <f t="shared" si="80"/>
        <v>9</v>
      </c>
      <c r="AC369" s="11">
        <f t="shared" si="81"/>
        <v>8</v>
      </c>
      <c r="AD369" s="11" t="e">
        <f t="shared" si="82"/>
        <v>#DIV/0!</v>
      </c>
      <c r="AE369" s="11" t="e">
        <f t="shared" si="83"/>
        <v>#DIV/0!</v>
      </c>
      <c r="AF369" s="11" t="e">
        <f t="shared" si="84"/>
        <v>#DIV/0!</v>
      </c>
      <c r="AG369" s="11" t="e">
        <f t="shared" si="85"/>
        <v>#DIV/0!</v>
      </c>
      <c r="AH369" s="11" t="e">
        <f t="shared" si="86"/>
        <v>#DIV/0!</v>
      </c>
      <c r="AI369" s="10"/>
      <c r="AJ369" s="11" t="e">
        <f t="shared" si="87"/>
        <v>#DIV/0!</v>
      </c>
      <c r="AK369" s="11" t="e">
        <f t="shared" si="88"/>
        <v>#DIV/0!</v>
      </c>
      <c r="AL369" s="11" t="e">
        <f t="shared" si="89"/>
        <v>#DIV/0!</v>
      </c>
    </row>
    <row r="370" spans="2:38" x14ac:dyDescent="0.2">
      <c r="B370" s="4"/>
      <c r="C370" s="4"/>
      <c r="D370" s="4"/>
      <c r="E370" s="4"/>
      <c r="F370" s="4"/>
      <c r="G370" s="4"/>
      <c r="H370" s="4"/>
      <c r="I370" s="4"/>
      <c r="J370" s="9" t="e">
        <f t="shared" si="77"/>
        <v>#DIV/0!</v>
      </c>
      <c r="K370" s="4"/>
      <c r="L370" s="4"/>
      <c r="M370" s="4"/>
      <c r="N370" s="4"/>
      <c r="O370" s="7"/>
      <c r="P370" s="7"/>
      <c r="Q370" s="4"/>
      <c r="R370" s="9" t="e">
        <f t="shared" si="78"/>
        <v>#DIV/0!</v>
      </c>
      <c r="S370" s="4" t="s">
        <v>49</v>
      </c>
      <c r="T370" s="4"/>
      <c r="U370" s="10"/>
      <c r="V370" s="10"/>
      <c r="W370" s="10"/>
      <c r="X370" s="10"/>
      <c r="Y370" s="10"/>
      <c r="Z370" s="10"/>
      <c r="AA370" s="11" t="e">
        <f t="shared" si="79"/>
        <v>#DIV/0!</v>
      </c>
      <c r="AB370" s="11">
        <f t="shared" si="80"/>
        <v>9</v>
      </c>
      <c r="AC370" s="11">
        <f t="shared" si="81"/>
        <v>8</v>
      </c>
      <c r="AD370" s="11" t="e">
        <f t="shared" si="82"/>
        <v>#DIV/0!</v>
      </c>
      <c r="AE370" s="11" t="e">
        <f t="shared" si="83"/>
        <v>#DIV/0!</v>
      </c>
      <c r="AF370" s="11" t="e">
        <f t="shared" si="84"/>
        <v>#DIV/0!</v>
      </c>
      <c r="AG370" s="11" t="e">
        <f t="shared" si="85"/>
        <v>#DIV/0!</v>
      </c>
      <c r="AH370" s="11" t="e">
        <f t="shared" si="86"/>
        <v>#DIV/0!</v>
      </c>
      <c r="AI370" s="10"/>
      <c r="AJ370" s="11" t="e">
        <f t="shared" si="87"/>
        <v>#DIV/0!</v>
      </c>
      <c r="AK370" s="11" t="e">
        <f t="shared" si="88"/>
        <v>#DIV/0!</v>
      </c>
      <c r="AL370" s="11" t="e">
        <f t="shared" si="89"/>
        <v>#DIV/0!</v>
      </c>
    </row>
    <row r="371" spans="2:38" x14ac:dyDescent="0.2">
      <c r="B371" s="4"/>
      <c r="C371" s="4"/>
      <c r="D371" s="4"/>
      <c r="E371" s="4"/>
      <c r="F371" s="4"/>
      <c r="G371" s="4"/>
      <c r="H371" s="4"/>
      <c r="I371" s="4"/>
      <c r="J371" s="9" t="e">
        <f t="shared" si="77"/>
        <v>#DIV/0!</v>
      </c>
      <c r="K371" s="4"/>
      <c r="L371" s="4"/>
      <c r="M371" s="4"/>
      <c r="N371" s="4"/>
      <c r="O371" s="7"/>
      <c r="P371" s="7"/>
      <c r="Q371" s="4"/>
      <c r="R371" s="9" t="e">
        <f t="shared" si="78"/>
        <v>#DIV/0!</v>
      </c>
      <c r="S371" s="4" t="s">
        <v>117</v>
      </c>
      <c r="T371" s="4"/>
      <c r="U371" s="10"/>
      <c r="V371" s="10"/>
      <c r="W371" s="10"/>
      <c r="X371" s="10"/>
      <c r="Y371" s="10"/>
      <c r="Z371" s="10"/>
      <c r="AA371" s="11" t="e">
        <f t="shared" si="79"/>
        <v>#DIV/0!</v>
      </c>
      <c r="AB371" s="11">
        <f t="shared" si="80"/>
        <v>9</v>
      </c>
      <c r="AC371" s="11">
        <f t="shared" si="81"/>
        <v>8</v>
      </c>
      <c r="AD371" s="11" t="e">
        <f t="shared" si="82"/>
        <v>#DIV/0!</v>
      </c>
      <c r="AE371" s="11" t="e">
        <f t="shared" si="83"/>
        <v>#DIV/0!</v>
      </c>
      <c r="AF371" s="11" t="e">
        <f t="shared" si="84"/>
        <v>#DIV/0!</v>
      </c>
      <c r="AG371" s="11" t="e">
        <f t="shared" si="85"/>
        <v>#DIV/0!</v>
      </c>
      <c r="AH371" s="11" t="e">
        <f t="shared" si="86"/>
        <v>#DIV/0!</v>
      </c>
      <c r="AI371" s="10"/>
      <c r="AJ371" s="11" t="e">
        <f t="shared" si="87"/>
        <v>#DIV/0!</v>
      </c>
      <c r="AK371" s="11" t="e">
        <f t="shared" si="88"/>
        <v>#DIV/0!</v>
      </c>
      <c r="AL371" s="11" t="e">
        <f t="shared" si="89"/>
        <v>#DIV/0!</v>
      </c>
    </row>
    <row r="372" spans="2:38" x14ac:dyDescent="0.2">
      <c r="B372" s="4"/>
      <c r="C372" s="4"/>
      <c r="D372" s="4"/>
      <c r="E372" s="4"/>
      <c r="F372" s="4"/>
      <c r="G372" s="4"/>
      <c r="H372" s="4"/>
      <c r="I372" s="4"/>
      <c r="J372" s="9" t="e">
        <f t="shared" si="77"/>
        <v>#DIV/0!</v>
      </c>
      <c r="K372" s="4"/>
      <c r="L372" s="4"/>
      <c r="M372" s="4"/>
      <c r="N372" s="4"/>
      <c r="O372" s="7"/>
      <c r="P372" s="7"/>
      <c r="Q372" s="4"/>
      <c r="R372" s="9" t="e">
        <f t="shared" si="78"/>
        <v>#DIV/0!</v>
      </c>
      <c r="S372" s="4" t="s">
        <v>117</v>
      </c>
      <c r="T372" s="4"/>
      <c r="U372" s="10"/>
      <c r="V372" s="10"/>
      <c r="W372" s="10"/>
      <c r="X372" s="10"/>
      <c r="Y372" s="10"/>
      <c r="Z372" s="10"/>
      <c r="AA372" s="11" t="e">
        <f t="shared" si="79"/>
        <v>#DIV/0!</v>
      </c>
      <c r="AB372" s="11">
        <f t="shared" si="80"/>
        <v>9</v>
      </c>
      <c r="AC372" s="11">
        <f t="shared" si="81"/>
        <v>8</v>
      </c>
      <c r="AD372" s="11" t="e">
        <f t="shared" si="82"/>
        <v>#DIV/0!</v>
      </c>
      <c r="AE372" s="11" t="e">
        <f t="shared" si="83"/>
        <v>#DIV/0!</v>
      </c>
      <c r="AF372" s="11" t="e">
        <f t="shared" si="84"/>
        <v>#DIV/0!</v>
      </c>
      <c r="AG372" s="11" t="e">
        <f t="shared" si="85"/>
        <v>#DIV/0!</v>
      </c>
      <c r="AH372" s="11" t="e">
        <f t="shared" si="86"/>
        <v>#DIV/0!</v>
      </c>
      <c r="AI372" s="10"/>
      <c r="AJ372" s="11" t="e">
        <f t="shared" si="87"/>
        <v>#DIV/0!</v>
      </c>
      <c r="AK372" s="11" t="e">
        <f t="shared" si="88"/>
        <v>#DIV/0!</v>
      </c>
      <c r="AL372" s="11" t="e">
        <f t="shared" si="89"/>
        <v>#DIV/0!</v>
      </c>
    </row>
    <row r="373" spans="2:38" x14ac:dyDescent="0.2">
      <c r="B373" s="4"/>
      <c r="C373" s="4"/>
      <c r="D373" s="4"/>
      <c r="E373" s="4"/>
      <c r="F373" s="4"/>
      <c r="G373" s="4"/>
      <c r="H373" s="4"/>
      <c r="I373" s="4"/>
      <c r="J373" s="9" t="e">
        <f t="shared" si="77"/>
        <v>#DIV/0!</v>
      </c>
      <c r="K373" s="4"/>
      <c r="L373" s="4"/>
      <c r="M373" s="4"/>
      <c r="N373" s="4"/>
      <c r="O373" s="7"/>
      <c r="P373" s="7"/>
      <c r="Q373" s="4"/>
      <c r="R373" s="9" t="e">
        <f t="shared" si="78"/>
        <v>#DIV/0!</v>
      </c>
      <c r="S373" s="4" t="s">
        <v>117</v>
      </c>
      <c r="T373" s="4"/>
      <c r="U373" s="10"/>
      <c r="V373" s="10"/>
      <c r="W373" s="10"/>
      <c r="X373" s="10"/>
      <c r="Y373" s="10"/>
      <c r="Z373" s="10"/>
      <c r="AA373" s="11" t="e">
        <f t="shared" si="79"/>
        <v>#DIV/0!</v>
      </c>
      <c r="AB373" s="11">
        <f t="shared" si="80"/>
        <v>9</v>
      </c>
      <c r="AC373" s="11">
        <f t="shared" si="81"/>
        <v>8</v>
      </c>
      <c r="AD373" s="11" t="e">
        <f t="shared" si="82"/>
        <v>#DIV/0!</v>
      </c>
      <c r="AE373" s="11" t="e">
        <f t="shared" si="83"/>
        <v>#DIV/0!</v>
      </c>
      <c r="AF373" s="11" t="e">
        <f t="shared" si="84"/>
        <v>#DIV/0!</v>
      </c>
      <c r="AG373" s="11" t="e">
        <f t="shared" si="85"/>
        <v>#DIV/0!</v>
      </c>
      <c r="AH373" s="11" t="e">
        <f t="shared" si="86"/>
        <v>#DIV/0!</v>
      </c>
      <c r="AI373" s="10"/>
      <c r="AJ373" s="11" t="e">
        <f t="shared" si="87"/>
        <v>#DIV/0!</v>
      </c>
      <c r="AK373" s="11" t="e">
        <f t="shared" si="88"/>
        <v>#DIV/0!</v>
      </c>
      <c r="AL373" s="11" t="e">
        <f t="shared" si="89"/>
        <v>#DIV/0!</v>
      </c>
    </row>
    <row r="374" spans="2:38" x14ac:dyDescent="0.2">
      <c r="B374" s="4"/>
      <c r="C374" s="4"/>
      <c r="D374" s="4"/>
      <c r="E374" s="4"/>
      <c r="F374" s="4"/>
      <c r="G374" s="4"/>
      <c r="H374" s="4"/>
      <c r="I374" s="4"/>
      <c r="J374" s="9" t="e">
        <f t="shared" si="77"/>
        <v>#DIV/0!</v>
      </c>
      <c r="K374" s="4"/>
      <c r="L374" s="4"/>
      <c r="M374" s="4"/>
      <c r="N374" s="4"/>
      <c r="O374" s="7"/>
      <c r="P374" s="7"/>
      <c r="Q374" s="4"/>
      <c r="R374" s="9" t="e">
        <f t="shared" si="78"/>
        <v>#DIV/0!</v>
      </c>
      <c r="S374" s="4" t="s">
        <v>117</v>
      </c>
      <c r="T374" s="4"/>
      <c r="U374" s="10"/>
      <c r="V374" s="10"/>
      <c r="W374" s="10"/>
      <c r="X374" s="10"/>
      <c r="Y374" s="10"/>
      <c r="Z374" s="10"/>
      <c r="AA374" s="11" t="e">
        <f t="shared" si="79"/>
        <v>#DIV/0!</v>
      </c>
      <c r="AB374" s="11">
        <f t="shared" si="80"/>
        <v>9</v>
      </c>
      <c r="AC374" s="11">
        <f t="shared" si="81"/>
        <v>8</v>
      </c>
      <c r="AD374" s="11" t="e">
        <f t="shared" si="82"/>
        <v>#DIV/0!</v>
      </c>
      <c r="AE374" s="11" t="e">
        <f t="shared" si="83"/>
        <v>#DIV/0!</v>
      </c>
      <c r="AF374" s="11" t="e">
        <f t="shared" si="84"/>
        <v>#DIV/0!</v>
      </c>
      <c r="AG374" s="11" t="e">
        <f t="shared" si="85"/>
        <v>#DIV/0!</v>
      </c>
      <c r="AH374" s="11" t="e">
        <f t="shared" si="86"/>
        <v>#DIV/0!</v>
      </c>
      <c r="AI374" s="10"/>
      <c r="AJ374" s="11" t="e">
        <f t="shared" si="87"/>
        <v>#DIV/0!</v>
      </c>
      <c r="AK374" s="11" t="e">
        <f t="shared" si="88"/>
        <v>#DIV/0!</v>
      </c>
      <c r="AL374" s="11" t="e">
        <f t="shared" si="89"/>
        <v>#DIV/0!</v>
      </c>
    </row>
    <row r="375" spans="2:38" x14ac:dyDescent="0.2">
      <c r="B375" s="4"/>
      <c r="C375" s="4"/>
      <c r="D375" s="4"/>
      <c r="E375" s="4"/>
      <c r="F375" s="4"/>
      <c r="G375" s="4"/>
      <c r="H375" s="4"/>
      <c r="I375" s="4"/>
      <c r="J375" s="9" t="e">
        <f t="shared" si="77"/>
        <v>#DIV/0!</v>
      </c>
      <c r="K375" s="4"/>
      <c r="L375" s="4"/>
      <c r="M375" s="4"/>
      <c r="N375" s="4"/>
      <c r="O375" s="7"/>
      <c r="P375" s="7"/>
      <c r="Q375" s="4"/>
      <c r="R375" s="9" t="e">
        <f t="shared" si="78"/>
        <v>#DIV/0!</v>
      </c>
      <c r="S375" s="4" t="s">
        <v>117</v>
      </c>
      <c r="T375" s="4"/>
      <c r="U375" s="10"/>
      <c r="V375" s="10"/>
      <c r="W375" s="10"/>
      <c r="X375" s="10"/>
      <c r="Y375" s="10"/>
      <c r="Z375" s="10"/>
      <c r="AA375" s="11" t="e">
        <f t="shared" si="79"/>
        <v>#DIV/0!</v>
      </c>
      <c r="AB375" s="11">
        <f t="shared" si="80"/>
        <v>9</v>
      </c>
      <c r="AC375" s="11">
        <f t="shared" si="81"/>
        <v>8</v>
      </c>
      <c r="AD375" s="11" t="e">
        <f t="shared" si="82"/>
        <v>#DIV/0!</v>
      </c>
      <c r="AE375" s="11" t="e">
        <f t="shared" si="83"/>
        <v>#DIV/0!</v>
      </c>
      <c r="AF375" s="11" t="e">
        <f t="shared" si="84"/>
        <v>#DIV/0!</v>
      </c>
      <c r="AG375" s="11" t="e">
        <f t="shared" si="85"/>
        <v>#DIV/0!</v>
      </c>
      <c r="AH375" s="11" t="e">
        <f t="shared" si="86"/>
        <v>#DIV/0!</v>
      </c>
      <c r="AI375" s="10"/>
      <c r="AJ375" s="11" t="e">
        <f t="shared" si="87"/>
        <v>#DIV/0!</v>
      </c>
      <c r="AK375" s="11" t="e">
        <f t="shared" si="88"/>
        <v>#DIV/0!</v>
      </c>
      <c r="AL375" s="11" t="e">
        <f t="shared" si="89"/>
        <v>#DIV/0!</v>
      </c>
    </row>
    <row r="376" spans="2:38" x14ac:dyDescent="0.2">
      <c r="B376" s="4"/>
      <c r="C376" s="4"/>
      <c r="D376" s="4"/>
      <c r="E376" s="4"/>
      <c r="F376" s="4"/>
      <c r="G376" s="4"/>
      <c r="H376" s="4"/>
      <c r="I376" s="4"/>
      <c r="J376" s="9" t="e">
        <f t="shared" si="77"/>
        <v>#DIV/0!</v>
      </c>
      <c r="K376" s="4"/>
      <c r="L376" s="4"/>
      <c r="M376" s="4"/>
      <c r="N376" s="4"/>
      <c r="O376" s="7"/>
      <c r="P376" s="7"/>
      <c r="Q376" s="4"/>
      <c r="R376" s="9" t="e">
        <f t="shared" si="78"/>
        <v>#DIV/0!</v>
      </c>
      <c r="S376" s="4" t="s">
        <v>117</v>
      </c>
      <c r="T376" s="4"/>
      <c r="U376" s="10"/>
      <c r="V376" s="10"/>
      <c r="W376" s="10"/>
      <c r="X376" s="10"/>
      <c r="Y376" s="10"/>
      <c r="Z376" s="10"/>
      <c r="AA376" s="11" t="e">
        <f t="shared" si="79"/>
        <v>#DIV/0!</v>
      </c>
      <c r="AB376" s="11">
        <f t="shared" si="80"/>
        <v>9</v>
      </c>
      <c r="AC376" s="11">
        <f t="shared" si="81"/>
        <v>8</v>
      </c>
      <c r="AD376" s="11" t="e">
        <f t="shared" si="82"/>
        <v>#DIV/0!</v>
      </c>
      <c r="AE376" s="11" t="e">
        <f t="shared" si="83"/>
        <v>#DIV/0!</v>
      </c>
      <c r="AF376" s="11" t="e">
        <f t="shared" si="84"/>
        <v>#DIV/0!</v>
      </c>
      <c r="AG376" s="11" t="e">
        <f t="shared" si="85"/>
        <v>#DIV/0!</v>
      </c>
      <c r="AH376" s="11" t="e">
        <f t="shared" si="86"/>
        <v>#DIV/0!</v>
      </c>
      <c r="AI376" s="10"/>
      <c r="AJ376" s="11" t="e">
        <f t="shared" si="87"/>
        <v>#DIV/0!</v>
      </c>
      <c r="AK376" s="11" t="e">
        <f t="shared" si="88"/>
        <v>#DIV/0!</v>
      </c>
      <c r="AL376" s="11" t="e">
        <f t="shared" si="89"/>
        <v>#DIV/0!</v>
      </c>
    </row>
    <row r="377" spans="2:38" x14ac:dyDescent="0.2">
      <c r="B377" s="4"/>
      <c r="C377" s="4"/>
      <c r="D377" s="4"/>
      <c r="E377" s="4"/>
      <c r="F377" s="4"/>
      <c r="G377" s="4"/>
      <c r="H377" s="4"/>
      <c r="I377" s="4"/>
      <c r="J377" s="9" t="e">
        <f t="shared" si="77"/>
        <v>#DIV/0!</v>
      </c>
      <c r="K377" s="4"/>
      <c r="L377" s="4"/>
      <c r="M377" s="4"/>
      <c r="N377" s="4"/>
      <c r="O377" s="7"/>
      <c r="P377" s="7"/>
      <c r="Q377" s="4"/>
      <c r="R377" s="9" t="e">
        <f t="shared" si="78"/>
        <v>#DIV/0!</v>
      </c>
      <c r="S377" s="4" t="s">
        <v>117</v>
      </c>
      <c r="T377" s="4"/>
      <c r="U377" s="10"/>
      <c r="V377" s="10"/>
      <c r="W377" s="10"/>
      <c r="X377" s="10"/>
      <c r="Y377" s="10"/>
      <c r="Z377" s="10"/>
      <c r="AA377" s="11" t="e">
        <f t="shared" si="79"/>
        <v>#DIV/0!</v>
      </c>
      <c r="AB377" s="11">
        <f t="shared" si="80"/>
        <v>9</v>
      </c>
      <c r="AC377" s="11">
        <f t="shared" si="81"/>
        <v>8</v>
      </c>
      <c r="AD377" s="11" t="e">
        <f t="shared" si="82"/>
        <v>#DIV/0!</v>
      </c>
      <c r="AE377" s="11" t="e">
        <f t="shared" si="83"/>
        <v>#DIV/0!</v>
      </c>
      <c r="AF377" s="11" t="e">
        <f t="shared" si="84"/>
        <v>#DIV/0!</v>
      </c>
      <c r="AG377" s="11" t="e">
        <f t="shared" si="85"/>
        <v>#DIV/0!</v>
      </c>
      <c r="AH377" s="11" t="e">
        <f t="shared" si="86"/>
        <v>#DIV/0!</v>
      </c>
      <c r="AI377" s="10"/>
      <c r="AJ377" s="11" t="e">
        <f t="shared" si="87"/>
        <v>#DIV/0!</v>
      </c>
      <c r="AK377" s="11" t="e">
        <f t="shared" si="88"/>
        <v>#DIV/0!</v>
      </c>
      <c r="AL377" s="11" t="e">
        <f t="shared" si="89"/>
        <v>#DIV/0!</v>
      </c>
    </row>
    <row r="378" spans="2:38" x14ac:dyDescent="0.2">
      <c r="B378" s="4"/>
      <c r="C378" s="4"/>
      <c r="D378" s="4"/>
      <c r="E378" s="4"/>
      <c r="F378" s="4"/>
      <c r="G378" s="4"/>
      <c r="H378" s="4"/>
      <c r="I378" s="4"/>
      <c r="J378" s="9" t="e">
        <f t="shared" ref="J378:J441" si="90">ROUND(I378/B378*162, 0)</f>
        <v>#DIV/0!</v>
      </c>
      <c r="K378" s="4"/>
      <c r="L378" s="4"/>
      <c r="M378" s="4"/>
      <c r="N378" s="4"/>
      <c r="O378" s="7"/>
      <c r="P378" s="7"/>
      <c r="Q378" s="4"/>
      <c r="R378" s="9" t="e">
        <f t="shared" ref="R378:R441" si="91">ROUND(Q378/B378*162, 0)</f>
        <v>#DIV/0!</v>
      </c>
      <c r="S378" s="4" t="s">
        <v>117</v>
      </c>
      <c r="T378" s="4"/>
      <c r="U378" s="10"/>
      <c r="V378" s="10"/>
      <c r="W378" s="10"/>
      <c r="X378" s="10"/>
      <c r="Y378" s="10"/>
      <c r="Z378" s="10"/>
      <c r="AA378" s="11" t="e">
        <f t="shared" ref="AA378:AA441" si="92">IF(R378=0,8,IF(R378&lt;2,9,IF(R378&lt;3,10,IF(R378&lt;4,11,IF(R378&lt;5,12,IF(R378&lt;7,13,IF(R378&lt;9,14,IF(R378&lt;11,15,IF(R378&lt;16,16,IF(R378&lt;21,17,IF(R378&lt;26,18,IF(R378&lt;31,19,IF(R378&lt;36,20,IF(R378&lt;41,21,IF(R378&lt;46,22,IF(R378&lt;51,23,24))))))))))))))))</f>
        <v>#DIV/0!</v>
      </c>
      <c r="AB378" s="11">
        <f t="shared" ref="AB378:AB441" si="93">IF(P378&lt;0.3,9,IF(P378&lt;0.34,10,IF(P378&lt;0.365,11,IF(P378&lt;0.39,12,IF(P378&lt;0.43,13,IF(P378&lt;0.475,14,IF(P378&lt;0.5,15,16)))))))</f>
        <v>9</v>
      </c>
      <c r="AC378" s="11">
        <f t="shared" ref="AC378:AC441" si="94">IF(O378&lt;0.2,8,IF(O378&lt;0.25,7,IF(O378&lt;0.3,6,IF(O378&lt;0.35,5,4))))</f>
        <v>8</v>
      </c>
      <c r="AD378" s="11" t="e">
        <f t="shared" ref="AD378:AD441" si="95">ROUND(L378/($L378+$M378+$N378)*$AC378, 0)</f>
        <v>#DIV/0!</v>
      </c>
      <c r="AE378" s="11" t="e">
        <f t="shared" ref="AE378:AE441" si="96">ROUND(M378/($L378+$M378+$N378)*$AC378, 0)</f>
        <v>#DIV/0!</v>
      </c>
      <c r="AF378" s="11" t="e">
        <f t="shared" ref="AF378:AF441" si="97">ROUND(N378/($L378+$M378+$N378)*$AC378, 0)</f>
        <v>#DIV/0!</v>
      </c>
      <c r="AG378" s="11" t="e">
        <f t="shared" ref="AG378:AG441" si="98">ROUND(K378/($K378+E378)*(AL378-AC378-1), 0)</f>
        <v>#DIV/0!</v>
      </c>
      <c r="AH378" s="11" t="e">
        <f t="shared" ref="AH378:AH441" si="99">ROUND(F378/($K378+$E378)*($AL378-$AC378-1), 0)</f>
        <v>#DIV/0!</v>
      </c>
      <c r="AI378" s="10"/>
      <c r="AJ378" s="11" t="e">
        <f t="shared" ref="AJ378:AJ441" si="100">ROUND(G378/($K378+$E378)*($AL378-$AC378-1), 0)</f>
        <v>#DIV/0!</v>
      </c>
      <c r="AK378" s="11" t="e">
        <f t="shared" ref="AK378:AK441" si="101">ROUND(H378/($K378+$E378)*($AL378-$AC378-1), 0)</f>
        <v>#DIV/0!</v>
      </c>
      <c r="AL378" s="11" t="e">
        <f t="shared" ref="AL378:AL441" si="102">IF(J378&lt;3,22,IF(J378&lt;10,21,IF(J378&lt;20,20,IF(J378&lt;30,19,IF(J378&lt;50,18,17)))))</f>
        <v>#DIV/0!</v>
      </c>
    </row>
    <row r="379" spans="2:38" x14ac:dyDescent="0.2">
      <c r="B379" s="4"/>
      <c r="C379" s="4"/>
      <c r="D379" s="4"/>
      <c r="E379" s="4"/>
      <c r="F379" s="4"/>
      <c r="G379" s="4"/>
      <c r="H379" s="4"/>
      <c r="I379" s="4"/>
      <c r="J379" s="9" t="e">
        <f t="shared" si="90"/>
        <v>#DIV/0!</v>
      </c>
      <c r="K379" s="4"/>
      <c r="L379" s="4"/>
      <c r="M379" s="4"/>
      <c r="N379" s="4"/>
      <c r="O379" s="7"/>
      <c r="P379" s="7"/>
      <c r="Q379" s="4"/>
      <c r="R379" s="9" t="e">
        <f t="shared" si="91"/>
        <v>#DIV/0!</v>
      </c>
      <c r="S379" s="4" t="s">
        <v>117</v>
      </c>
      <c r="T379" s="4"/>
      <c r="U379" s="10"/>
      <c r="V379" s="10"/>
      <c r="W379" s="10"/>
      <c r="X379" s="10"/>
      <c r="Y379" s="10"/>
      <c r="Z379" s="10"/>
      <c r="AA379" s="11" t="e">
        <f t="shared" si="92"/>
        <v>#DIV/0!</v>
      </c>
      <c r="AB379" s="11">
        <f t="shared" si="93"/>
        <v>9</v>
      </c>
      <c r="AC379" s="11">
        <f t="shared" si="94"/>
        <v>8</v>
      </c>
      <c r="AD379" s="11" t="e">
        <f t="shared" si="95"/>
        <v>#DIV/0!</v>
      </c>
      <c r="AE379" s="11" t="e">
        <f t="shared" si="96"/>
        <v>#DIV/0!</v>
      </c>
      <c r="AF379" s="11" t="e">
        <f t="shared" si="97"/>
        <v>#DIV/0!</v>
      </c>
      <c r="AG379" s="11" t="e">
        <f t="shared" si="98"/>
        <v>#DIV/0!</v>
      </c>
      <c r="AH379" s="11" t="e">
        <f t="shared" si="99"/>
        <v>#DIV/0!</v>
      </c>
      <c r="AI379" s="10"/>
      <c r="AJ379" s="11" t="e">
        <f t="shared" si="100"/>
        <v>#DIV/0!</v>
      </c>
      <c r="AK379" s="11" t="e">
        <f t="shared" si="101"/>
        <v>#DIV/0!</v>
      </c>
      <c r="AL379" s="11" t="e">
        <f t="shared" si="102"/>
        <v>#DIV/0!</v>
      </c>
    </row>
    <row r="380" spans="2:38" x14ac:dyDescent="0.2">
      <c r="B380" s="4"/>
      <c r="C380" s="4"/>
      <c r="D380" s="4"/>
      <c r="E380" s="4"/>
      <c r="F380" s="4"/>
      <c r="G380" s="4"/>
      <c r="H380" s="4"/>
      <c r="I380" s="4"/>
      <c r="J380" s="9" t="e">
        <f t="shared" si="90"/>
        <v>#DIV/0!</v>
      </c>
      <c r="K380" s="4"/>
      <c r="L380" s="4"/>
      <c r="M380" s="4"/>
      <c r="N380" s="4"/>
      <c r="O380" s="7"/>
      <c r="P380" s="7"/>
      <c r="Q380" s="4"/>
      <c r="R380" s="9" t="e">
        <f t="shared" si="91"/>
        <v>#DIV/0!</v>
      </c>
      <c r="S380" s="4" t="s">
        <v>117</v>
      </c>
      <c r="T380" s="4"/>
      <c r="U380" s="10"/>
      <c r="V380" s="10"/>
      <c r="W380" s="10"/>
      <c r="X380" s="10"/>
      <c r="Y380" s="10"/>
      <c r="Z380" s="10"/>
      <c r="AA380" s="11" t="e">
        <f t="shared" si="92"/>
        <v>#DIV/0!</v>
      </c>
      <c r="AB380" s="11">
        <f t="shared" si="93"/>
        <v>9</v>
      </c>
      <c r="AC380" s="11">
        <f t="shared" si="94"/>
        <v>8</v>
      </c>
      <c r="AD380" s="11" t="e">
        <f t="shared" si="95"/>
        <v>#DIV/0!</v>
      </c>
      <c r="AE380" s="11" t="e">
        <f t="shared" si="96"/>
        <v>#DIV/0!</v>
      </c>
      <c r="AF380" s="11" t="e">
        <f t="shared" si="97"/>
        <v>#DIV/0!</v>
      </c>
      <c r="AG380" s="11" t="e">
        <f t="shared" si="98"/>
        <v>#DIV/0!</v>
      </c>
      <c r="AH380" s="11" t="e">
        <f t="shared" si="99"/>
        <v>#DIV/0!</v>
      </c>
      <c r="AI380" s="10"/>
      <c r="AJ380" s="11" t="e">
        <f t="shared" si="100"/>
        <v>#DIV/0!</v>
      </c>
      <c r="AK380" s="11" t="e">
        <f t="shared" si="101"/>
        <v>#DIV/0!</v>
      </c>
      <c r="AL380" s="11" t="e">
        <f t="shared" si="102"/>
        <v>#DIV/0!</v>
      </c>
    </row>
    <row r="381" spans="2:38" x14ac:dyDescent="0.2">
      <c r="B381" s="4"/>
      <c r="C381" s="4"/>
      <c r="D381" s="4"/>
      <c r="E381" s="4"/>
      <c r="F381" s="4"/>
      <c r="G381" s="4"/>
      <c r="H381" s="4"/>
      <c r="I381" s="4"/>
      <c r="J381" s="9" t="e">
        <f t="shared" si="90"/>
        <v>#DIV/0!</v>
      </c>
      <c r="K381" s="4"/>
      <c r="L381" s="4"/>
      <c r="M381" s="4"/>
      <c r="N381" s="4"/>
      <c r="O381" s="7"/>
      <c r="P381" s="7"/>
      <c r="Q381" s="4"/>
      <c r="R381" s="9" t="e">
        <f t="shared" si="91"/>
        <v>#DIV/0!</v>
      </c>
      <c r="S381" s="4" t="s">
        <v>117</v>
      </c>
      <c r="T381" s="4"/>
      <c r="U381" s="10"/>
      <c r="V381" s="10"/>
      <c r="W381" s="10"/>
      <c r="X381" s="10"/>
      <c r="Y381" s="10"/>
      <c r="Z381" s="10"/>
      <c r="AA381" s="11" t="e">
        <f t="shared" si="92"/>
        <v>#DIV/0!</v>
      </c>
      <c r="AB381" s="11">
        <f t="shared" si="93"/>
        <v>9</v>
      </c>
      <c r="AC381" s="11">
        <f t="shared" si="94"/>
        <v>8</v>
      </c>
      <c r="AD381" s="11" t="e">
        <f t="shared" si="95"/>
        <v>#DIV/0!</v>
      </c>
      <c r="AE381" s="11" t="e">
        <f t="shared" si="96"/>
        <v>#DIV/0!</v>
      </c>
      <c r="AF381" s="11" t="e">
        <f t="shared" si="97"/>
        <v>#DIV/0!</v>
      </c>
      <c r="AG381" s="11" t="e">
        <f t="shared" si="98"/>
        <v>#DIV/0!</v>
      </c>
      <c r="AH381" s="11" t="e">
        <f t="shared" si="99"/>
        <v>#DIV/0!</v>
      </c>
      <c r="AI381" s="10"/>
      <c r="AJ381" s="11" t="e">
        <f t="shared" si="100"/>
        <v>#DIV/0!</v>
      </c>
      <c r="AK381" s="11" t="e">
        <f t="shared" si="101"/>
        <v>#DIV/0!</v>
      </c>
      <c r="AL381" s="11" t="e">
        <f t="shared" si="102"/>
        <v>#DIV/0!</v>
      </c>
    </row>
    <row r="382" spans="2:38" x14ac:dyDescent="0.2">
      <c r="B382" s="4"/>
      <c r="C382" s="4"/>
      <c r="D382" s="4"/>
      <c r="E382" s="4"/>
      <c r="F382" s="4"/>
      <c r="G382" s="4"/>
      <c r="H382" s="4"/>
      <c r="I382" s="4"/>
      <c r="J382" s="9" t="e">
        <f t="shared" si="90"/>
        <v>#DIV/0!</v>
      </c>
      <c r="K382" s="4"/>
      <c r="L382" s="4"/>
      <c r="M382" s="4"/>
      <c r="N382" s="4"/>
      <c r="O382" s="7"/>
      <c r="P382" s="7"/>
      <c r="Q382" s="4"/>
      <c r="R382" s="9" t="e">
        <f t="shared" si="91"/>
        <v>#DIV/0!</v>
      </c>
      <c r="S382" s="4" t="s">
        <v>117</v>
      </c>
      <c r="T382" s="4"/>
      <c r="U382" s="10"/>
      <c r="V382" s="10"/>
      <c r="W382" s="10"/>
      <c r="X382" s="10"/>
      <c r="Y382" s="10"/>
      <c r="Z382" s="10"/>
      <c r="AA382" s="11" t="e">
        <f t="shared" si="92"/>
        <v>#DIV/0!</v>
      </c>
      <c r="AB382" s="11">
        <f t="shared" si="93"/>
        <v>9</v>
      </c>
      <c r="AC382" s="11">
        <f t="shared" si="94"/>
        <v>8</v>
      </c>
      <c r="AD382" s="11" t="e">
        <f t="shared" si="95"/>
        <v>#DIV/0!</v>
      </c>
      <c r="AE382" s="11" t="e">
        <f t="shared" si="96"/>
        <v>#DIV/0!</v>
      </c>
      <c r="AF382" s="11" t="e">
        <f t="shared" si="97"/>
        <v>#DIV/0!</v>
      </c>
      <c r="AG382" s="11" t="e">
        <f t="shared" si="98"/>
        <v>#DIV/0!</v>
      </c>
      <c r="AH382" s="11" t="e">
        <f t="shared" si="99"/>
        <v>#DIV/0!</v>
      </c>
      <c r="AI382" s="10"/>
      <c r="AJ382" s="11" t="e">
        <f t="shared" si="100"/>
        <v>#DIV/0!</v>
      </c>
      <c r="AK382" s="11" t="e">
        <f t="shared" si="101"/>
        <v>#DIV/0!</v>
      </c>
      <c r="AL382" s="11" t="e">
        <f t="shared" si="102"/>
        <v>#DIV/0!</v>
      </c>
    </row>
    <row r="383" spans="2:38" x14ac:dyDescent="0.2">
      <c r="B383" s="4"/>
      <c r="C383" s="4"/>
      <c r="D383" s="4"/>
      <c r="E383" s="4"/>
      <c r="F383" s="4"/>
      <c r="G383" s="4"/>
      <c r="H383" s="4"/>
      <c r="I383" s="4"/>
      <c r="J383" s="9" t="e">
        <f t="shared" si="90"/>
        <v>#DIV/0!</v>
      </c>
      <c r="K383" s="4"/>
      <c r="L383" s="4"/>
      <c r="M383" s="4"/>
      <c r="N383" s="4"/>
      <c r="O383" s="7"/>
      <c r="P383" s="7"/>
      <c r="Q383" s="4"/>
      <c r="R383" s="9" t="e">
        <f t="shared" si="91"/>
        <v>#DIV/0!</v>
      </c>
      <c r="S383" s="4" t="s">
        <v>117</v>
      </c>
      <c r="T383" s="4"/>
      <c r="U383" s="10"/>
      <c r="V383" s="10"/>
      <c r="W383" s="10"/>
      <c r="X383" s="10"/>
      <c r="Y383" s="10"/>
      <c r="Z383" s="10"/>
      <c r="AA383" s="11" t="e">
        <f t="shared" si="92"/>
        <v>#DIV/0!</v>
      </c>
      <c r="AB383" s="11">
        <f t="shared" si="93"/>
        <v>9</v>
      </c>
      <c r="AC383" s="11">
        <f t="shared" si="94"/>
        <v>8</v>
      </c>
      <c r="AD383" s="11" t="e">
        <f t="shared" si="95"/>
        <v>#DIV/0!</v>
      </c>
      <c r="AE383" s="11" t="e">
        <f t="shared" si="96"/>
        <v>#DIV/0!</v>
      </c>
      <c r="AF383" s="11" t="e">
        <f t="shared" si="97"/>
        <v>#DIV/0!</v>
      </c>
      <c r="AG383" s="11" t="e">
        <f t="shared" si="98"/>
        <v>#DIV/0!</v>
      </c>
      <c r="AH383" s="11" t="e">
        <f t="shared" si="99"/>
        <v>#DIV/0!</v>
      </c>
      <c r="AI383" s="10"/>
      <c r="AJ383" s="11" t="e">
        <f t="shared" si="100"/>
        <v>#DIV/0!</v>
      </c>
      <c r="AK383" s="11" t="e">
        <f t="shared" si="101"/>
        <v>#DIV/0!</v>
      </c>
      <c r="AL383" s="11" t="e">
        <f t="shared" si="102"/>
        <v>#DIV/0!</v>
      </c>
    </row>
    <row r="384" spans="2:38" x14ac:dyDescent="0.2">
      <c r="B384" s="4"/>
      <c r="C384" s="4"/>
      <c r="D384" s="4"/>
      <c r="E384" s="4"/>
      <c r="F384" s="4"/>
      <c r="G384" s="4"/>
      <c r="H384" s="4"/>
      <c r="I384" s="4"/>
      <c r="J384" s="9" t="e">
        <f t="shared" si="90"/>
        <v>#DIV/0!</v>
      </c>
      <c r="K384" s="4"/>
      <c r="L384" s="4"/>
      <c r="M384" s="4"/>
      <c r="N384" s="4"/>
      <c r="O384" s="7"/>
      <c r="P384" s="7"/>
      <c r="Q384" s="4"/>
      <c r="R384" s="9" t="e">
        <f t="shared" si="91"/>
        <v>#DIV/0!</v>
      </c>
      <c r="S384" s="4" t="s">
        <v>129</v>
      </c>
      <c r="T384" s="4"/>
      <c r="U384" s="10"/>
      <c r="V384" s="10"/>
      <c r="W384" s="10"/>
      <c r="X384" s="10"/>
      <c r="Y384" s="10"/>
      <c r="Z384" s="10"/>
      <c r="AA384" s="11" t="e">
        <f t="shared" si="92"/>
        <v>#DIV/0!</v>
      </c>
      <c r="AB384" s="11">
        <f t="shared" si="93"/>
        <v>9</v>
      </c>
      <c r="AC384" s="11">
        <f t="shared" si="94"/>
        <v>8</v>
      </c>
      <c r="AD384" s="11" t="e">
        <f t="shared" si="95"/>
        <v>#DIV/0!</v>
      </c>
      <c r="AE384" s="11" t="e">
        <f t="shared" si="96"/>
        <v>#DIV/0!</v>
      </c>
      <c r="AF384" s="11" t="e">
        <f t="shared" si="97"/>
        <v>#DIV/0!</v>
      </c>
      <c r="AG384" s="11" t="e">
        <f t="shared" si="98"/>
        <v>#DIV/0!</v>
      </c>
      <c r="AH384" s="11" t="e">
        <f t="shared" si="99"/>
        <v>#DIV/0!</v>
      </c>
      <c r="AI384" s="10"/>
      <c r="AJ384" s="11" t="e">
        <f t="shared" si="100"/>
        <v>#DIV/0!</v>
      </c>
      <c r="AK384" s="11" t="e">
        <f t="shared" si="101"/>
        <v>#DIV/0!</v>
      </c>
      <c r="AL384" s="11" t="e">
        <f t="shared" si="102"/>
        <v>#DIV/0!</v>
      </c>
    </row>
    <row r="385" spans="2:38" x14ac:dyDescent="0.2">
      <c r="B385" s="4"/>
      <c r="C385" s="4"/>
      <c r="D385" s="4"/>
      <c r="E385" s="4"/>
      <c r="F385" s="4"/>
      <c r="G385" s="4"/>
      <c r="H385" s="4"/>
      <c r="I385" s="4"/>
      <c r="J385" s="9" t="e">
        <f t="shared" si="90"/>
        <v>#DIV/0!</v>
      </c>
      <c r="K385" s="4"/>
      <c r="L385" s="4"/>
      <c r="M385" s="4"/>
      <c r="N385" s="4"/>
      <c r="O385" s="7"/>
      <c r="P385" s="7"/>
      <c r="Q385" s="4"/>
      <c r="R385" s="9" t="e">
        <f t="shared" si="91"/>
        <v>#DIV/0!</v>
      </c>
      <c r="S385" s="4" t="s">
        <v>129</v>
      </c>
      <c r="T385" s="4"/>
      <c r="U385" s="10"/>
      <c r="V385" s="10"/>
      <c r="W385" s="10"/>
      <c r="X385" s="10"/>
      <c r="Y385" s="10"/>
      <c r="Z385" s="10"/>
      <c r="AA385" s="11" t="e">
        <f t="shared" si="92"/>
        <v>#DIV/0!</v>
      </c>
      <c r="AB385" s="11">
        <f t="shared" si="93"/>
        <v>9</v>
      </c>
      <c r="AC385" s="11">
        <f t="shared" si="94"/>
        <v>8</v>
      </c>
      <c r="AD385" s="11" t="e">
        <f t="shared" si="95"/>
        <v>#DIV/0!</v>
      </c>
      <c r="AE385" s="11" t="e">
        <f t="shared" si="96"/>
        <v>#DIV/0!</v>
      </c>
      <c r="AF385" s="11" t="e">
        <f t="shared" si="97"/>
        <v>#DIV/0!</v>
      </c>
      <c r="AG385" s="11" t="e">
        <f t="shared" si="98"/>
        <v>#DIV/0!</v>
      </c>
      <c r="AH385" s="11" t="e">
        <f t="shared" si="99"/>
        <v>#DIV/0!</v>
      </c>
      <c r="AI385" s="10"/>
      <c r="AJ385" s="11" t="e">
        <f t="shared" si="100"/>
        <v>#DIV/0!</v>
      </c>
      <c r="AK385" s="11" t="e">
        <f t="shared" si="101"/>
        <v>#DIV/0!</v>
      </c>
      <c r="AL385" s="11" t="e">
        <f t="shared" si="102"/>
        <v>#DIV/0!</v>
      </c>
    </row>
    <row r="386" spans="2:38" x14ac:dyDescent="0.2">
      <c r="B386" s="4"/>
      <c r="C386" s="4"/>
      <c r="D386" s="4"/>
      <c r="E386" s="4"/>
      <c r="F386" s="4"/>
      <c r="G386" s="4"/>
      <c r="H386" s="4"/>
      <c r="I386" s="4"/>
      <c r="J386" s="9" t="e">
        <f t="shared" si="90"/>
        <v>#DIV/0!</v>
      </c>
      <c r="K386" s="4"/>
      <c r="L386" s="4"/>
      <c r="M386" s="4"/>
      <c r="N386" s="4"/>
      <c r="O386" s="7"/>
      <c r="P386" s="7"/>
      <c r="Q386" s="4"/>
      <c r="R386" s="9" t="e">
        <f t="shared" si="91"/>
        <v>#DIV/0!</v>
      </c>
      <c r="S386" s="4" t="s">
        <v>129</v>
      </c>
      <c r="T386" s="4"/>
      <c r="U386" s="10"/>
      <c r="V386" s="10"/>
      <c r="W386" s="10"/>
      <c r="X386" s="10"/>
      <c r="Y386" s="10"/>
      <c r="Z386" s="10"/>
      <c r="AA386" s="11" t="e">
        <f t="shared" si="92"/>
        <v>#DIV/0!</v>
      </c>
      <c r="AB386" s="11">
        <f t="shared" si="93"/>
        <v>9</v>
      </c>
      <c r="AC386" s="11">
        <f t="shared" si="94"/>
        <v>8</v>
      </c>
      <c r="AD386" s="11" t="e">
        <f t="shared" si="95"/>
        <v>#DIV/0!</v>
      </c>
      <c r="AE386" s="11" t="e">
        <f t="shared" si="96"/>
        <v>#DIV/0!</v>
      </c>
      <c r="AF386" s="11" t="e">
        <f t="shared" si="97"/>
        <v>#DIV/0!</v>
      </c>
      <c r="AG386" s="11" t="e">
        <f t="shared" si="98"/>
        <v>#DIV/0!</v>
      </c>
      <c r="AH386" s="11" t="e">
        <f t="shared" si="99"/>
        <v>#DIV/0!</v>
      </c>
      <c r="AI386" s="10"/>
      <c r="AJ386" s="11" t="e">
        <f t="shared" si="100"/>
        <v>#DIV/0!</v>
      </c>
      <c r="AK386" s="11" t="e">
        <f t="shared" si="101"/>
        <v>#DIV/0!</v>
      </c>
      <c r="AL386" s="11" t="e">
        <f t="shared" si="102"/>
        <v>#DIV/0!</v>
      </c>
    </row>
    <row r="387" spans="2:38" x14ac:dyDescent="0.2">
      <c r="B387" s="4"/>
      <c r="C387" s="4"/>
      <c r="D387" s="4"/>
      <c r="E387" s="4"/>
      <c r="F387" s="4"/>
      <c r="G387" s="4"/>
      <c r="H387" s="4"/>
      <c r="I387" s="4"/>
      <c r="J387" s="9" t="e">
        <f t="shared" si="90"/>
        <v>#DIV/0!</v>
      </c>
      <c r="K387" s="4"/>
      <c r="L387" s="4"/>
      <c r="M387" s="4"/>
      <c r="N387" s="4"/>
      <c r="O387" s="7"/>
      <c r="P387" s="7"/>
      <c r="Q387" s="4"/>
      <c r="R387" s="9" t="e">
        <f t="shared" si="91"/>
        <v>#DIV/0!</v>
      </c>
      <c r="S387" s="4" t="s">
        <v>129</v>
      </c>
      <c r="T387" s="4"/>
      <c r="U387" s="10"/>
      <c r="V387" s="10"/>
      <c r="W387" s="10"/>
      <c r="X387" s="10"/>
      <c r="Y387" s="10"/>
      <c r="Z387" s="10"/>
      <c r="AA387" s="11" t="e">
        <f t="shared" si="92"/>
        <v>#DIV/0!</v>
      </c>
      <c r="AB387" s="11">
        <f t="shared" si="93"/>
        <v>9</v>
      </c>
      <c r="AC387" s="11">
        <f t="shared" si="94"/>
        <v>8</v>
      </c>
      <c r="AD387" s="11" t="e">
        <f t="shared" si="95"/>
        <v>#DIV/0!</v>
      </c>
      <c r="AE387" s="11" t="e">
        <f t="shared" si="96"/>
        <v>#DIV/0!</v>
      </c>
      <c r="AF387" s="11" t="e">
        <f t="shared" si="97"/>
        <v>#DIV/0!</v>
      </c>
      <c r="AG387" s="11" t="e">
        <f t="shared" si="98"/>
        <v>#DIV/0!</v>
      </c>
      <c r="AH387" s="11" t="e">
        <f t="shared" si="99"/>
        <v>#DIV/0!</v>
      </c>
      <c r="AI387" s="10"/>
      <c r="AJ387" s="11" t="e">
        <f t="shared" si="100"/>
        <v>#DIV/0!</v>
      </c>
      <c r="AK387" s="11" t="e">
        <f t="shared" si="101"/>
        <v>#DIV/0!</v>
      </c>
      <c r="AL387" s="11" t="e">
        <f t="shared" si="102"/>
        <v>#DIV/0!</v>
      </c>
    </row>
    <row r="388" spans="2:38" x14ac:dyDescent="0.2">
      <c r="B388" s="4"/>
      <c r="C388" s="4"/>
      <c r="D388" s="4"/>
      <c r="E388" s="4"/>
      <c r="F388" s="4"/>
      <c r="G388" s="4"/>
      <c r="H388" s="4"/>
      <c r="I388" s="4"/>
      <c r="J388" s="9" t="e">
        <f t="shared" si="90"/>
        <v>#DIV/0!</v>
      </c>
      <c r="K388" s="4"/>
      <c r="L388" s="4"/>
      <c r="M388" s="4"/>
      <c r="N388" s="4"/>
      <c r="O388" s="7"/>
      <c r="P388" s="7"/>
      <c r="Q388" s="4"/>
      <c r="R388" s="9" t="e">
        <f t="shared" si="91"/>
        <v>#DIV/0!</v>
      </c>
      <c r="S388" s="4" t="s">
        <v>129</v>
      </c>
      <c r="T388" s="4"/>
      <c r="U388" s="10"/>
      <c r="V388" s="10"/>
      <c r="W388" s="10"/>
      <c r="X388" s="10"/>
      <c r="Y388" s="10"/>
      <c r="Z388" s="10"/>
      <c r="AA388" s="11" t="e">
        <f t="shared" si="92"/>
        <v>#DIV/0!</v>
      </c>
      <c r="AB388" s="11">
        <f t="shared" si="93"/>
        <v>9</v>
      </c>
      <c r="AC388" s="11">
        <f t="shared" si="94"/>
        <v>8</v>
      </c>
      <c r="AD388" s="11" t="e">
        <f t="shared" si="95"/>
        <v>#DIV/0!</v>
      </c>
      <c r="AE388" s="11" t="e">
        <f t="shared" si="96"/>
        <v>#DIV/0!</v>
      </c>
      <c r="AF388" s="11" t="e">
        <f t="shared" si="97"/>
        <v>#DIV/0!</v>
      </c>
      <c r="AG388" s="11" t="e">
        <f t="shared" si="98"/>
        <v>#DIV/0!</v>
      </c>
      <c r="AH388" s="11" t="e">
        <f t="shared" si="99"/>
        <v>#DIV/0!</v>
      </c>
      <c r="AI388" s="10"/>
      <c r="AJ388" s="11" t="e">
        <f t="shared" si="100"/>
        <v>#DIV/0!</v>
      </c>
      <c r="AK388" s="11" t="e">
        <f t="shared" si="101"/>
        <v>#DIV/0!</v>
      </c>
      <c r="AL388" s="11" t="e">
        <f t="shared" si="102"/>
        <v>#DIV/0!</v>
      </c>
    </row>
    <row r="389" spans="2:38" x14ac:dyDescent="0.2">
      <c r="B389" s="4"/>
      <c r="C389" s="4"/>
      <c r="D389" s="4"/>
      <c r="E389" s="4"/>
      <c r="F389" s="4"/>
      <c r="G389" s="4"/>
      <c r="H389" s="4"/>
      <c r="I389" s="4"/>
      <c r="J389" s="9" t="e">
        <f t="shared" si="90"/>
        <v>#DIV/0!</v>
      </c>
      <c r="K389" s="4"/>
      <c r="L389" s="4"/>
      <c r="M389" s="4"/>
      <c r="N389" s="4"/>
      <c r="O389" s="7"/>
      <c r="P389" s="7"/>
      <c r="Q389" s="4"/>
      <c r="R389" s="9" t="e">
        <f t="shared" si="91"/>
        <v>#DIV/0!</v>
      </c>
      <c r="S389" s="4" t="s">
        <v>129</v>
      </c>
      <c r="T389" s="4"/>
      <c r="U389" s="10"/>
      <c r="V389" s="10"/>
      <c r="W389" s="10"/>
      <c r="X389" s="10"/>
      <c r="Y389" s="10"/>
      <c r="Z389" s="10"/>
      <c r="AA389" s="11" t="e">
        <f t="shared" si="92"/>
        <v>#DIV/0!</v>
      </c>
      <c r="AB389" s="11">
        <f t="shared" si="93"/>
        <v>9</v>
      </c>
      <c r="AC389" s="11">
        <f t="shared" si="94"/>
        <v>8</v>
      </c>
      <c r="AD389" s="11" t="e">
        <f t="shared" si="95"/>
        <v>#DIV/0!</v>
      </c>
      <c r="AE389" s="11" t="e">
        <f t="shared" si="96"/>
        <v>#DIV/0!</v>
      </c>
      <c r="AF389" s="11" t="e">
        <f t="shared" si="97"/>
        <v>#DIV/0!</v>
      </c>
      <c r="AG389" s="11" t="e">
        <f t="shared" si="98"/>
        <v>#DIV/0!</v>
      </c>
      <c r="AH389" s="11" t="e">
        <f t="shared" si="99"/>
        <v>#DIV/0!</v>
      </c>
      <c r="AI389" s="10"/>
      <c r="AJ389" s="11" t="e">
        <f t="shared" si="100"/>
        <v>#DIV/0!</v>
      </c>
      <c r="AK389" s="11" t="e">
        <f t="shared" si="101"/>
        <v>#DIV/0!</v>
      </c>
      <c r="AL389" s="11" t="e">
        <f t="shared" si="102"/>
        <v>#DIV/0!</v>
      </c>
    </row>
    <row r="390" spans="2:38" x14ac:dyDescent="0.2">
      <c r="B390" s="4"/>
      <c r="C390" s="4"/>
      <c r="D390" s="4"/>
      <c r="E390" s="4"/>
      <c r="F390" s="4"/>
      <c r="G390" s="4"/>
      <c r="H390" s="4"/>
      <c r="I390" s="4"/>
      <c r="J390" s="9" t="e">
        <f t="shared" si="90"/>
        <v>#DIV/0!</v>
      </c>
      <c r="K390" s="4"/>
      <c r="L390" s="4"/>
      <c r="M390" s="4"/>
      <c r="N390" s="4"/>
      <c r="O390" s="7"/>
      <c r="P390" s="7"/>
      <c r="Q390" s="4"/>
      <c r="R390" s="9" t="e">
        <f t="shared" si="91"/>
        <v>#DIV/0!</v>
      </c>
      <c r="S390" s="4" t="s">
        <v>129</v>
      </c>
      <c r="T390" s="4"/>
      <c r="U390" s="10"/>
      <c r="V390" s="10"/>
      <c r="W390" s="10"/>
      <c r="X390" s="10"/>
      <c r="Y390" s="10"/>
      <c r="Z390" s="10"/>
      <c r="AA390" s="11" t="e">
        <f t="shared" si="92"/>
        <v>#DIV/0!</v>
      </c>
      <c r="AB390" s="11">
        <f t="shared" si="93"/>
        <v>9</v>
      </c>
      <c r="AC390" s="11">
        <f t="shared" si="94"/>
        <v>8</v>
      </c>
      <c r="AD390" s="11" t="e">
        <f t="shared" si="95"/>
        <v>#DIV/0!</v>
      </c>
      <c r="AE390" s="11" t="e">
        <f t="shared" si="96"/>
        <v>#DIV/0!</v>
      </c>
      <c r="AF390" s="11" t="e">
        <f t="shared" si="97"/>
        <v>#DIV/0!</v>
      </c>
      <c r="AG390" s="11" t="e">
        <f t="shared" si="98"/>
        <v>#DIV/0!</v>
      </c>
      <c r="AH390" s="11" t="e">
        <f t="shared" si="99"/>
        <v>#DIV/0!</v>
      </c>
      <c r="AI390" s="10"/>
      <c r="AJ390" s="11" t="e">
        <f t="shared" si="100"/>
        <v>#DIV/0!</v>
      </c>
      <c r="AK390" s="11" t="e">
        <f t="shared" si="101"/>
        <v>#DIV/0!</v>
      </c>
      <c r="AL390" s="11" t="e">
        <f t="shared" si="102"/>
        <v>#DIV/0!</v>
      </c>
    </row>
    <row r="391" spans="2:38" x14ac:dyDescent="0.2">
      <c r="B391" s="4"/>
      <c r="C391" s="4"/>
      <c r="D391" s="4"/>
      <c r="E391" s="4"/>
      <c r="F391" s="4"/>
      <c r="G391" s="4"/>
      <c r="H391" s="4"/>
      <c r="I391" s="4"/>
      <c r="J391" s="9" t="e">
        <f t="shared" si="90"/>
        <v>#DIV/0!</v>
      </c>
      <c r="K391" s="4"/>
      <c r="L391" s="4"/>
      <c r="M391" s="4"/>
      <c r="N391" s="4"/>
      <c r="O391" s="7"/>
      <c r="P391" s="7"/>
      <c r="Q391" s="4"/>
      <c r="R391" s="9" t="e">
        <f t="shared" si="91"/>
        <v>#DIV/0!</v>
      </c>
      <c r="S391" s="4" t="s">
        <v>129</v>
      </c>
      <c r="T391" s="4"/>
      <c r="U391" s="10"/>
      <c r="V391" s="10"/>
      <c r="W391" s="10"/>
      <c r="X391" s="10"/>
      <c r="Y391" s="10"/>
      <c r="Z391" s="10"/>
      <c r="AA391" s="11" t="e">
        <f t="shared" si="92"/>
        <v>#DIV/0!</v>
      </c>
      <c r="AB391" s="11">
        <f t="shared" si="93"/>
        <v>9</v>
      </c>
      <c r="AC391" s="11">
        <f t="shared" si="94"/>
        <v>8</v>
      </c>
      <c r="AD391" s="11" t="e">
        <f t="shared" si="95"/>
        <v>#DIV/0!</v>
      </c>
      <c r="AE391" s="11" t="e">
        <f t="shared" si="96"/>
        <v>#DIV/0!</v>
      </c>
      <c r="AF391" s="11" t="e">
        <f t="shared" si="97"/>
        <v>#DIV/0!</v>
      </c>
      <c r="AG391" s="11" t="e">
        <f t="shared" si="98"/>
        <v>#DIV/0!</v>
      </c>
      <c r="AH391" s="11" t="e">
        <f t="shared" si="99"/>
        <v>#DIV/0!</v>
      </c>
      <c r="AI391" s="10"/>
      <c r="AJ391" s="11" t="e">
        <f t="shared" si="100"/>
        <v>#DIV/0!</v>
      </c>
      <c r="AK391" s="11" t="e">
        <f t="shared" si="101"/>
        <v>#DIV/0!</v>
      </c>
      <c r="AL391" s="11" t="e">
        <f t="shared" si="102"/>
        <v>#DIV/0!</v>
      </c>
    </row>
    <row r="392" spans="2:38" x14ac:dyDescent="0.2">
      <c r="B392" s="4"/>
      <c r="C392" s="4"/>
      <c r="D392" s="4"/>
      <c r="E392" s="4"/>
      <c r="F392" s="4"/>
      <c r="G392" s="4"/>
      <c r="H392" s="4"/>
      <c r="I392" s="4"/>
      <c r="J392" s="9" t="e">
        <f t="shared" si="90"/>
        <v>#DIV/0!</v>
      </c>
      <c r="K392" s="4"/>
      <c r="L392" s="4"/>
      <c r="M392" s="4"/>
      <c r="N392" s="4"/>
      <c r="O392" s="7"/>
      <c r="P392" s="7"/>
      <c r="Q392" s="4"/>
      <c r="R392" s="9" t="e">
        <f t="shared" si="91"/>
        <v>#DIV/0!</v>
      </c>
      <c r="S392" s="4" t="s">
        <v>129</v>
      </c>
      <c r="T392" s="4"/>
      <c r="U392" s="10"/>
      <c r="V392" s="10"/>
      <c r="W392" s="10"/>
      <c r="X392" s="10"/>
      <c r="Y392" s="10"/>
      <c r="Z392" s="10"/>
      <c r="AA392" s="11" t="e">
        <f t="shared" si="92"/>
        <v>#DIV/0!</v>
      </c>
      <c r="AB392" s="11">
        <f t="shared" si="93"/>
        <v>9</v>
      </c>
      <c r="AC392" s="11">
        <f t="shared" si="94"/>
        <v>8</v>
      </c>
      <c r="AD392" s="11" t="e">
        <f t="shared" si="95"/>
        <v>#DIV/0!</v>
      </c>
      <c r="AE392" s="11" t="e">
        <f t="shared" si="96"/>
        <v>#DIV/0!</v>
      </c>
      <c r="AF392" s="11" t="e">
        <f t="shared" si="97"/>
        <v>#DIV/0!</v>
      </c>
      <c r="AG392" s="11" t="e">
        <f t="shared" si="98"/>
        <v>#DIV/0!</v>
      </c>
      <c r="AH392" s="11" t="e">
        <f t="shared" si="99"/>
        <v>#DIV/0!</v>
      </c>
      <c r="AI392" s="10"/>
      <c r="AJ392" s="11" t="e">
        <f t="shared" si="100"/>
        <v>#DIV/0!</v>
      </c>
      <c r="AK392" s="11" t="e">
        <f t="shared" si="101"/>
        <v>#DIV/0!</v>
      </c>
      <c r="AL392" s="11" t="e">
        <f t="shared" si="102"/>
        <v>#DIV/0!</v>
      </c>
    </row>
    <row r="393" spans="2:38" x14ac:dyDescent="0.2">
      <c r="B393" s="4"/>
      <c r="C393" s="4"/>
      <c r="D393" s="4"/>
      <c r="E393" s="4"/>
      <c r="F393" s="4"/>
      <c r="G393" s="4"/>
      <c r="H393" s="4"/>
      <c r="I393" s="4"/>
      <c r="J393" s="9" t="e">
        <f t="shared" si="90"/>
        <v>#DIV/0!</v>
      </c>
      <c r="K393" s="4"/>
      <c r="L393" s="4"/>
      <c r="M393" s="4"/>
      <c r="N393" s="4"/>
      <c r="O393" s="7"/>
      <c r="P393" s="7"/>
      <c r="Q393" s="4"/>
      <c r="R393" s="9" t="e">
        <f t="shared" si="91"/>
        <v>#DIV/0!</v>
      </c>
      <c r="S393" s="4" t="s">
        <v>129</v>
      </c>
      <c r="T393" s="4"/>
      <c r="U393" s="10"/>
      <c r="V393" s="10"/>
      <c r="W393" s="10"/>
      <c r="X393" s="10"/>
      <c r="Y393" s="10"/>
      <c r="Z393" s="10"/>
      <c r="AA393" s="11" t="e">
        <f t="shared" si="92"/>
        <v>#DIV/0!</v>
      </c>
      <c r="AB393" s="11">
        <f t="shared" si="93"/>
        <v>9</v>
      </c>
      <c r="AC393" s="11">
        <f t="shared" si="94"/>
        <v>8</v>
      </c>
      <c r="AD393" s="11" t="e">
        <f t="shared" si="95"/>
        <v>#DIV/0!</v>
      </c>
      <c r="AE393" s="11" t="e">
        <f t="shared" si="96"/>
        <v>#DIV/0!</v>
      </c>
      <c r="AF393" s="11" t="e">
        <f t="shared" si="97"/>
        <v>#DIV/0!</v>
      </c>
      <c r="AG393" s="11" t="e">
        <f t="shared" si="98"/>
        <v>#DIV/0!</v>
      </c>
      <c r="AH393" s="11" t="e">
        <f t="shared" si="99"/>
        <v>#DIV/0!</v>
      </c>
      <c r="AI393" s="10"/>
      <c r="AJ393" s="11" t="e">
        <f t="shared" si="100"/>
        <v>#DIV/0!</v>
      </c>
      <c r="AK393" s="11" t="e">
        <f t="shared" si="101"/>
        <v>#DIV/0!</v>
      </c>
      <c r="AL393" s="11" t="e">
        <f t="shared" si="102"/>
        <v>#DIV/0!</v>
      </c>
    </row>
    <row r="394" spans="2:38" x14ac:dyDescent="0.2">
      <c r="B394" s="4"/>
      <c r="C394" s="4"/>
      <c r="D394" s="4"/>
      <c r="E394" s="4"/>
      <c r="F394" s="4"/>
      <c r="G394" s="4"/>
      <c r="H394" s="4"/>
      <c r="I394" s="4"/>
      <c r="J394" s="9" t="e">
        <f t="shared" si="90"/>
        <v>#DIV/0!</v>
      </c>
      <c r="K394" s="4"/>
      <c r="L394" s="4"/>
      <c r="M394" s="4"/>
      <c r="N394" s="4"/>
      <c r="O394" s="7"/>
      <c r="P394" s="7"/>
      <c r="Q394" s="4"/>
      <c r="R394" s="9" t="e">
        <f t="shared" si="91"/>
        <v>#DIV/0!</v>
      </c>
      <c r="S394" s="4" t="s">
        <v>129</v>
      </c>
      <c r="T394" s="4"/>
      <c r="U394" s="10"/>
      <c r="V394" s="10"/>
      <c r="W394" s="10"/>
      <c r="X394" s="10"/>
      <c r="Y394" s="10"/>
      <c r="Z394" s="10"/>
      <c r="AA394" s="11" t="e">
        <f t="shared" si="92"/>
        <v>#DIV/0!</v>
      </c>
      <c r="AB394" s="11">
        <f t="shared" si="93"/>
        <v>9</v>
      </c>
      <c r="AC394" s="11">
        <f t="shared" si="94"/>
        <v>8</v>
      </c>
      <c r="AD394" s="11" t="e">
        <f t="shared" si="95"/>
        <v>#DIV/0!</v>
      </c>
      <c r="AE394" s="11" t="e">
        <f t="shared" si="96"/>
        <v>#DIV/0!</v>
      </c>
      <c r="AF394" s="11" t="e">
        <f t="shared" si="97"/>
        <v>#DIV/0!</v>
      </c>
      <c r="AG394" s="11" t="e">
        <f t="shared" si="98"/>
        <v>#DIV/0!</v>
      </c>
      <c r="AH394" s="11" t="e">
        <f t="shared" si="99"/>
        <v>#DIV/0!</v>
      </c>
      <c r="AI394" s="10"/>
      <c r="AJ394" s="11" t="e">
        <f t="shared" si="100"/>
        <v>#DIV/0!</v>
      </c>
      <c r="AK394" s="11" t="e">
        <f t="shared" si="101"/>
        <v>#DIV/0!</v>
      </c>
      <c r="AL394" s="11" t="e">
        <f t="shared" si="102"/>
        <v>#DIV/0!</v>
      </c>
    </row>
    <row r="395" spans="2:38" x14ac:dyDescent="0.2">
      <c r="B395" s="4"/>
      <c r="C395" s="4"/>
      <c r="D395" s="4"/>
      <c r="E395" s="4"/>
      <c r="F395" s="4"/>
      <c r="G395" s="4"/>
      <c r="H395" s="4"/>
      <c r="I395" s="4"/>
      <c r="J395" s="9" t="e">
        <f t="shared" si="90"/>
        <v>#DIV/0!</v>
      </c>
      <c r="K395" s="4"/>
      <c r="L395" s="4"/>
      <c r="M395" s="4"/>
      <c r="N395" s="4"/>
      <c r="O395" s="7"/>
      <c r="P395" s="7"/>
      <c r="Q395" s="4"/>
      <c r="R395" s="9" t="e">
        <f t="shared" si="91"/>
        <v>#DIV/0!</v>
      </c>
      <c r="S395" s="4" t="s">
        <v>129</v>
      </c>
      <c r="T395" s="4"/>
      <c r="U395" s="10"/>
      <c r="V395" s="10"/>
      <c r="W395" s="10"/>
      <c r="X395" s="10"/>
      <c r="Y395" s="10"/>
      <c r="Z395" s="10"/>
      <c r="AA395" s="11" t="e">
        <f t="shared" si="92"/>
        <v>#DIV/0!</v>
      </c>
      <c r="AB395" s="11">
        <f t="shared" si="93"/>
        <v>9</v>
      </c>
      <c r="AC395" s="11">
        <f t="shared" si="94"/>
        <v>8</v>
      </c>
      <c r="AD395" s="11" t="e">
        <f t="shared" si="95"/>
        <v>#DIV/0!</v>
      </c>
      <c r="AE395" s="11" t="e">
        <f t="shared" si="96"/>
        <v>#DIV/0!</v>
      </c>
      <c r="AF395" s="11" t="e">
        <f t="shared" si="97"/>
        <v>#DIV/0!</v>
      </c>
      <c r="AG395" s="11" t="e">
        <f t="shared" si="98"/>
        <v>#DIV/0!</v>
      </c>
      <c r="AH395" s="11" t="e">
        <f t="shared" si="99"/>
        <v>#DIV/0!</v>
      </c>
      <c r="AI395" s="10"/>
      <c r="AJ395" s="11" t="e">
        <f t="shared" si="100"/>
        <v>#DIV/0!</v>
      </c>
      <c r="AK395" s="11" t="e">
        <f t="shared" si="101"/>
        <v>#DIV/0!</v>
      </c>
      <c r="AL395" s="11" t="e">
        <f t="shared" si="102"/>
        <v>#DIV/0!</v>
      </c>
    </row>
    <row r="396" spans="2:38" x14ac:dyDescent="0.2">
      <c r="B396" s="4"/>
      <c r="C396" s="4"/>
      <c r="D396" s="4"/>
      <c r="E396" s="4"/>
      <c r="F396" s="4"/>
      <c r="G396" s="4"/>
      <c r="H396" s="4"/>
      <c r="I396" s="4"/>
      <c r="J396" s="9" t="e">
        <f t="shared" si="90"/>
        <v>#DIV/0!</v>
      </c>
      <c r="K396" s="4"/>
      <c r="L396" s="4"/>
      <c r="M396" s="4"/>
      <c r="N396" s="4"/>
      <c r="O396" s="7"/>
      <c r="P396" s="7"/>
      <c r="Q396" s="4"/>
      <c r="R396" s="9" t="e">
        <f t="shared" si="91"/>
        <v>#DIV/0!</v>
      </c>
      <c r="S396" s="4" t="s">
        <v>129</v>
      </c>
      <c r="T396" s="4"/>
      <c r="U396" s="10"/>
      <c r="V396" s="10"/>
      <c r="W396" s="10"/>
      <c r="X396" s="10"/>
      <c r="Y396" s="10"/>
      <c r="Z396" s="10"/>
      <c r="AA396" s="11" t="e">
        <f t="shared" si="92"/>
        <v>#DIV/0!</v>
      </c>
      <c r="AB396" s="11">
        <f t="shared" si="93"/>
        <v>9</v>
      </c>
      <c r="AC396" s="11">
        <f t="shared" si="94"/>
        <v>8</v>
      </c>
      <c r="AD396" s="11" t="e">
        <f t="shared" si="95"/>
        <v>#DIV/0!</v>
      </c>
      <c r="AE396" s="11" t="e">
        <f t="shared" si="96"/>
        <v>#DIV/0!</v>
      </c>
      <c r="AF396" s="11" t="e">
        <f t="shared" si="97"/>
        <v>#DIV/0!</v>
      </c>
      <c r="AG396" s="11" t="e">
        <f t="shared" si="98"/>
        <v>#DIV/0!</v>
      </c>
      <c r="AH396" s="11" t="e">
        <f t="shared" si="99"/>
        <v>#DIV/0!</v>
      </c>
      <c r="AI396" s="10"/>
      <c r="AJ396" s="11" t="e">
        <f t="shared" si="100"/>
        <v>#DIV/0!</v>
      </c>
      <c r="AK396" s="11" t="e">
        <f t="shared" si="101"/>
        <v>#DIV/0!</v>
      </c>
      <c r="AL396" s="11" t="e">
        <f t="shared" si="102"/>
        <v>#DIV/0!</v>
      </c>
    </row>
    <row r="397" spans="2:38" x14ac:dyDescent="0.2">
      <c r="B397" s="4"/>
      <c r="C397" s="4"/>
      <c r="D397" s="4"/>
      <c r="E397" s="4"/>
      <c r="F397" s="4"/>
      <c r="G397" s="4"/>
      <c r="H397" s="4"/>
      <c r="I397" s="4"/>
      <c r="J397" s="9" t="e">
        <f t="shared" si="90"/>
        <v>#DIV/0!</v>
      </c>
      <c r="K397" s="4"/>
      <c r="L397" s="4"/>
      <c r="M397" s="4"/>
      <c r="N397" s="4"/>
      <c r="O397" s="7"/>
      <c r="P397" s="7"/>
      <c r="Q397" s="4"/>
      <c r="R397" s="9" t="e">
        <f t="shared" si="91"/>
        <v>#DIV/0!</v>
      </c>
      <c r="S397" s="4" t="s">
        <v>129</v>
      </c>
      <c r="T397" s="4"/>
      <c r="U397" s="10"/>
      <c r="V397" s="10"/>
      <c r="W397" s="10"/>
      <c r="X397" s="10"/>
      <c r="Y397" s="10"/>
      <c r="Z397" s="10"/>
      <c r="AA397" s="11" t="e">
        <f t="shared" si="92"/>
        <v>#DIV/0!</v>
      </c>
      <c r="AB397" s="11">
        <f t="shared" si="93"/>
        <v>9</v>
      </c>
      <c r="AC397" s="11">
        <f t="shared" si="94"/>
        <v>8</v>
      </c>
      <c r="AD397" s="11" t="e">
        <f t="shared" si="95"/>
        <v>#DIV/0!</v>
      </c>
      <c r="AE397" s="11" t="e">
        <f t="shared" si="96"/>
        <v>#DIV/0!</v>
      </c>
      <c r="AF397" s="11" t="e">
        <f t="shared" si="97"/>
        <v>#DIV/0!</v>
      </c>
      <c r="AG397" s="11" t="e">
        <f t="shared" si="98"/>
        <v>#DIV/0!</v>
      </c>
      <c r="AH397" s="11" t="e">
        <f t="shared" si="99"/>
        <v>#DIV/0!</v>
      </c>
      <c r="AI397" s="10"/>
      <c r="AJ397" s="11" t="e">
        <f t="shared" si="100"/>
        <v>#DIV/0!</v>
      </c>
      <c r="AK397" s="11" t="e">
        <f t="shared" si="101"/>
        <v>#DIV/0!</v>
      </c>
      <c r="AL397" s="11" t="e">
        <f t="shared" si="102"/>
        <v>#DIV/0!</v>
      </c>
    </row>
    <row r="398" spans="2:38" x14ac:dyDescent="0.2">
      <c r="B398" s="4"/>
      <c r="C398" s="4"/>
      <c r="D398" s="4"/>
      <c r="E398" s="4"/>
      <c r="F398" s="4"/>
      <c r="G398" s="4"/>
      <c r="H398" s="4"/>
      <c r="I398" s="4"/>
      <c r="J398" s="9" t="e">
        <f t="shared" si="90"/>
        <v>#DIV/0!</v>
      </c>
      <c r="K398" s="4"/>
      <c r="L398" s="4"/>
      <c r="M398" s="4"/>
      <c r="N398" s="4"/>
      <c r="O398" s="7"/>
      <c r="P398" s="7"/>
      <c r="Q398" s="4"/>
      <c r="R398" s="9" t="e">
        <f t="shared" si="91"/>
        <v>#DIV/0!</v>
      </c>
      <c r="S398" s="4" t="s">
        <v>129</v>
      </c>
      <c r="T398" s="4"/>
      <c r="U398" s="10"/>
      <c r="V398" s="10"/>
      <c r="W398" s="10"/>
      <c r="X398" s="10"/>
      <c r="Y398" s="10"/>
      <c r="Z398" s="10"/>
      <c r="AA398" s="11" t="e">
        <f t="shared" si="92"/>
        <v>#DIV/0!</v>
      </c>
      <c r="AB398" s="11">
        <f t="shared" si="93"/>
        <v>9</v>
      </c>
      <c r="AC398" s="11">
        <f t="shared" si="94"/>
        <v>8</v>
      </c>
      <c r="AD398" s="11" t="e">
        <f t="shared" si="95"/>
        <v>#DIV/0!</v>
      </c>
      <c r="AE398" s="11" t="e">
        <f t="shared" si="96"/>
        <v>#DIV/0!</v>
      </c>
      <c r="AF398" s="11" t="e">
        <f t="shared" si="97"/>
        <v>#DIV/0!</v>
      </c>
      <c r="AG398" s="11" t="e">
        <f t="shared" si="98"/>
        <v>#DIV/0!</v>
      </c>
      <c r="AH398" s="11" t="e">
        <f t="shared" si="99"/>
        <v>#DIV/0!</v>
      </c>
      <c r="AI398" s="10"/>
      <c r="AJ398" s="11" t="e">
        <f t="shared" si="100"/>
        <v>#DIV/0!</v>
      </c>
      <c r="AK398" s="11" t="e">
        <f t="shared" si="101"/>
        <v>#DIV/0!</v>
      </c>
      <c r="AL398" s="11" t="e">
        <f t="shared" si="102"/>
        <v>#DIV/0!</v>
      </c>
    </row>
    <row r="399" spans="2:38" x14ac:dyDescent="0.2">
      <c r="B399" s="4"/>
      <c r="C399" s="4"/>
      <c r="D399" s="4"/>
      <c r="E399" s="4"/>
      <c r="F399" s="4"/>
      <c r="G399" s="4"/>
      <c r="H399" s="4"/>
      <c r="I399" s="4"/>
      <c r="J399" s="9" t="e">
        <f t="shared" si="90"/>
        <v>#DIV/0!</v>
      </c>
      <c r="K399" s="4"/>
      <c r="L399" s="4"/>
      <c r="M399" s="4"/>
      <c r="N399" s="4"/>
      <c r="O399" s="7"/>
      <c r="P399" s="7"/>
      <c r="Q399" s="4"/>
      <c r="R399" s="9" t="e">
        <f t="shared" si="91"/>
        <v>#DIV/0!</v>
      </c>
      <c r="S399" s="4" t="s">
        <v>150</v>
      </c>
      <c r="T399" s="4"/>
      <c r="U399" s="10"/>
      <c r="V399" s="10"/>
      <c r="W399" s="10"/>
      <c r="X399" s="10"/>
      <c r="Y399" s="10"/>
      <c r="Z399" s="10"/>
      <c r="AA399" s="11" t="e">
        <f t="shared" si="92"/>
        <v>#DIV/0!</v>
      </c>
      <c r="AB399" s="11">
        <f t="shared" si="93"/>
        <v>9</v>
      </c>
      <c r="AC399" s="11">
        <f t="shared" si="94"/>
        <v>8</v>
      </c>
      <c r="AD399" s="11" t="e">
        <f t="shared" si="95"/>
        <v>#DIV/0!</v>
      </c>
      <c r="AE399" s="11" t="e">
        <f t="shared" si="96"/>
        <v>#DIV/0!</v>
      </c>
      <c r="AF399" s="11" t="e">
        <f t="shared" si="97"/>
        <v>#DIV/0!</v>
      </c>
      <c r="AG399" s="11" t="e">
        <f t="shared" si="98"/>
        <v>#DIV/0!</v>
      </c>
      <c r="AH399" s="11" t="e">
        <f t="shared" si="99"/>
        <v>#DIV/0!</v>
      </c>
      <c r="AI399" s="10"/>
      <c r="AJ399" s="11" t="e">
        <f t="shared" si="100"/>
        <v>#DIV/0!</v>
      </c>
      <c r="AK399" s="11" t="e">
        <f t="shared" si="101"/>
        <v>#DIV/0!</v>
      </c>
      <c r="AL399" s="11" t="e">
        <f t="shared" si="102"/>
        <v>#DIV/0!</v>
      </c>
    </row>
    <row r="400" spans="2:38" x14ac:dyDescent="0.2">
      <c r="B400" s="4"/>
      <c r="C400" s="4"/>
      <c r="D400" s="4"/>
      <c r="E400" s="4"/>
      <c r="F400" s="4"/>
      <c r="G400" s="4"/>
      <c r="H400" s="4"/>
      <c r="I400" s="4"/>
      <c r="J400" s="9" t="e">
        <f t="shared" si="90"/>
        <v>#DIV/0!</v>
      </c>
      <c r="K400" s="4"/>
      <c r="L400" s="4"/>
      <c r="M400" s="4"/>
      <c r="N400" s="4"/>
      <c r="O400" s="7"/>
      <c r="P400" s="7"/>
      <c r="Q400" s="4"/>
      <c r="R400" s="9" t="e">
        <f t="shared" si="91"/>
        <v>#DIV/0!</v>
      </c>
      <c r="S400" s="4" t="s">
        <v>150</v>
      </c>
      <c r="T400" s="4"/>
      <c r="U400" s="10"/>
      <c r="V400" s="10"/>
      <c r="W400" s="10"/>
      <c r="X400" s="10"/>
      <c r="Y400" s="10"/>
      <c r="Z400" s="10"/>
      <c r="AA400" s="11" t="e">
        <f t="shared" si="92"/>
        <v>#DIV/0!</v>
      </c>
      <c r="AB400" s="11">
        <f t="shared" si="93"/>
        <v>9</v>
      </c>
      <c r="AC400" s="11">
        <f t="shared" si="94"/>
        <v>8</v>
      </c>
      <c r="AD400" s="11" t="e">
        <f t="shared" si="95"/>
        <v>#DIV/0!</v>
      </c>
      <c r="AE400" s="11" t="e">
        <f t="shared" si="96"/>
        <v>#DIV/0!</v>
      </c>
      <c r="AF400" s="11" t="e">
        <f t="shared" si="97"/>
        <v>#DIV/0!</v>
      </c>
      <c r="AG400" s="11" t="e">
        <f t="shared" si="98"/>
        <v>#DIV/0!</v>
      </c>
      <c r="AH400" s="11" t="e">
        <f t="shared" si="99"/>
        <v>#DIV/0!</v>
      </c>
      <c r="AI400" s="10"/>
      <c r="AJ400" s="11" t="e">
        <f t="shared" si="100"/>
        <v>#DIV/0!</v>
      </c>
      <c r="AK400" s="11" t="e">
        <f t="shared" si="101"/>
        <v>#DIV/0!</v>
      </c>
      <c r="AL400" s="11" t="e">
        <f t="shared" si="102"/>
        <v>#DIV/0!</v>
      </c>
    </row>
    <row r="401" spans="2:38" x14ac:dyDescent="0.2">
      <c r="B401" s="4"/>
      <c r="C401" s="4"/>
      <c r="D401" s="4"/>
      <c r="E401" s="4"/>
      <c r="F401" s="4"/>
      <c r="G401" s="4"/>
      <c r="H401" s="4"/>
      <c r="I401" s="4"/>
      <c r="J401" s="9" t="e">
        <f t="shared" si="90"/>
        <v>#DIV/0!</v>
      </c>
      <c r="K401" s="4"/>
      <c r="L401" s="4"/>
      <c r="M401" s="4"/>
      <c r="N401" s="4"/>
      <c r="O401" s="7"/>
      <c r="P401" s="7"/>
      <c r="Q401" s="4"/>
      <c r="R401" s="9" t="e">
        <f t="shared" si="91"/>
        <v>#DIV/0!</v>
      </c>
      <c r="S401" s="4" t="s">
        <v>150</v>
      </c>
      <c r="T401" s="4"/>
      <c r="U401" s="10"/>
      <c r="V401" s="10"/>
      <c r="W401" s="10"/>
      <c r="X401" s="10"/>
      <c r="Y401" s="10"/>
      <c r="Z401" s="10"/>
      <c r="AA401" s="11" t="e">
        <f t="shared" si="92"/>
        <v>#DIV/0!</v>
      </c>
      <c r="AB401" s="11">
        <f t="shared" si="93"/>
        <v>9</v>
      </c>
      <c r="AC401" s="11">
        <f t="shared" si="94"/>
        <v>8</v>
      </c>
      <c r="AD401" s="11" t="e">
        <f t="shared" si="95"/>
        <v>#DIV/0!</v>
      </c>
      <c r="AE401" s="11" t="e">
        <f t="shared" si="96"/>
        <v>#DIV/0!</v>
      </c>
      <c r="AF401" s="11" t="e">
        <f t="shared" si="97"/>
        <v>#DIV/0!</v>
      </c>
      <c r="AG401" s="11" t="e">
        <f t="shared" si="98"/>
        <v>#DIV/0!</v>
      </c>
      <c r="AH401" s="11" t="e">
        <f t="shared" si="99"/>
        <v>#DIV/0!</v>
      </c>
      <c r="AI401" s="10"/>
      <c r="AJ401" s="11" t="e">
        <f t="shared" si="100"/>
        <v>#DIV/0!</v>
      </c>
      <c r="AK401" s="11" t="e">
        <f t="shared" si="101"/>
        <v>#DIV/0!</v>
      </c>
      <c r="AL401" s="11" t="e">
        <f t="shared" si="102"/>
        <v>#DIV/0!</v>
      </c>
    </row>
    <row r="402" spans="2:38" x14ac:dyDescent="0.2">
      <c r="B402" s="4"/>
      <c r="C402" s="4"/>
      <c r="D402" s="4"/>
      <c r="E402" s="4"/>
      <c r="F402" s="4"/>
      <c r="G402" s="4"/>
      <c r="H402" s="4"/>
      <c r="I402" s="4"/>
      <c r="J402" s="9" t="e">
        <f t="shared" si="90"/>
        <v>#DIV/0!</v>
      </c>
      <c r="K402" s="4"/>
      <c r="L402" s="4"/>
      <c r="M402" s="4"/>
      <c r="N402" s="4"/>
      <c r="O402" s="7"/>
      <c r="P402" s="7"/>
      <c r="Q402" s="4"/>
      <c r="R402" s="9" t="e">
        <f t="shared" si="91"/>
        <v>#DIV/0!</v>
      </c>
      <c r="S402" s="4" t="s">
        <v>150</v>
      </c>
      <c r="T402" s="4"/>
      <c r="U402" s="10"/>
      <c r="V402" s="10"/>
      <c r="W402" s="10"/>
      <c r="X402" s="10"/>
      <c r="Y402" s="10"/>
      <c r="Z402" s="10"/>
      <c r="AA402" s="11" t="e">
        <f t="shared" si="92"/>
        <v>#DIV/0!</v>
      </c>
      <c r="AB402" s="11">
        <f t="shared" si="93"/>
        <v>9</v>
      </c>
      <c r="AC402" s="11">
        <f t="shared" si="94"/>
        <v>8</v>
      </c>
      <c r="AD402" s="11" t="e">
        <f t="shared" si="95"/>
        <v>#DIV/0!</v>
      </c>
      <c r="AE402" s="11" t="e">
        <f t="shared" si="96"/>
        <v>#DIV/0!</v>
      </c>
      <c r="AF402" s="11" t="e">
        <f t="shared" si="97"/>
        <v>#DIV/0!</v>
      </c>
      <c r="AG402" s="11" t="e">
        <f t="shared" si="98"/>
        <v>#DIV/0!</v>
      </c>
      <c r="AH402" s="11" t="e">
        <f t="shared" si="99"/>
        <v>#DIV/0!</v>
      </c>
      <c r="AI402" s="10"/>
      <c r="AJ402" s="11" t="e">
        <f t="shared" si="100"/>
        <v>#DIV/0!</v>
      </c>
      <c r="AK402" s="11" t="e">
        <f t="shared" si="101"/>
        <v>#DIV/0!</v>
      </c>
      <c r="AL402" s="11" t="e">
        <f t="shared" si="102"/>
        <v>#DIV/0!</v>
      </c>
    </row>
    <row r="403" spans="2:38" x14ac:dyDescent="0.2">
      <c r="B403" s="4"/>
      <c r="C403" s="4"/>
      <c r="D403" s="4"/>
      <c r="E403" s="4"/>
      <c r="F403" s="4"/>
      <c r="G403" s="4"/>
      <c r="H403" s="4"/>
      <c r="I403" s="4"/>
      <c r="J403" s="9" t="e">
        <f t="shared" si="90"/>
        <v>#DIV/0!</v>
      </c>
      <c r="K403" s="4"/>
      <c r="L403" s="4"/>
      <c r="M403" s="4"/>
      <c r="N403" s="4"/>
      <c r="O403" s="7"/>
      <c r="P403" s="7"/>
      <c r="Q403" s="4"/>
      <c r="R403" s="9" t="e">
        <f t="shared" si="91"/>
        <v>#DIV/0!</v>
      </c>
      <c r="S403" s="4" t="s">
        <v>150</v>
      </c>
      <c r="T403" s="4"/>
      <c r="U403" s="10"/>
      <c r="V403" s="10"/>
      <c r="W403" s="10"/>
      <c r="X403" s="10"/>
      <c r="Y403" s="10"/>
      <c r="Z403" s="10"/>
      <c r="AA403" s="11" t="e">
        <f t="shared" si="92"/>
        <v>#DIV/0!</v>
      </c>
      <c r="AB403" s="11">
        <f t="shared" si="93"/>
        <v>9</v>
      </c>
      <c r="AC403" s="11">
        <f t="shared" si="94"/>
        <v>8</v>
      </c>
      <c r="AD403" s="11" t="e">
        <f t="shared" si="95"/>
        <v>#DIV/0!</v>
      </c>
      <c r="AE403" s="11" t="e">
        <f t="shared" si="96"/>
        <v>#DIV/0!</v>
      </c>
      <c r="AF403" s="11" t="e">
        <f t="shared" si="97"/>
        <v>#DIV/0!</v>
      </c>
      <c r="AG403" s="11" t="e">
        <f t="shared" si="98"/>
        <v>#DIV/0!</v>
      </c>
      <c r="AH403" s="11" t="e">
        <f t="shared" si="99"/>
        <v>#DIV/0!</v>
      </c>
      <c r="AI403" s="10"/>
      <c r="AJ403" s="11" t="e">
        <f t="shared" si="100"/>
        <v>#DIV/0!</v>
      </c>
      <c r="AK403" s="11" t="e">
        <f t="shared" si="101"/>
        <v>#DIV/0!</v>
      </c>
      <c r="AL403" s="11" t="e">
        <f t="shared" si="102"/>
        <v>#DIV/0!</v>
      </c>
    </row>
    <row r="404" spans="2:38" x14ac:dyDescent="0.2">
      <c r="B404" s="4"/>
      <c r="C404" s="4"/>
      <c r="D404" s="4"/>
      <c r="E404" s="4"/>
      <c r="F404" s="4"/>
      <c r="G404" s="4"/>
      <c r="H404" s="4"/>
      <c r="I404" s="4"/>
      <c r="J404" s="9" t="e">
        <f t="shared" si="90"/>
        <v>#DIV/0!</v>
      </c>
      <c r="K404" s="4"/>
      <c r="L404" s="4"/>
      <c r="M404" s="4"/>
      <c r="N404" s="4"/>
      <c r="O404" s="7"/>
      <c r="P404" s="7"/>
      <c r="Q404" s="4"/>
      <c r="R404" s="9" t="e">
        <f t="shared" si="91"/>
        <v>#DIV/0!</v>
      </c>
      <c r="S404" s="4" t="s">
        <v>150</v>
      </c>
      <c r="T404" s="4"/>
      <c r="U404" s="10"/>
      <c r="V404" s="10"/>
      <c r="W404" s="10"/>
      <c r="X404" s="10"/>
      <c r="Y404" s="10"/>
      <c r="Z404" s="10"/>
      <c r="AA404" s="11" t="e">
        <f t="shared" si="92"/>
        <v>#DIV/0!</v>
      </c>
      <c r="AB404" s="11">
        <f t="shared" si="93"/>
        <v>9</v>
      </c>
      <c r="AC404" s="11">
        <f t="shared" si="94"/>
        <v>8</v>
      </c>
      <c r="AD404" s="11" t="e">
        <f t="shared" si="95"/>
        <v>#DIV/0!</v>
      </c>
      <c r="AE404" s="11" t="e">
        <f t="shared" si="96"/>
        <v>#DIV/0!</v>
      </c>
      <c r="AF404" s="11" t="e">
        <f t="shared" si="97"/>
        <v>#DIV/0!</v>
      </c>
      <c r="AG404" s="11" t="e">
        <f t="shared" si="98"/>
        <v>#DIV/0!</v>
      </c>
      <c r="AH404" s="11" t="e">
        <f t="shared" si="99"/>
        <v>#DIV/0!</v>
      </c>
      <c r="AI404" s="10"/>
      <c r="AJ404" s="11" t="e">
        <f t="shared" si="100"/>
        <v>#DIV/0!</v>
      </c>
      <c r="AK404" s="11" t="e">
        <f t="shared" si="101"/>
        <v>#DIV/0!</v>
      </c>
      <c r="AL404" s="11" t="e">
        <f t="shared" si="102"/>
        <v>#DIV/0!</v>
      </c>
    </row>
    <row r="405" spans="2:38" x14ac:dyDescent="0.2">
      <c r="B405" s="4"/>
      <c r="C405" s="4"/>
      <c r="D405" s="4"/>
      <c r="E405" s="4"/>
      <c r="F405" s="4"/>
      <c r="G405" s="4"/>
      <c r="H405" s="4"/>
      <c r="I405" s="4"/>
      <c r="J405" s="9" t="e">
        <f t="shared" si="90"/>
        <v>#DIV/0!</v>
      </c>
      <c r="K405" s="4"/>
      <c r="L405" s="4"/>
      <c r="M405" s="4"/>
      <c r="N405" s="4"/>
      <c r="O405" s="7"/>
      <c r="P405" s="7"/>
      <c r="Q405" s="4"/>
      <c r="R405" s="9" t="e">
        <f t="shared" si="91"/>
        <v>#DIV/0!</v>
      </c>
      <c r="S405" s="4" t="s">
        <v>150</v>
      </c>
      <c r="T405" s="4"/>
      <c r="U405" s="10"/>
      <c r="V405" s="10"/>
      <c r="W405" s="10"/>
      <c r="X405" s="10"/>
      <c r="Y405" s="10"/>
      <c r="Z405" s="10"/>
      <c r="AA405" s="11" t="e">
        <f t="shared" si="92"/>
        <v>#DIV/0!</v>
      </c>
      <c r="AB405" s="11">
        <f t="shared" si="93"/>
        <v>9</v>
      </c>
      <c r="AC405" s="11">
        <f t="shared" si="94"/>
        <v>8</v>
      </c>
      <c r="AD405" s="11" t="e">
        <f t="shared" si="95"/>
        <v>#DIV/0!</v>
      </c>
      <c r="AE405" s="11" t="e">
        <f t="shared" si="96"/>
        <v>#DIV/0!</v>
      </c>
      <c r="AF405" s="11" t="e">
        <f t="shared" si="97"/>
        <v>#DIV/0!</v>
      </c>
      <c r="AG405" s="11" t="e">
        <f t="shared" si="98"/>
        <v>#DIV/0!</v>
      </c>
      <c r="AH405" s="11" t="e">
        <f t="shared" si="99"/>
        <v>#DIV/0!</v>
      </c>
      <c r="AI405" s="10"/>
      <c r="AJ405" s="11" t="e">
        <f t="shared" si="100"/>
        <v>#DIV/0!</v>
      </c>
      <c r="AK405" s="11" t="e">
        <f t="shared" si="101"/>
        <v>#DIV/0!</v>
      </c>
      <c r="AL405" s="11" t="e">
        <f t="shared" si="102"/>
        <v>#DIV/0!</v>
      </c>
    </row>
    <row r="406" spans="2:38" x14ac:dyDescent="0.2">
      <c r="B406" s="4"/>
      <c r="C406" s="4"/>
      <c r="D406" s="4"/>
      <c r="E406" s="4"/>
      <c r="F406" s="4"/>
      <c r="G406" s="4"/>
      <c r="H406" s="4"/>
      <c r="I406" s="4"/>
      <c r="J406" s="9" t="e">
        <f t="shared" si="90"/>
        <v>#DIV/0!</v>
      </c>
      <c r="K406" s="4"/>
      <c r="L406" s="4"/>
      <c r="M406" s="4"/>
      <c r="N406" s="4"/>
      <c r="O406" s="7"/>
      <c r="P406" s="7"/>
      <c r="Q406" s="4"/>
      <c r="R406" s="9" t="e">
        <f t="shared" si="91"/>
        <v>#DIV/0!</v>
      </c>
      <c r="S406" s="4" t="s">
        <v>150</v>
      </c>
      <c r="T406" s="4"/>
      <c r="U406" s="10"/>
      <c r="V406" s="10"/>
      <c r="W406" s="10"/>
      <c r="X406" s="10"/>
      <c r="Y406" s="10"/>
      <c r="Z406" s="10"/>
      <c r="AA406" s="11" t="e">
        <f t="shared" si="92"/>
        <v>#DIV/0!</v>
      </c>
      <c r="AB406" s="11">
        <f t="shared" si="93"/>
        <v>9</v>
      </c>
      <c r="AC406" s="11">
        <f t="shared" si="94"/>
        <v>8</v>
      </c>
      <c r="AD406" s="11" t="e">
        <f t="shared" si="95"/>
        <v>#DIV/0!</v>
      </c>
      <c r="AE406" s="11" t="e">
        <f t="shared" si="96"/>
        <v>#DIV/0!</v>
      </c>
      <c r="AF406" s="11" t="e">
        <f t="shared" si="97"/>
        <v>#DIV/0!</v>
      </c>
      <c r="AG406" s="11" t="e">
        <f t="shared" si="98"/>
        <v>#DIV/0!</v>
      </c>
      <c r="AH406" s="11" t="e">
        <f t="shared" si="99"/>
        <v>#DIV/0!</v>
      </c>
      <c r="AI406" s="10"/>
      <c r="AJ406" s="11" t="e">
        <f t="shared" si="100"/>
        <v>#DIV/0!</v>
      </c>
      <c r="AK406" s="11" t="e">
        <f t="shared" si="101"/>
        <v>#DIV/0!</v>
      </c>
      <c r="AL406" s="11" t="e">
        <f t="shared" si="102"/>
        <v>#DIV/0!</v>
      </c>
    </row>
    <row r="407" spans="2:38" x14ac:dyDescent="0.2">
      <c r="B407" s="4"/>
      <c r="C407" s="4"/>
      <c r="D407" s="4"/>
      <c r="E407" s="4"/>
      <c r="F407" s="4"/>
      <c r="G407" s="4"/>
      <c r="H407" s="4"/>
      <c r="I407" s="4"/>
      <c r="J407" s="9" t="e">
        <f t="shared" si="90"/>
        <v>#DIV/0!</v>
      </c>
      <c r="K407" s="4"/>
      <c r="L407" s="4"/>
      <c r="M407" s="4"/>
      <c r="N407" s="4"/>
      <c r="O407" s="7"/>
      <c r="P407" s="7"/>
      <c r="Q407" s="4"/>
      <c r="R407" s="9" t="e">
        <f t="shared" si="91"/>
        <v>#DIV/0!</v>
      </c>
      <c r="S407" s="4" t="s">
        <v>150</v>
      </c>
      <c r="T407" s="4"/>
      <c r="U407" s="10"/>
      <c r="V407" s="10"/>
      <c r="W407" s="10"/>
      <c r="X407" s="10"/>
      <c r="Y407" s="10"/>
      <c r="Z407" s="10"/>
      <c r="AA407" s="11" t="e">
        <f t="shared" si="92"/>
        <v>#DIV/0!</v>
      </c>
      <c r="AB407" s="11">
        <f t="shared" si="93"/>
        <v>9</v>
      </c>
      <c r="AC407" s="11">
        <f t="shared" si="94"/>
        <v>8</v>
      </c>
      <c r="AD407" s="11" t="e">
        <f t="shared" si="95"/>
        <v>#DIV/0!</v>
      </c>
      <c r="AE407" s="11" t="e">
        <f t="shared" si="96"/>
        <v>#DIV/0!</v>
      </c>
      <c r="AF407" s="11" t="e">
        <f t="shared" si="97"/>
        <v>#DIV/0!</v>
      </c>
      <c r="AG407" s="11" t="e">
        <f t="shared" si="98"/>
        <v>#DIV/0!</v>
      </c>
      <c r="AH407" s="11" t="e">
        <f t="shared" si="99"/>
        <v>#DIV/0!</v>
      </c>
      <c r="AI407" s="10"/>
      <c r="AJ407" s="11" t="e">
        <f t="shared" si="100"/>
        <v>#DIV/0!</v>
      </c>
      <c r="AK407" s="11" t="e">
        <f t="shared" si="101"/>
        <v>#DIV/0!</v>
      </c>
      <c r="AL407" s="11" t="e">
        <f t="shared" si="102"/>
        <v>#DIV/0!</v>
      </c>
    </row>
    <row r="408" spans="2:38" x14ac:dyDescent="0.2">
      <c r="B408" s="4"/>
      <c r="C408" s="4"/>
      <c r="D408" s="4"/>
      <c r="E408" s="4"/>
      <c r="F408" s="4"/>
      <c r="G408" s="4"/>
      <c r="H408" s="4"/>
      <c r="I408" s="4"/>
      <c r="J408" s="9" t="e">
        <f t="shared" si="90"/>
        <v>#DIV/0!</v>
      </c>
      <c r="K408" s="4"/>
      <c r="L408" s="4"/>
      <c r="M408" s="4"/>
      <c r="N408" s="4"/>
      <c r="O408" s="7"/>
      <c r="P408" s="7"/>
      <c r="Q408" s="4"/>
      <c r="R408" s="9" t="e">
        <f t="shared" si="91"/>
        <v>#DIV/0!</v>
      </c>
      <c r="S408" s="4" t="s">
        <v>150</v>
      </c>
      <c r="T408" s="4"/>
      <c r="U408" s="10"/>
      <c r="V408" s="10"/>
      <c r="W408" s="10"/>
      <c r="X408" s="10"/>
      <c r="Y408" s="10"/>
      <c r="Z408" s="10"/>
      <c r="AA408" s="11" t="e">
        <f t="shared" si="92"/>
        <v>#DIV/0!</v>
      </c>
      <c r="AB408" s="11">
        <f t="shared" si="93"/>
        <v>9</v>
      </c>
      <c r="AC408" s="11">
        <f t="shared" si="94"/>
        <v>8</v>
      </c>
      <c r="AD408" s="11" t="e">
        <f t="shared" si="95"/>
        <v>#DIV/0!</v>
      </c>
      <c r="AE408" s="11" t="e">
        <f t="shared" si="96"/>
        <v>#DIV/0!</v>
      </c>
      <c r="AF408" s="11" t="e">
        <f t="shared" si="97"/>
        <v>#DIV/0!</v>
      </c>
      <c r="AG408" s="11" t="e">
        <f t="shared" si="98"/>
        <v>#DIV/0!</v>
      </c>
      <c r="AH408" s="11" t="e">
        <f t="shared" si="99"/>
        <v>#DIV/0!</v>
      </c>
      <c r="AI408" s="10"/>
      <c r="AJ408" s="11" t="e">
        <f t="shared" si="100"/>
        <v>#DIV/0!</v>
      </c>
      <c r="AK408" s="11" t="e">
        <f t="shared" si="101"/>
        <v>#DIV/0!</v>
      </c>
      <c r="AL408" s="11" t="e">
        <f t="shared" si="102"/>
        <v>#DIV/0!</v>
      </c>
    </row>
    <row r="409" spans="2:38" x14ac:dyDescent="0.2">
      <c r="B409" s="4"/>
      <c r="C409" s="4"/>
      <c r="D409" s="4"/>
      <c r="E409" s="4"/>
      <c r="F409" s="4"/>
      <c r="G409" s="4"/>
      <c r="H409" s="4"/>
      <c r="I409" s="4"/>
      <c r="J409" s="9" t="e">
        <f t="shared" si="90"/>
        <v>#DIV/0!</v>
      </c>
      <c r="K409" s="4"/>
      <c r="L409" s="4"/>
      <c r="M409" s="4"/>
      <c r="N409" s="4"/>
      <c r="O409" s="7"/>
      <c r="P409" s="7"/>
      <c r="Q409" s="4"/>
      <c r="R409" s="9" t="e">
        <f t="shared" si="91"/>
        <v>#DIV/0!</v>
      </c>
      <c r="S409" s="4" t="s">
        <v>150</v>
      </c>
      <c r="T409" s="4"/>
      <c r="U409" s="10"/>
      <c r="V409" s="10"/>
      <c r="W409" s="10"/>
      <c r="X409" s="10"/>
      <c r="Y409" s="10"/>
      <c r="Z409" s="10"/>
      <c r="AA409" s="11" t="e">
        <f t="shared" si="92"/>
        <v>#DIV/0!</v>
      </c>
      <c r="AB409" s="11">
        <f t="shared" si="93"/>
        <v>9</v>
      </c>
      <c r="AC409" s="11">
        <f t="shared" si="94"/>
        <v>8</v>
      </c>
      <c r="AD409" s="11" t="e">
        <f t="shared" si="95"/>
        <v>#DIV/0!</v>
      </c>
      <c r="AE409" s="11" t="e">
        <f t="shared" si="96"/>
        <v>#DIV/0!</v>
      </c>
      <c r="AF409" s="11" t="e">
        <f t="shared" si="97"/>
        <v>#DIV/0!</v>
      </c>
      <c r="AG409" s="11" t="e">
        <f t="shared" si="98"/>
        <v>#DIV/0!</v>
      </c>
      <c r="AH409" s="11" t="e">
        <f t="shared" si="99"/>
        <v>#DIV/0!</v>
      </c>
      <c r="AI409" s="10"/>
      <c r="AJ409" s="11" t="e">
        <f t="shared" si="100"/>
        <v>#DIV/0!</v>
      </c>
      <c r="AK409" s="11" t="e">
        <f t="shared" si="101"/>
        <v>#DIV/0!</v>
      </c>
      <c r="AL409" s="11" t="e">
        <f t="shared" si="102"/>
        <v>#DIV/0!</v>
      </c>
    </row>
    <row r="410" spans="2:38" x14ac:dyDescent="0.2">
      <c r="B410" s="4"/>
      <c r="C410" s="4"/>
      <c r="D410" s="4"/>
      <c r="E410" s="4"/>
      <c r="F410" s="4"/>
      <c r="G410" s="4"/>
      <c r="H410" s="4"/>
      <c r="I410" s="4"/>
      <c r="J410" s="9" t="e">
        <f t="shared" si="90"/>
        <v>#DIV/0!</v>
      </c>
      <c r="K410" s="4"/>
      <c r="L410" s="4"/>
      <c r="M410" s="4"/>
      <c r="N410" s="4"/>
      <c r="O410" s="7"/>
      <c r="P410" s="7"/>
      <c r="Q410" s="4"/>
      <c r="R410" s="9" t="e">
        <f t="shared" si="91"/>
        <v>#DIV/0!</v>
      </c>
      <c r="S410" s="4" t="s">
        <v>150</v>
      </c>
      <c r="T410" s="4"/>
      <c r="U410" s="10"/>
      <c r="V410" s="10"/>
      <c r="W410" s="10"/>
      <c r="X410" s="10"/>
      <c r="Y410" s="10"/>
      <c r="Z410" s="10"/>
      <c r="AA410" s="11" t="e">
        <f t="shared" si="92"/>
        <v>#DIV/0!</v>
      </c>
      <c r="AB410" s="11">
        <f t="shared" si="93"/>
        <v>9</v>
      </c>
      <c r="AC410" s="11">
        <f t="shared" si="94"/>
        <v>8</v>
      </c>
      <c r="AD410" s="11" t="e">
        <f t="shared" si="95"/>
        <v>#DIV/0!</v>
      </c>
      <c r="AE410" s="11" t="e">
        <f t="shared" si="96"/>
        <v>#DIV/0!</v>
      </c>
      <c r="AF410" s="11" t="e">
        <f t="shared" si="97"/>
        <v>#DIV/0!</v>
      </c>
      <c r="AG410" s="11" t="e">
        <f t="shared" si="98"/>
        <v>#DIV/0!</v>
      </c>
      <c r="AH410" s="11" t="e">
        <f t="shared" si="99"/>
        <v>#DIV/0!</v>
      </c>
      <c r="AI410" s="10"/>
      <c r="AJ410" s="11" t="e">
        <f t="shared" si="100"/>
        <v>#DIV/0!</v>
      </c>
      <c r="AK410" s="11" t="e">
        <f t="shared" si="101"/>
        <v>#DIV/0!</v>
      </c>
      <c r="AL410" s="11" t="e">
        <f t="shared" si="102"/>
        <v>#DIV/0!</v>
      </c>
    </row>
    <row r="411" spans="2:38" x14ac:dyDescent="0.2">
      <c r="B411" s="4"/>
      <c r="C411" s="4"/>
      <c r="D411" s="4"/>
      <c r="E411" s="4"/>
      <c r="F411" s="4"/>
      <c r="G411" s="4"/>
      <c r="H411" s="4"/>
      <c r="I411" s="4"/>
      <c r="J411" s="9" t="e">
        <f t="shared" si="90"/>
        <v>#DIV/0!</v>
      </c>
      <c r="K411" s="4"/>
      <c r="L411" s="4"/>
      <c r="M411" s="4"/>
      <c r="N411" s="4"/>
      <c r="O411" s="7"/>
      <c r="P411" s="7"/>
      <c r="Q411" s="4"/>
      <c r="R411" s="9" t="e">
        <f t="shared" si="91"/>
        <v>#DIV/0!</v>
      </c>
      <c r="S411" s="4" t="s">
        <v>150</v>
      </c>
      <c r="T411" s="4"/>
      <c r="U411" s="10"/>
      <c r="V411" s="10"/>
      <c r="W411" s="10"/>
      <c r="X411" s="10"/>
      <c r="Y411" s="10"/>
      <c r="Z411" s="10"/>
      <c r="AA411" s="11" t="e">
        <f t="shared" si="92"/>
        <v>#DIV/0!</v>
      </c>
      <c r="AB411" s="11">
        <f t="shared" si="93"/>
        <v>9</v>
      </c>
      <c r="AC411" s="11">
        <f t="shared" si="94"/>
        <v>8</v>
      </c>
      <c r="AD411" s="11" t="e">
        <f t="shared" si="95"/>
        <v>#DIV/0!</v>
      </c>
      <c r="AE411" s="11" t="e">
        <f t="shared" si="96"/>
        <v>#DIV/0!</v>
      </c>
      <c r="AF411" s="11" t="e">
        <f t="shared" si="97"/>
        <v>#DIV/0!</v>
      </c>
      <c r="AG411" s="11" t="e">
        <f t="shared" si="98"/>
        <v>#DIV/0!</v>
      </c>
      <c r="AH411" s="11" t="e">
        <f t="shared" si="99"/>
        <v>#DIV/0!</v>
      </c>
      <c r="AI411" s="10"/>
      <c r="AJ411" s="11" t="e">
        <f t="shared" si="100"/>
        <v>#DIV/0!</v>
      </c>
      <c r="AK411" s="11" t="e">
        <f t="shared" si="101"/>
        <v>#DIV/0!</v>
      </c>
      <c r="AL411" s="11" t="e">
        <f t="shared" si="102"/>
        <v>#DIV/0!</v>
      </c>
    </row>
    <row r="412" spans="2:38" x14ac:dyDescent="0.2">
      <c r="B412" s="4"/>
      <c r="C412" s="4"/>
      <c r="D412" s="4"/>
      <c r="E412" s="4"/>
      <c r="F412" s="4"/>
      <c r="G412" s="4"/>
      <c r="H412" s="4"/>
      <c r="I412" s="4"/>
      <c r="J412" s="9" t="e">
        <f t="shared" si="90"/>
        <v>#DIV/0!</v>
      </c>
      <c r="K412" s="4"/>
      <c r="L412" s="4"/>
      <c r="M412" s="4"/>
      <c r="N412" s="4"/>
      <c r="O412" s="7"/>
      <c r="P412" s="7"/>
      <c r="Q412" s="4"/>
      <c r="R412" s="9" t="e">
        <f t="shared" si="91"/>
        <v>#DIV/0!</v>
      </c>
      <c r="S412" s="4" t="s">
        <v>150</v>
      </c>
      <c r="T412" s="4"/>
      <c r="U412" s="10"/>
      <c r="V412" s="10"/>
      <c r="W412" s="10"/>
      <c r="X412" s="10"/>
      <c r="Y412" s="10"/>
      <c r="Z412" s="10"/>
      <c r="AA412" s="11" t="e">
        <f t="shared" si="92"/>
        <v>#DIV/0!</v>
      </c>
      <c r="AB412" s="11">
        <f t="shared" si="93"/>
        <v>9</v>
      </c>
      <c r="AC412" s="11">
        <f t="shared" si="94"/>
        <v>8</v>
      </c>
      <c r="AD412" s="11" t="e">
        <f t="shared" si="95"/>
        <v>#DIV/0!</v>
      </c>
      <c r="AE412" s="11" t="e">
        <f t="shared" si="96"/>
        <v>#DIV/0!</v>
      </c>
      <c r="AF412" s="11" t="e">
        <f t="shared" si="97"/>
        <v>#DIV/0!</v>
      </c>
      <c r="AG412" s="11" t="e">
        <f t="shared" si="98"/>
        <v>#DIV/0!</v>
      </c>
      <c r="AH412" s="11" t="e">
        <f t="shared" si="99"/>
        <v>#DIV/0!</v>
      </c>
      <c r="AI412" s="10"/>
      <c r="AJ412" s="11" t="e">
        <f t="shared" si="100"/>
        <v>#DIV/0!</v>
      </c>
      <c r="AK412" s="11" t="e">
        <f t="shared" si="101"/>
        <v>#DIV/0!</v>
      </c>
      <c r="AL412" s="11" t="e">
        <f t="shared" si="102"/>
        <v>#DIV/0!</v>
      </c>
    </row>
    <row r="413" spans="2:38" x14ac:dyDescent="0.2">
      <c r="B413" s="4"/>
      <c r="C413" s="4"/>
      <c r="D413" s="4"/>
      <c r="E413" s="4"/>
      <c r="F413" s="4"/>
      <c r="G413" s="4"/>
      <c r="H413" s="4"/>
      <c r="I413" s="4"/>
      <c r="J413" s="9" t="e">
        <f t="shared" si="90"/>
        <v>#DIV/0!</v>
      </c>
      <c r="K413" s="4"/>
      <c r="L413" s="4"/>
      <c r="M413" s="4"/>
      <c r="N413" s="4"/>
      <c r="O413" s="7"/>
      <c r="P413" s="7"/>
      <c r="Q413" s="4"/>
      <c r="R413" s="9" t="e">
        <f t="shared" si="91"/>
        <v>#DIV/0!</v>
      </c>
      <c r="S413" s="4" t="s">
        <v>150</v>
      </c>
      <c r="T413" s="4"/>
      <c r="U413" s="10"/>
      <c r="V413" s="10"/>
      <c r="W413" s="10"/>
      <c r="X413" s="10"/>
      <c r="Y413" s="10"/>
      <c r="Z413" s="10"/>
      <c r="AA413" s="11" t="e">
        <f t="shared" si="92"/>
        <v>#DIV/0!</v>
      </c>
      <c r="AB413" s="11">
        <f t="shared" si="93"/>
        <v>9</v>
      </c>
      <c r="AC413" s="11">
        <f t="shared" si="94"/>
        <v>8</v>
      </c>
      <c r="AD413" s="11" t="e">
        <f t="shared" si="95"/>
        <v>#DIV/0!</v>
      </c>
      <c r="AE413" s="11" t="e">
        <f t="shared" si="96"/>
        <v>#DIV/0!</v>
      </c>
      <c r="AF413" s="11" t="e">
        <f t="shared" si="97"/>
        <v>#DIV/0!</v>
      </c>
      <c r="AG413" s="11" t="e">
        <f t="shared" si="98"/>
        <v>#DIV/0!</v>
      </c>
      <c r="AH413" s="11" t="e">
        <f t="shared" si="99"/>
        <v>#DIV/0!</v>
      </c>
      <c r="AI413" s="10"/>
      <c r="AJ413" s="11" t="e">
        <f t="shared" si="100"/>
        <v>#DIV/0!</v>
      </c>
      <c r="AK413" s="11" t="e">
        <f t="shared" si="101"/>
        <v>#DIV/0!</v>
      </c>
      <c r="AL413" s="11" t="e">
        <f t="shared" si="102"/>
        <v>#DIV/0!</v>
      </c>
    </row>
    <row r="414" spans="2:38" x14ac:dyDescent="0.2">
      <c r="B414" s="4"/>
      <c r="C414" s="4"/>
      <c r="D414" s="4"/>
      <c r="E414" s="4"/>
      <c r="F414" s="4"/>
      <c r="G414" s="4"/>
      <c r="H414" s="4"/>
      <c r="I414" s="4"/>
      <c r="J414" s="9" t="e">
        <f t="shared" si="90"/>
        <v>#DIV/0!</v>
      </c>
      <c r="K414" s="4"/>
      <c r="L414" s="4"/>
      <c r="M414" s="4"/>
      <c r="N414" s="4"/>
      <c r="O414" s="7"/>
      <c r="P414" s="7"/>
      <c r="Q414" s="4"/>
      <c r="R414" s="9" t="e">
        <f t="shared" si="91"/>
        <v>#DIV/0!</v>
      </c>
      <c r="S414" s="4" t="s">
        <v>151</v>
      </c>
      <c r="T414" s="4"/>
      <c r="U414" s="10"/>
      <c r="V414" s="10"/>
      <c r="W414" s="10"/>
      <c r="X414" s="10"/>
      <c r="Y414" s="10"/>
      <c r="Z414" s="10"/>
      <c r="AA414" s="11" t="e">
        <f t="shared" si="92"/>
        <v>#DIV/0!</v>
      </c>
      <c r="AB414" s="11">
        <f t="shared" si="93"/>
        <v>9</v>
      </c>
      <c r="AC414" s="11">
        <f t="shared" si="94"/>
        <v>8</v>
      </c>
      <c r="AD414" s="11" t="e">
        <f t="shared" si="95"/>
        <v>#DIV/0!</v>
      </c>
      <c r="AE414" s="11" t="e">
        <f t="shared" si="96"/>
        <v>#DIV/0!</v>
      </c>
      <c r="AF414" s="11" t="e">
        <f t="shared" si="97"/>
        <v>#DIV/0!</v>
      </c>
      <c r="AG414" s="11" t="e">
        <f t="shared" si="98"/>
        <v>#DIV/0!</v>
      </c>
      <c r="AH414" s="11" t="e">
        <f t="shared" si="99"/>
        <v>#DIV/0!</v>
      </c>
      <c r="AI414" s="10"/>
      <c r="AJ414" s="11" t="e">
        <f t="shared" si="100"/>
        <v>#DIV/0!</v>
      </c>
      <c r="AK414" s="11" t="e">
        <f t="shared" si="101"/>
        <v>#DIV/0!</v>
      </c>
      <c r="AL414" s="11" t="e">
        <f t="shared" si="102"/>
        <v>#DIV/0!</v>
      </c>
    </row>
    <row r="415" spans="2:38" x14ac:dyDescent="0.2">
      <c r="B415" s="4"/>
      <c r="C415" s="4"/>
      <c r="D415" s="4"/>
      <c r="E415" s="4"/>
      <c r="F415" s="4"/>
      <c r="G415" s="4"/>
      <c r="H415" s="4"/>
      <c r="I415" s="4"/>
      <c r="J415" s="9" t="e">
        <f t="shared" si="90"/>
        <v>#DIV/0!</v>
      </c>
      <c r="K415" s="4"/>
      <c r="L415" s="4"/>
      <c r="M415" s="4"/>
      <c r="N415" s="4"/>
      <c r="O415" s="7"/>
      <c r="P415" s="7"/>
      <c r="Q415" s="4"/>
      <c r="R415" s="9" t="e">
        <f t="shared" si="91"/>
        <v>#DIV/0!</v>
      </c>
      <c r="S415" s="4" t="s">
        <v>151</v>
      </c>
      <c r="T415" s="4"/>
      <c r="U415" s="10"/>
      <c r="V415" s="10"/>
      <c r="W415" s="10"/>
      <c r="X415" s="10"/>
      <c r="Y415" s="10"/>
      <c r="Z415" s="10"/>
      <c r="AA415" s="11" t="e">
        <f t="shared" si="92"/>
        <v>#DIV/0!</v>
      </c>
      <c r="AB415" s="11">
        <f t="shared" si="93"/>
        <v>9</v>
      </c>
      <c r="AC415" s="11">
        <f t="shared" si="94"/>
        <v>8</v>
      </c>
      <c r="AD415" s="11" t="e">
        <f t="shared" si="95"/>
        <v>#DIV/0!</v>
      </c>
      <c r="AE415" s="11" t="e">
        <f t="shared" si="96"/>
        <v>#DIV/0!</v>
      </c>
      <c r="AF415" s="11" t="e">
        <f t="shared" si="97"/>
        <v>#DIV/0!</v>
      </c>
      <c r="AG415" s="11" t="e">
        <f t="shared" si="98"/>
        <v>#DIV/0!</v>
      </c>
      <c r="AH415" s="11" t="e">
        <f t="shared" si="99"/>
        <v>#DIV/0!</v>
      </c>
      <c r="AI415" s="10"/>
      <c r="AJ415" s="11" t="e">
        <f t="shared" si="100"/>
        <v>#DIV/0!</v>
      </c>
      <c r="AK415" s="11" t="e">
        <f t="shared" si="101"/>
        <v>#DIV/0!</v>
      </c>
      <c r="AL415" s="11" t="e">
        <f t="shared" si="102"/>
        <v>#DIV/0!</v>
      </c>
    </row>
    <row r="416" spans="2:38" x14ac:dyDescent="0.2">
      <c r="B416" s="4"/>
      <c r="C416" s="4"/>
      <c r="D416" s="4"/>
      <c r="E416" s="4"/>
      <c r="F416" s="4"/>
      <c r="G416" s="4"/>
      <c r="H416" s="4"/>
      <c r="I416" s="4"/>
      <c r="J416" s="9" t="e">
        <f t="shared" si="90"/>
        <v>#DIV/0!</v>
      </c>
      <c r="K416" s="4"/>
      <c r="L416" s="4"/>
      <c r="M416" s="4"/>
      <c r="N416" s="4"/>
      <c r="O416" s="7"/>
      <c r="P416" s="7"/>
      <c r="Q416" s="4"/>
      <c r="R416" s="9" t="e">
        <f t="shared" si="91"/>
        <v>#DIV/0!</v>
      </c>
      <c r="S416" s="4" t="s">
        <v>151</v>
      </c>
      <c r="T416" s="4"/>
      <c r="U416" s="10"/>
      <c r="V416" s="10"/>
      <c r="W416" s="10"/>
      <c r="X416" s="10"/>
      <c r="Y416" s="10"/>
      <c r="Z416" s="10"/>
      <c r="AA416" s="11" t="e">
        <f t="shared" si="92"/>
        <v>#DIV/0!</v>
      </c>
      <c r="AB416" s="11">
        <f t="shared" si="93"/>
        <v>9</v>
      </c>
      <c r="AC416" s="11">
        <f t="shared" si="94"/>
        <v>8</v>
      </c>
      <c r="AD416" s="11" t="e">
        <f t="shared" si="95"/>
        <v>#DIV/0!</v>
      </c>
      <c r="AE416" s="11" t="e">
        <f t="shared" si="96"/>
        <v>#DIV/0!</v>
      </c>
      <c r="AF416" s="11" t="e">
        <f t="shared" si="97"/>
        <v>#DIV/0!</v>
      </c>
      <c r="AG416" s="11" t="e">
        <f t="shared" si="98"/>
        <v>#DIV/0!</v>
      </c>
      <c r="AH416" s="11" t="e">
        <f t="shared" si="99"/>
        <v>#DIV/0!</v>
      </c>
      <c r="AI416" s="10"/>
      <c r="AJ416" s="11" t="e">
        <f t="shared" si="100"/>
        <v>#DIV/0!</v>
      </c>
      <c r="AK416" s="11" t="e">
        <f t="shared" si="101"/>
        <v>#DIV/0!</v>
      </c>
      <c r="AL416" s="11" t="e">
        <f t="shared" si="102"/>
        <v>#DIV/0!</v>
      </c>
    </row>
    <row r="417" spans="2:38" x14ac:dyDescent="0.2">
      <c r="B417" s="4"/>
      <c r="C417" s="4"/>
      <c r="D417" s="4"/>
      <c r="E417" s="4"/>
      <c r="F417" s="4"/>
      <c r="G417" s="4"/>
      <c r="H417" s="4"/>
      <c r="I417" s="4"/>
      <c r="J417" s="9" t="e">
        <f t="shared" si="90"/>
        <v>#DIV/0!</v>
      </c>
      <c r="K417" s="4"/>
      <c r="L417" s="4"/>
      <c r="M417" s="4"/>
      <c r="N417" s="4"/>
      <c r="O417" s="7"/>
      <c r="P417" s="7"/>
      <c r="Q417" s="4"/>
      <c r="R417" s="9" t="e">
        <f t="shared" si="91"/>
        <v>#DIV/0!</v>
      </c>
      <c r="S417" s="4" t="s">
        <v>151</v>
      </c>
      <c r="T417" s="4"/>
      <c r="U417" s="10"/>
      <c r="V417" s="10"/>
      <c r="W417" s="10"/>
      <c r="X417" s="10"/>
      <c r="Y417" s="10"/>
      <c r="Z417" s="10"/>
      <c r="AA417" s="11" t="e">
        <f t="shared" si="92"/>
        <v>#DIV/0!</v>
      </c>
      <c r="AB417" s="11">
        <f t="shared" si="93"/>
        <v>9</v>
      </c>
      <c r="AC417" s="11">
        <f t="shared" si="94"/>
        <v>8</v>
      </c>
      <c r="AD417" s="11" t="e">
        <f t="shared" si="95"/>
        <v>#DIV/0!</v>
      </c>
      <c r="AE417" s="11" t="e">
        <f t="shared" si="96"/>
        <v>#DIV/0!</v>
      </c>
      <c r="AF417" s="11" t="e">
        <f t="shared" si="97"/>
        <v>#DIV/0!</v>
      </c>
      <c r="AG417" s="11" t="e">
        <f t="shared" si="98"/>
        <v>#DIV/0!</v>
      </c>
      <c r="AH417" s="11" t="e">
        <f t="shared" si="99"/>
        <v>#DIV/0!</v>
      </c>
      <c r="AI417" s="10"/>
      <c r="AJ417" s="11" t="e">
        <f t="shared" si="100"/>
        <v>#DIV/0!</v>
      </c>
      <c r="AK417" s="11" t="e">
        <f t="shared" si="101"/>
        <v>#DIV/0!</v>
      </c>
      <c r="AL417" s="11" t="e">
        <f t="shared" si="102"/>
        <v>#DIV/0!</v>
      </c>
    </row>
    <row r="418" spans="2:38" x14ac:dyDescent="0.2">
      <c r="B418" s="4"/>
      <c r="C418" s="4"/>
      <c r="D418" s="4"/>
      <c r="E418" s="4"/>
      <c r="F418" s="4"/>
      <c r="G418" s="4"/>
      <c r="H418" s="4"/>
      <c r="I418" s="4"/>
      <c r="J418" s="9" t="e">
        <f t="shared" si="90"/>
        <v>#DIV/0!</v>
      </c>
      <c r="K418" s="4"/>
      <c r="L418" s="4"/>
      <c r="M418" s="4"/>
      <c r="N418" s="4"/>
      <c r="O418" s="7"/>
      <c r="P418" s="7"/>
      <c r="Q418" s="4"/>
      <c r="R418" s="9" t="e">
        <f t="shared" si="91"/>
        <v>#DIV/0!</v>
      </c>
      <c r="S418" s="4" t="s">
        <v>151</v>
      </c>
      <c r="T418" s="4"/>
      <c r="U418" s="10"/>
      <c r="V418" s="10"/>
      <c r="W418" s="10"/>
      <c r="X418" s="10"/>
      <c r="Y418" s="10"/>
      <c r="Z418" s="10"/>
      <c r="AA418" s="11" t="e">
        <f t="shared" si="92"/>
        <v>#DIV/0!</v>
      </c>
      <c r="AB418" s="11">
        <f t="shared" si="93"/>
        <v>9</v>
      </c>
      <c r="AC418" s="11">
        <f t="shared" si="94"/>
        <v>8</v>
      </c>
      <c r="AD418" s="11" t="e">
        <f t="shared" si="95"/>
        <v>#DIV/0!</v>
      </c>
      <c r="AE418" s="11" t="e">
        <f t="shared" si="96"/>
        <v>#DIV/0!</v>
      </c>
      <c r="AF418" s="11" t="e">
        <f t="shared" si="97"/>
        <v>#DIV/0!</v>
      </c>
      <c r="AG418" s="11" t="e">
        <f t="shared" si="98"/>
        <v>#DIV/0!</v>
      </c>
      <c r="AH418" s="11" t="e">
        <f t="shared" si="99"/>
        <v>#DIV/0!</v>
      </c>
      <c r="AI418" s="10"/>
      <c r="AJ418" s="11" t="e">
        <f t="shared" si="100"/>
        <v>#DIV/0!</v>
      </c>
      <c r="AK418" s="11" t="e">
        <f t="shared" si="101"/>
        <v>#DIV/0!</v>
      </c>
      <c r="AL418" s="11" t="e">
        <f t="shared" si="102"/>
        <v>#DIV/0!</v>
      </c>
    </row>
    <row r="419" spans="2:38" x14ac:dyDescent="0.2">
      <c r="B419" s="4"/>
      <c r="C419" s="4"/>
      <c r="D419" s="4"/>
      <c r="E419" s="4"/>
      <c r="F419" s="4"/>
      <c r="G419" s="4"/>
      <c r="H419" s="4"/>
      <c r="I419" s="4"/>
      <c r="J419" s="9" t="e">
        <f t="shared" si="90"/>
        <v>#DIV/0!</v>
      </c>
      <c r="K419" s="4"/>
      <c r="L419" s="4"/>
      <c r="M419" s="4"/>
      <c r="N419" s="4"/>
      <c r="O419" s="7"/>
      <c r="P419" s="7"/>
      <c r="Q419" s="4"/>
      <c r="R419" s="9" t="e">
        <f t="shared" si="91"/>
        <v>#DIV/0!</v>
      </c>
      <c r="S419" s="4" t="s">
        <v>151</v>
      </c>
      <c r="T419" s="4"/>
      <c r="U419" s="10"/>
      <c r="V419" s="10"/>
      <c r="W419" s="10"/>
      <c r="X419" s="10"/>
      <c r="Y419" s="10"/>
      <c r="Z419" s="10"/>
      <c r="AA419" s="11" t="e">
        <f t="shared" si="92"/>
        <v>#DIV/0!</v>
      </c>
      <c r="AB419" s="11">
        <f t="shared" si="93"/>
        <v>9</v>
      </c>
      <c r="AC419" s="11">
        <f t="shared" si="94"/>
        <v>8</v>
      </c>
      <c r="AD419" s="11" t="e">
        <f t="shared" si="95"/>
        <v>#DIV/0!</v>
      </c>
      <c r="AE419" s="11" t="e">
        <f t="shared" si="96"/>
        <v>#DIV/0!</v>
      </c>
      <c r="AF419" s="11" t="e">
        <f t="shared" si="97"/>
        <v>#DIV/0!</v>
      </c>
      <c r="AG419" s="11" t="e">
        <f t="shared" si="98"/>
        <v>#DIV/0!</v>
      </c>
      <c r="AH419" s="11" t="e">
        <f t="shared" si="99"/>
        <v>#DIV/0!</v>
      </c>
      <c r="AI419" s="10"/>
      <c r="AJ419" s="11" t="e">
        <f t="shared" si="100"/>
        <v>#DIV/0!</v>
      </c>
      <c r="AK419" s="11" t="e">
        <f t="shared" si="101"/>
        <v>#DIV/0!</v>
      </c>
      <c r="AL419" s="11" t="e">
        <f t="shared" si="102"/>
        <v>#DIV/0!</v>
      </c>
    </row>
    <row r="420" spans="2:38" x14ac:dyDescent="0.2">
      <c r="B420" s="4"/>
      <c r="C420" s="4"/>
      <c r="D420" s="4"/>
      <c r="E420" s="4"/>
      <c r="F420" s="4"/>
      <c r="G420" s="4"/>
      <c r="H420" s="4"/>
      <c r="I420" s="4"/>
      <c r="J420" s="9" t="e">
        <f t="shared" si="90"/>
        <v>#DIV/0!</v>
      </c>
      <c r="K420" s="4"/>
      <c r="L420" s="4"/>
      <c r="M420" s="4"/>
      <c r="N420" s="4"/>
      <c r="O420" s="7"/>
      <c r="P420" s="7"/>
      <c r="Q420" s="4"/>
      <c r="R420" s="9" t="e">
        <f t="shared" si="91"/>
        <v>#DIV/0!</v>
      </c>
      <c r="S420" s="4" t="s">
        <v>151</v>
      </c>
      <c r="T420" s="4"/>
      <c r="U420" s="10"/>
      <c r="V420" s="10"/>
      <c r="W420" s="10"/>
      <c r="X420" s="10"/>
      <c r="Y420" s="10"/>
      <c r="Z420" s="10"/>
      <c r="AA420" s="11" t="e">
        <f t="shared" si="92"/>
        <v>#DIV/0!</v>
      </c>
      <c r="AB420" s="11">
        <f t="shared" si="93"/>
        <v>9</v>
      </c>
      <c r="AC420" s="11">
        <f t="shared" si="94"/>
        <v>8</v>
      </c>
      <c r="AD420" s="11" t="e">
        <f t="shared" si="95"/>
        <v>#DIV/0!</v>
      </c>
      <c r="AE420" s="11" t="e">
        <f t="shared" si="96"/>
        <v>#DIV/0!</v>
      </c>
      <c r="AF420" s="11" t="e">
        <f t="shared" si="97"/>
        <v>#DIV/0!</v>
      </c>
      <c r="AG420" s="11" t="e">
        <f t="shared" si="98"/>
        <v>#DIV/0!</v>
      </c>
      <c r="AH420" s="11" t="e">
        <f t="shared" si="99"/>
        <v>#DIV/0!</v>
      </c>
      <c r="AI420" s="10"/>
      <c r="AJ420" s="11" t="e">
        <f t="shared" si="100"/>
        <v>#DIV/0!</v>
      </c>
      <c r="AK420" s="11" t="e">
        <f t="shared" si="101"/>
        <v>#DIV/0!</v>
      </c>
      <c r="AL420" s="11" t="e">
        <f t="shared" si="102"/>
        <v>#DIV/0!</v>
      </c>
    </row>
    <row r="421" spans="2:38" x14ac:dyDescent="0.2">
      <c r="B421" s="4"/>
      <c r="C421" s="4"/>
      <c r="D421" s="4"/>
      <c r="E421" s="4"/>
      <c r="F421" s="4"/>
      <c r="G421" s="4"/>
      <c r="H421" s="4"/>
      <c r="I421" s="4"/>
      <c r="J421" s="9" t="e">
        <f t="shared" si="90"/>
        <v>#DIV/0!</v>
      </c>
      <c r="K421" s="4"/>
      <c r="L421" s="4"/>
      <c r="M421" s="4"/>
      <c r="N421" s="4"/>
      <c r="O421" s="7"/>
      <c r="P421" s="7"/>
      <c r="Q421" s="4"/>
      <c r="R421" s="9" t="e">
        <f t="shared" si="91"/>
        <v>#DIV/0!</v>
      </c>
      <c r="S421" s="4" t="s">
        <v>151</v>
      </c>
      <c r="T421" s="4"/>
      <c r="U421" s="10"/>
      <c r="V421" s="10"/>
      <c r="W421" s="10"/>
      <c r="X421" s="10"/>
      <c r="Y421" s="10"/>
      <c r="Z421" s="10"/>
      <c r="AA421" s="11" t="e">
        <f t="shared" si="92"/>
        <v>#DIV/0!</v>
      </c>
      <c r="AB421" s="11">
        <f t="shared" si="93"/>
        <v>9</v>
      </c>
      <c r="AC421" s="11">
        <f t="shared" si="94"/>
        <v>8</v>
      </c>
      <c r="AD421" s="11" t="e">
        <f t="shared" si="95"/>
        <v>#DIV/0!</v>
      </c>
      <c r="AE421" s="11" t="e">
        <f t="shared" si="96"/>
        <v>#DIV/0!</v>
      </c>
      <c r="AF421" s="11" t="e">
        <f t="shared" si="97"/>
        <v>#DIV/0!</v>
      </c>
      <c r="AG421" s="11" t="e">
        <f t="shared" si="98"/>
        <v>#DIV/0!</v>
      </c>
      <c r="AH421" s="11" t="e">
        <f t="shared" si="99"/>
        <v>#DIV/0!</v>
      </c>
      <c r="AI421" s="10"/>
      <c r="AJ421" s="11" t="e">
        <f t="shared" si="100"/>
        <v>#DIV/0!</v>
      </c>
      <c r="AK421" s="11" t="e">
        <f t="shared" si="101"/>
        <v>#DIV/0!</v>
      </c>
      <c r="AL421" s="11" t="e">
        <f t="shared" si="102"/>
        <v>#DIV/0!</v>
      </c>
    </row>
    <row r="422" spans="2:38" x14ac:dyDescent="0.2">
      <c r="B422" s="4"/>
      <c r="C422" s="4"/>
      <c r="D422" s="4"/>
      <c r="E422" s="4"/>
      <c r="F422" s="4"/>
      <c r="G422" s="4"/>
      <c r="H422" s="4"/>
      <c r="I422" s="4"/>
      <c r="J422" s="9" t="e">
        <f t="shared" si="90"/>
        <v>#DIV/0!</v>
      </c>
      <c r="K422" s="4"/>
      <c r="L422" s="4"/>
      <c r="M422" s="4"/>
      <c r="N422" s="4"/>
      <c r="O422" s="7"/>
      <c r="P422" s="7"/>
      <c r="Q422" s="4"/>
      <c r="R422" s="9" t="e">
        <f t="shared" si="91"/>
        <v>#DIV/0!</v>
      </c>
      <c r="S422" s="4" t="s">
        <v>151</v>
      </c>
      <c r="T422" s="4"/>
      <c r="U422" s="10"/>
      <c r="V422" s="10"/>
      <c r="W422" s="10"/>
      <c r="X422" s="10"/>
      <c r="Y422" s="10"/>
      <c r="Z422" s="10"/>
      <c r="AA422" s="11" t="e">
        <f t="shared" si="92"/>
        <v>#DIV/0!</v>
      </c>
      <c r="AB422" s="11">
        <f t="shared" si="93"/>
        <v>9</v>
      </c>
      <c r="AC422" s="11">
        <f t="shared" si="94"/>
        <v>8</v>
      </c>
      <c r="AD422" s="11" t="e">
        <f t="shared" si="95"/>
        <v>#DIV/0!</v>
      </c>
      <c r="AE422" s="11" t="e">
        <f t="shared" si="96"/>
        <v>#DIV/0!</v>
      </c>
      <c r="AF422" s="11" t="e">
        <f t="shared" si="97"/>
        <v>#DIV/0!</v>
      </c>
      <c r="AG422" s="11" t="e">
        <f t="shared" si="98"/>
        <v>#DIV/0!</v>
      </c>
      <c r="AH422" s="11" t="e">
        <f t="shared" si="99"/>
        <v>#DIV/0!</v>
      </c>
      <c r="AI422" s="10"/>
      <c r="AJ422" s="11" t="e">
        <f t="shared" si="100"/>
        <v>#DIV/0!</v>
      </c>
      <c r="AK422" s="11" t="e">
        <f t="shared" si="101"/>
        <v>#DIV/0!</v>
      </c>
      <c r="AL422" s="11" t="e">
        <f t="shared" si="102"/>
        <v>#DIV/0!</v>
      </c>
    </row>
    <row r="423" spans="2:38" x14ac:dyDescent="0.2">
      <c r="B423" s="4"/>
      <c r="C423" s="4"/>
      <c r="D423" s="4"/>
      <c r="E423" s="4"/>
      <c r="F423" s="4"/>
      <c r="G423" s="4"/>
      <c r="H423" s="4"/>
      <c r="I423" s="4"/>
      <c r="J423" s="9" t="e">
        <f t="shared" si="90"/>
        <v>#DIV/0!</v>
      </c>
      <c r="K423" s="4"/>
      <c r="L423" s="4"/>
      <c r="M423" s="4"/>
      <c r="N423" s="4"/>
      <c r="O423" s="7"/>
      <c r="P423" s="7"/>
      <c r="Q423" s="4"/>
      <c r="R423" s="9" t="e">
        <f t="shared" si="91"/>
        <v>#DIV/0!</v>
      </c>
      <c r="S423" s="4" t="s">
        <v>151</v>
      </c>
      <c r="T423" s="4"/>
      <c r="U423" s="10"/>
      <c r="V423" s="10"/>
      <c r="W423" s="10"/>
      <c r="X423" s="10"/>
      <c r="Y423" s="10"/>
      <c r="Z423" s="10"/>
      <c r="AA423" s="11" t="e">
        <f t="shared" si="92"/>
        <v>#DIV/0!</v>
      </c>
      <c r="AB423" s="11">
        <f t="shared" si="93"/>
        <v>9</v>
      </c>
      <c r="AC423" s="11">
        <f t="shared" si="94"/>
        <v>8</v>
      </c>
      <c r="AD423" s="11" t="e">
        <f t="shared" si="95"/>
        <v>#DIV/0!</v>
      </c>
      <c r="AE423" s="11" t="e">
        <f t="shared" si="96"/>
        <v>#DIV/0!</v>
      </c>
      <c r="AF423" s="11" t="e">
        <f t="shared" si="97"/>
        <v>#DIV/0!</v>
      </c>
      <c r="AG423" s="11" t="e">
        <f t="shared" si="98"/>
        <v>#DIV/0!</v>
      </c>
      <c r="AH423" s="11" t="e">
        <f t="shared" si="99"/>
        <v>#DIV/0!</v>
      </c>
      <c r="AI423" s="10"/>
      <c r="AJ423" s="11" t="e">
        <f t="shared" si="100"/>
        <v>#DIV/0!</v>
      </c>
      <c r="AK423" s="11" t="e">
        <f t="shared" si="101"/>
        <v>#DIV/0!</v>
      </c>
      <c r="AL423" s="11" t="e">
        <f t="shared" si="102"/>
        <v>#DIV/0!</v>
      </c>
    </row>
    <row r="424" spans="2:38" x14ac:dyDescent="0.2">
      <c r="B424" s="4"/>
      <c r="C424" s="4"/>
      <c r="D424" s="4"/>
      <c r="E424" s="4"/>
      <c r="F424" s="4"/>
      <c r="G424" s="4"/>
      <c r="H424" s="4"/>
      <c r="I424" s="4"/>
      <c r="J424" s="9" t="e">
        <f t="shared" si="90"/>
        <v>#DIV/0!</v>
      </c>
      <c r="K424" s="4"/>
      <c r="L424" s="4"/>
      <c r="M424" s="4"/>
      <c r="N424" s="4"/>
      <c r="O424" s="7"/>
      <c r="P424" s="7"/>
      <c r="Q424" s="4"/>
      <c r="R424" s="9" t="e">
        <f t="shared" si="91"/>
        <v>#DIV/0!</v>
      </c>
      <c r="S424" s="4" t="s">
        <v>151</v>
      </c>
      <c r="T424" s="4"/>
      <c r="U424" s="10"/>
      <c r="V424" s="10"/>
      <c r="W424" s="10"/>
      <c r="X424" s="10"/>
      <c r="Y424" s="10"/>
      <c r="Z424" s="10"/>
      <c r="AA424" s="11" t="e">
        <f t="shared" si="92"/>
        <v>#DIV/0!</v>
      </c>
      <c r="AB424" s="11">
        <f t="shared" si="93"/>
        <v>9</v>
      </c>
      <c r="AC424" s="11">
        <f t="shared" si="94"/>
        <v>8</v>
      </c>
      <c r="AD424" s="11" t="e">
        <f t="shared" si="95"/>
        <v>#DIV/0!</v>
      </c>
      <c r="AE424" s="11" t="e">
        <f t="shared" si="96"/>
        <v>#DIV/0!</v>
      </c>
      <c r="AF424" s="11" t="e">
        <f t="shared" si="97"/>
        <v>#DIV/0!</v>
      </c>
      <c r="AG424" s="11" t="e">
        <f t="shared" si="98"/>
        <v>#DIV/0!</v>
      </c>
      <c r="AH424" s="11" t="e">
        <f t="shared" si="99"/>
        <v>#DIV/0!</v>
      </c>
      <c r="AI424" s="10"/>
      <c r="AJ424" s="11" t="e">
        <f t="shared" si="100"/>
        <v>#DIV/0!</v>
      </c>
      <c r="AK424" s="11" t="e">
        <f t="shared" si="101"/>
        <v>#DIV/0!</v>
      </c>
      <c r="AL424" s="11" t="e">
        <f t="shared" si="102"/>
        <v>#DIV/0!</v>
      </c>
    </row>
    <row r="425" spans="2:38" x14ac:dyDescent="0.2">
      <c r="B425" s="4"/>
      <c r="C425" s="4"/>
      <c r="D425" s="4"/>
      <c r="E425" s="4"/>
      <c r="F425" s="4"/>
      <c r="G425" s="4"/>
      <c r="H425" s="4"/>
      <c r="I425" s="4"/>
      <c r="J425" s="9" t="e">
        <f t="shared" si="90"/>
        <v>#DIV/0!</v>
      </c>
      <c r="K425" s="4"/>
      <c r="L425" s="4"/>
      <c r="M425" s="4"/>
      <c r="N425" s="4"/>
      <c r="O425" s="7"/>
      <c r="P425" s="7"/>
      <c r="Q425" s="4"/>
      <c r="R425" s="9" t="e">
        <f t="shared" si="91"/>
        <v>#DIV/0!</v>
      </c>
      <c r="S425" s="4" t="s">
        <v>151</v>
      </c>
      <c r="T425" s="4"/>
      <c r="U425" s="10"/>
      <c r="V425" s="10"/>
      <c r="W425" s="10"/>
      <c r="X425" s="10"/>
      <c r="Y425" s="10"/>
      <c r="Z425" s="10"/>
      <c r="AA425" s="11" t="e">
        <f t="shared" si="92"/>
        <v>#DIV/0!</v>
      </c>
      <c r="AB425" s="11">
        <f t="shared" si="93"/>
        <v>9</v>
      </c>
      <c r="AC425" s="11">
        <f t="shared" si="94"/>
        <v>8</v>
      </c>
      <c r="AD425" s="11" t="e">
        <f t="shared" si="95"/>
        <v>#DIV/0!</v>
      </c>
      <c r="AE425" s="11" t="e">
        <f t="shared" si="96"/>
        <v>#DIV/0!</v>
      </c>
      <c r="AF425" s="11" t="e">
        <f t="shared" si="97"/>
        <v>#DIV/0!</v>
      </c>
      <c r="AG425" s="11" t="e">
        <f t="shared" si="98"/>
        <v>#DIV/0!</v>
      </c>
      <c r="AH425" s="11" t="e">
        <f t="shared" si="99"/>
        <v>#DIV/0!</v>
      </c>
      <c r="AI425" s="10"/>
      <c r="AJ425" s="11" t="e">
        <f t="shared" si="100"/>
        <v>#DIV/0!</v>
      </c>
      <c r="AK425" s="11" t="e">
        <f t="shared" si="101"/>
        <v>#DIV/0!</v>
      </c>
      <c r="AL425" s="11" t="e">
        <f t="shared" si="102"/>
        <v>#DIV/0!</v>
      </c>
    </row>
    <row r="426" spans="2:38" x14ac:dyDescent="0.2">
      <c r="B426" s="4"/>
      <c r="C426" s="4"/>
      <c r="D426" s="4"/>
      <c r="E426" s="4"/>
      <c r="F426" s="4"/>
      <c r="G426" s="4"/>
      <c r="H426" s="4"/>
      <c r="I426" s="4"/>
      <c r="J426" s="9" t="e">
        <f t="shared" si="90"/>
        <v>#DIV/0!</v>
      </c>
      <c r="K426" s="4"/>
      <c r="L426" s="4"/>
      <c r="M426" s="4"/>
      <c r="N426" s="4"/>
      <c r="O426" s="7"/>
      <c r="P426" s="7"/>
      <c r="Q426" s="4"/>
      <c r="R426" s="9" t="e">
        <f t="shared" si="91"/>
        <v>#DIV/0!</v>
      </c>
      <c r="S426" s="4" t="s">
        <v>151</v>
      </c>
      <c r="T426" s="4"/>
      <c r="U426" s="10"/>
      <c r="V426" s="10"/>
      <c r="W426" s="10"/>
      <c r="X426" s="10"/>
      <c r="Y426" s="10"/>
      <c r="Z426" s="10"/>
      <c r="AA426" s="11" t="e">
        <f t="shared" si="92"/>
        <v>#DIV/0!</v>
      </c>
      <c r="AB426" s="11">
        <f t="shared" si="93"/>
        <v>9</v>
      </c>
      <c r="AC426" s="11">
        <f t="shared" si="94"/>
        <v>8</v>
      </c>
      <c r="AD426" s="11" t="e">
        <f t="shared" si="95"/>
        <v>#DIV/0!</v>
      </c>
      <c r="AE426" s="11" t="e">
        <f t="shared" si="96"/>
        <v>#DIV/0!</v>
      </c>
      <c r="AF426" s="11" t="e">
        <f t="shared" si="97"/>
        <v>#DIV/0!</v>
      </c>
      <c r="AG426" s="11" t="e">
        <f t="shared" si="98"/>
        <v>#DIV/0!</v>
      </c>
      <c r="AH426" s="11" t="e">
        <f t="shared" si="99"/>
        <v>#DIV/0!</v>
      </c>
      <c r="AI426" s="10"/>
      <c r="AJ426" s="11" t="e">
        <f t="shared" si="100"/>
        <v>#DIV/0!</v>
      </c>
      <c r="AK426" s="11" t="e">
        <f t="shared" si="101"/>
        <v>#DIV/0!</v>
      </c>
      <c r="AL426" s="11" t="e">
        <f t="shared" si="102"/>
        <v>#DIV/0!</v>
      </c>
    </row>
    <row r="427" spans="2:38" x14ac:dyDescent="0.2">
      <c r="B427" s="4"/>
      <c r="C427" s="4"/>
      <c r="D427" s="4"/>
      <c r="E427" s="4"/>
      <c r="F427" s="4"/>
      <c r="G427" s="4"/>
      <c r="H427" s="4"/>
      <c r="I427" s="4"/>
      <c r="J427" s="9" t="e">
        <f t="shared" si="90"/>
        <v>#DIV/0!</v>
      </c>
      <c r="K427" s="4"/>
      <c r="L427" s="4"/>
      <c r="M427" s="4"/>
      <c r="N427" s="4"/>
      <c r="O427" s="7"/>
      <c r="P427" s="7"/>
      <c r="Q427" s="4"/>
      <c r="R427" s="9" t="e">
        <f t="shared" si="91"/>
        <v>#DIV/0!</v>
      </c>
      <c r="S427" s="4" t="s">
        <v>151</v>
      </c>
      <c r="T427" s="4"/>
      <c r="U427" s="10"/>
      <c r="V427" s="10"/>
      <c r="W427" s="10"/>
      <c r="X427" s="10"/>
      <c r="Y427" s="10"/>
      <c r="Z427" s="10"/>
      <c r="AA427" s="11" t="e">
        <f t="shared" si="92"/>
        <v>#DIV/0!</v>
      </c>
      <c r="AB427" s="11">
        <f t="shared" si="93"/>
        <v>9</v>
      </c>
      <c r="AC427" s="11">
        <f t="shared" si="94"/>
        <v>8</v>
      </c>
      <c r="AD427" s="11" t="e">
        <f t="shared" si="95"/>
        <v>#DIV/0!</v>
      </c>
      <c r="AE427" s="11" t="e">
        <f t="shared" si="96"/>
        <v>#DIV/0!</v>
      </c>
      <c r="AF427" s="11" t="e">
        <f t="shared" si="97"/>
        <v>#DIV/0!</v>
      </c>
      <c r="AG427" s="11" t="e">
        <f t="shared" si="98"/>
        <v>#DIV/0!</v>
      </c>
      <c r="AH427" s="11" t="e">
        <f t="shared" si="99"/>
        <v>#DIV/0!</v>
      </c>
      <c r="AI427" s="10"/>
      <c r="AJ427" s="11" t="e">
        <f t="shared" si="100"/>
        <v>#DIV/0!</v>
      </c>
      <c r="AK427" s="11" t="e">
        <f t="shared" si="101"/>
        <v>#DIV/0!</v>
      </c>
      <c r="AL427" s="11" t="e">
        <f t="shared" si="102"/>
        <v>#DIV/0!</v>
      </c>
    </row>
    <row r="428" spans="2:38" x14ac:dyDescent="0.2">
      <c r="B428" s="4"/>
      <c r="C428" s="4"/>
      <c r="D428" s="4"/>
      <c r="E428" s="4"/>
      <c r="F428" s="4"/>
      <c r="G428" s="4"/>
      <c r="H428" s="4"/>
      <c r="I428" s="4"/>
      <c r="J428" s="9" t="e">
        <f t="shared" si="90"/>
        <v>#DIV/0!</v>
      </c>
      <c r="K428" s="4"/>
      <c r="L428" s="4"/>
      <c r="M428" s="4"/>
      <c r="N428" s="4"/>
      <c r="O428" s="7"/>
      <c r="P428" s="7"/>
      <c r="Q428" s="4"/>
      <c r="R428" s="9" t="e">
        <f t="shared" si="91"/>
        <v>#DIV/0!</v>
      </c>
      <c r="S428" s="4" t="s">
        <v>152</v>
      </c>
      <c r="T428" s="4"/>
      <c r="U428" s="10"/>
      <c r="V428" s="10"/>
      <c r="W428" s="10"/>
      <c r="X428" s="10"/>
      <c r="Y428" s="10"/>
      <c r="Z428" s="10"/>
      <c r="AA428" s="11" t="e">
        <f t="shared" si="92"/>
        <v>#DIV/0!</v>
      </c>
      <c r="AB428" s="11">
        <f t="shared" si="93"/>
        <v>9</v>
      </c>
      <c r="AC428" s="11">
        <f t="shared" si="94"/>
        <v>8</v>
      </c>
      <c r="AD428" s="11" t="e">
        <f t="shared" si="95"/>
        <v>#DIV/0!</v>
      </c>
      <c r="AE428" s="11" t="e">
        <f t="shared" si="96"/>
        <v>#DIV/0!</v>
      </c>
      <c r="AF428" s="11" t="e">
        <f t="shared" si="97"/>
        <v>#DIV/0!</v>
      </c>
      <c r="AG428" s="11" t="e">
        <f t="shared" si="98"/>
        <v>#DIV/0!</v>
      </c>
      <c r="AH428" s="11" t="e">
        <f t="shared" si="99"/>
        <v>#DIV/0!</v>
      </c>
      <c r="AI428" s="10"/>
      <c r="AJ428" s="11" t="e">
        <f t="shared" si="100"/>
        <v>#DIV/0!</v>
      </c>
      <c r="AK428" s="11" t="e">
        <f t="shared" si="101"/>
        <v>#DIV/0!</v>
      </c>
      <c r="AL428" s="11" t="e">
        <f t="shared" si="102"/>
        <v>#DIV/0!</v>
      </c>
    </row>
    <row r="429" spans="2:38" x14ac:dyDescent="0.2">
      <c r="B429" s="4"/>
      <c r="C429" s="4"/>
      <c r="D429" s="4"/>
      <c r="E429" s="4"/>
      <c r="F429" s="4"/>
      <c r="G429" s="4"/>
      <c r="H429" s="4"/>
      <c r="I429" s="4"/>
      <c r="J429" s="9" t="e">
        <f t="shared" si="90"/>
        <v>#DIV/0!</v>
      </c>
      <c r="K429" s="4"/>
      <c r="L429" s="4"/>
      <c r="M429" s="4"/>
      <c r="N429" s="4"/>
      <c r="O429" s="7"/>
      <c r="P429" s="7"/>
      <c r="Q429" s="4"/>
      <c r="R429" s="9" t="e">
        <f t="shared" si="91"/>
        <v>#DIV/0!</v>
      </c>
      <c r="S429" s="4" t="s">
        <v>152</v>
      </c>
      <c r="T429" s="4"/>
      <c r="U429" s="10"/>
      <c r="V429" s="10"/>
      <c r="W429" s="10"/>
      <c r="X429" s="10"/>
      <c r="Y429" s="10"/>
      <c r="Z429" s="10"/>
      <c r="AA429" s="11" t="e">
        <f t="shared" si="92"/>
        <v>#DIV/0!</v>
      </c>
      <c r="AB429" s="11">
        <f t="shared" si="93"/>
        <v>9</v>
      </c>
      <c r="AC429" s="11">
        <f t="shared" si="94"/>
        <v>8</v>
      </c>
      <c r="AD429" s="11" t="e">
        <f t="shared" si="95"/>
        <v>#DIV/0!</v>
      </c>
      <c r="AE429" s="11" t="e">
        <f t="shared" si="96"/>
        <v>#DIV/0!</v>
      </c>
      <c r="AF429" s="11" t="e">
        <f t="shared" si="97"/>
        <v>#DIV/0!</v>
      </c>
      <c r="AG429" s="11" t="e">
        <f t="shared" si="98"/>
        <v>#DIV/0!</v>
      </c>
      <c r="AH429" s="11" t="e">
        <f t="shared" si="99"/>
        <v>#DIV/0!</v>
      </c>
      <c r="AI429" s="10"/>
      <c r="AJ429" s="11" t="e">
        <f t="shared" si="100"/>
        <v>#DIV/0!</v>
      </c>
      <c r="AK429" s="11" t="e">
        <f t="shared" si="101"/>
        <v>#DIV/0!</v>
      </c>
      <c r="AL429" s="11" t="e">
        <f t="shared" si="102"/>
        <v>#DIV/0!</v>
      </c>
    </row>
    <row r="430" spans="2:38" x14ac:dyDescent="0.2">
      <c r="B430" s="4"/>
      <c r="C430" s="4"/>
      <c r="D430" s="4"/>
      <c r="E430" s="4"/>
      <c r="F430" s="4"/>
      <c r="G430" s="4"/>
      <c r="H430" s="4"/>
      <c r="I430" s="4"/>
      <c r="J430" s="9" t="e">
        <f t="shared" si="90"/>
        <v>#DIV/0!</v>
      </c>
      <c r="K430" s="4"/>
      <c r="L430" s="4"/>
      <c r="M430" s="4"/>
      <c r="N430" s="4"/>
      <c r="O430" s="7"/>
      <c r="P430" s="7"/>
      <c r="Q430" s="4"/>
      <c r="R430" s="9" t="e">
        <f t="shared" si="91"/>
        <v>#DIV/0!</v>
      </c>
      <c r="S430" s="4" t="s">
        <v>152</v>
      </c>
      <c r="T430" s="4"/>
      <c r="U430" s="10"/>
      <c r="V430" s="10"/>
      <c r="W430" s="10"/>
      <c r="X430" s="10"/>
      <c r="Y430" s="10"/>
      <c r="Z430" s="10"/>
      <c r="AA430" s="11" t="e">
        <f t="shared" si="92"/>
        <v>#DIV/0!</v>
      </c>
      <c r="AB430" s="11">
        <f t="shared" si="93"/>
        <v>9</v>
      </c>
      <c r="AC430" s="11">
        <f t="shared" si="94"/>
        <v>8</v>
      </c>
      <c r="AD430" s="11" t="e">
        <f t="shared" si="95"/>
        <v>#DIV/0!</v>
      </c>
      <c r="AE430" s="11" t="e">
        <f t="shared" si="96"/>
        <v>#DIV/0!</v>
      </c>
      <c r="AF430" s="11" t="e">
        <f t="shared" si="97"/>
        <v>#DIV/0!</v>
      </c>
      <c r="AG430" s="11" t="e">
        <f t="shared" si="98"/>
        <v>#DIV/0!</v>
      </c>
      <c r="AH430" s="11" t="e">
        <f t="shared" si="99"/>
        <v>#DIV/0!</v>
      </c>
      <c r="AI430" s="10"/>
      <c r="AJ430" s="11" t="e">
        <f t="shared" si="100"/>
        <v>#DIV/0!</v>
      </c>
      <c r="AK430" s="11" t="e">
        <f t="shared" si="101"/>
        <v>#DIV/0!</v>
      </c>
      <c r="AL430" s="11" t="e">
        <f t="shared" si="102"/>
        <v>#DIV/0!</v>
      </c>
    </row>
    <row r="431" spans="2:38" x14ac:dyDescent="0.2">
      <c r="B431" s="4"/>
      <c r="C431" s="4"/>
      <c r="D431" s="4"/>
      <c r="E431" s="4"/>
      <c r="F431" s="4"/>
      <c r="G431" s="4"/>
      <c r="H431" s="4"/>
      <c r="I431" s="4"/>
      <c r="J431" s="9" t="e">
        <f t="shared" si="90"/>
        <v>#DIV/0!</v>
      </c>
      <c r="K431" s="4"/>
      <c r="L431" s="4"/>
      <c r="M431" s="4"/>
      <c r="N431" s="4"/>
      <c r="O431" s="7"/>
      <c r="P431" s="7"/>
      <c r="Q431" s="4"/>
      <c r="R431" s="9" t="e">
        <f t="shared" si="91"/>
        <v>#DIV/0!</v>
      </c>
      <c r="S431" s="4" t="s">
        <v>152</v>
      </c>
      <c r="T431" s="4"/>
      <c r="U431" s="10"/>
      <c r="V431" s="10"/>
      <c r="W431" s="10"/>
      <c r="X431" s="10"/>
      <c r="Y431" s="10"/>
      <c r="Z431" s="10"/>
      <c r="AA431" s="11" t="e">
        <f t="shared" si="92"/>
        <v>#DIV/0!</v>
      </c>
      <c r="AB431" s="11">
        <f t="shared" si="93"/>
        <v>9</v>
      </c>
      <c r="AC431" s="11">
        <f t="shared" si="94"/>
        <v>8</v>
      </c>
      <c r="AD431" s="11" t="e">
        <f t="shared" si="95"/>
        <v>#DIV/0!</v>
      </c>
      <c r="AE431" s="11" t="e">
        <f t="shared" si="96"/>
        <v>#DIV/0!</v>
      </c>
      <c r="AF431" s="11" t="e">
        <f t="shared" si="97"/>
        <v>#DIV/0!</v>
      </c>
      <c r="AG431" s="11" t="e">
        <f t="shared" si="98"/>
        <v>#DIV/0!</v>
      </c>
      <c r="AH431" s="11" t="e">
        <f t="shared" si="99"/>
        <v>#DIV/0!</v>
      </c>
      <c r="AI431" s="10"/>
      <c r="AJ431" s="11" t="e">
        <f t="shared" si="100"/>
        <v>#DIV/0!</v>
      </c>
      <c r="AK431" s="11" t="e">
        <f t="shared" si="101"/>
        <v>#DIV/0!</v>
      </c>
      <c r="AL431" s="11" t="e">
        <f t="shared" si="102"/>
        <v>#DIV/0!</v>
      </c>
    </row>
    <row r="432" spans="2:38" x14ac:dyDescent="0.2">
      <c r="B432" s="4"/>
      <c r="C432" s="4"/>
      <c r="D432" s="4"/>
      <c r="E432" s="4"/>
      <c r="F432" s="4"/>
      <c r="G432" s="4"/>
      <c r="H432" s="4"/>
      <c r="I432" s="4"/>
      <c r="J432" s="9" t="e">
        <f t="shared" si="90"/>
        <v>#DIV/0!</v>
      </c>
      <c r="K432" s="4"/>
      <c r="L432" s="4"/>
      <c r="M432" s="4"/>
      <c r="N432" s="4"/>
      <c r="O432" s="7"/>
      <c r="P432" s="7"/>
      <c r="Q432" s="4"/>
      <c r="R432" s="9" t="e">
        <f t="shared" si="91"/>
        <v>#DIV/0!</v>
      </c>
      <c r="S432" s="4" t="s">
        <v>152</v>
      </c>
      <c r="T432" s="4"/>
      <c r="U432" s="10"/>
      <c r="V432" s="10"/>
      <c r="W432" s="10"/>
      <c r="X432" s="10"/>
      <c r="Y432" s="10"/>
      <c r="Z432" s="10"/>
      <c r="AA432" s="11" t="e">
        <f t="shared" si="92"/>
        <v>#DIV/0!</v>
      </c>
      <c r="AB432" s="11">
        <f t="shared" si="93"/>
        <v>9</v>
      </c>
      <c r="AC432" s="11">
        <f t="shared" si="94"/>
        <v>8</v>
      </c>
      <c r="AD432" s="11" t="e">
        <f t="shared" si="95"/>
        <v>#DIV/0!</v>
      </c>
      <c r="AE432" s="11" t="e">
        <f t="shared" si="96"/>
        <v>#DIV/0!</v>
      </c>
      <c r="AF432" s="11" t="e">
        <f t="shared" si="97"/>
        <v>#DIV/0!</v>
      </c>
      <c r="AG432" s="11" t="e">
        <f t="shared" si="98"/>
        <v>#DIV/0!</v>
      </c>
      <c r="AH432" s="11" t="e">
        <f t="shared" si="99"/>
        <v>#DIV/0!</v>
      </c>
      <c r="AI432" s="10"/>
      <c r="AJ432" s="11" t="e">
        <f t="shared" si="100"/>
        <v>#DIV/0!</v>
      </c>
      <c r="AK432" s="11" t="e">
        <f t="shared" si="101"/>
        <v>#DIV/0!</v>
      </c>
      <c r="AL432" s="11" t="e">
        <f t="shared" si="102"/>
        <v>#DIV/0!</v>
      </c>
    </row>
    <row r="433" spans="2:38" x14ac:dyDescent="0.2">
      <c r="B433" s="4"/>
      <c r="C433" s="4"/>
      <c r="D433" s="4"/>
      <c r="E433" s="4"/>
      <c r="F433" s="4"/>
      <c r="G433" s="4"/>
      <c r="H433" s="4"/>
      <c r="I433" s="4"/>
      <c r="J433" s="9" t="e">
        <f t="shared" si="90"/>
        <v>#DIV/0!</v>
      </c>
      <c r="K433" s="4"/>
      <c r="L433" s="4"/>
      <c r="M433" s="4"/>
      <c r="N433" s="4"/>
      <c r="O433" s="7"/>
      <c r="P433" s="7"/>
      <c r="Q433" s="4"/>
      <c r="R433" s="9" t="e">
        <f t="shared" si="91"/>
        <v>#DIV/0!</v>
      </c>
      <c r="S433" s="4" t="s">
        <v>152</v>
      </c>
      <c r="T433" s="4"/>
      <c r="U433" s="10"/>
      <c r="V433" s="10"/>
      <c r="W433" s="10"/>
      <c r="X433" s="10"/>
      <c r="Y433" s="10"/>
      <c r="Z433" s="10"/>
      <c r="AA433" s="11" t="e">
        <f t="shared" si="92"/>
        <v>#DIV/0!</v>
      </c>
      <c r="AB433" s="11">
        <f t="shared" si="93"/>
        <v>9</v>
      </c>
      <c r="AC433" s="11">
        <f t="shared" si="94"/>
        <v>8</v>
      </c>
      <c r="AD433" s="11" t="e">
        <f t="shared" si="95"/>
        <v>#DIV/0!</v>
      </c>
      <c r="AE433" s="11" t="e">
        <f t="shared" si="96"/>
        <v>#DIV/0!</v>
      </c>
      <c r="AF433" s="11" t="e">
        <f t="shared" si="97"/>
        <v>#DIV/0!</v>
      </c>
      <c r="AG433" s="11" t="e">
        <f t="shared" si="98"/>
        <v>#DIV/0!</v>
      </c>
      <c r="AH433" s="11" t="e">
        <f t="shared" si="99"/>
        <v>#DIV/0!</v>
      </c>
      <c r="AI433" s="10"/>
      <c r="AJ433" s="11" t="e">
        <f t="shared" si="100"/>
        <v>#DIV/0!</v>
      </c>
      <c r="AK433" s="11" t="e">
        <f t="shared" si="101"/>
        <v>#DIV/0!</v>
      </c>
      <c r="AL433" s="11" t="e">
        <f t="shared" si="102"/>
        <v>#DIV/0!</v>
      </c>
    </row>
    <row r="434" spans="2:38" x14ac:dyDescent="0.2">
      <c r="B434" s="4"/>
      <c r="C434" s="4"/>
      <c r="D434" s="4"/>
      <c r="E434" s="4"/>
      <c r="F434" s="4"/>
      <c r="G434" s="4"/>
      <c r="H434" s="4"/>
      <c r="I434" s="4"/>
      <c r="J434" s="9" t="e">
        <f t="shared" si="90"/>
        <v>#DIV/0!</v>
      </c>
      <c r="K434" s="4"/>
      <c r="L434" s="4"/>
      <c r="M434" s="4"/>
      <c r="N434" s="4"/>
      <c r="O434" s="7"/>
      <c r="P434" s="7"/>
      <c r="Q434" s="4"/>
      <c r="R434" s="9" t="e">
        <f t="shared" si="91"/>
        <v>#DIV/0!</v>
      </c>
      <c r="S434" s="4" t="s">
        <v>152</v>
      </c>
      <c r="T434" s="4"/>
      <c r="U434" s="10"/>
      <c r="V434" s="10"/>
      <c r="W434" s="10"/>
      <c r="X434" s="10"/>
      <c r="Y434" s="10"/>
      <c r="Z434" s="10"/>
      <c r="AA434" s="11" t="e">
        <f t="shared" si="92"/>
        <v>#DIV/0!</v>
      </c>
      <c r="AB434" s="11">
        <f t="shared" si="93"/>
        <v>9</v>
      </c>
      <c r="AC434" s="11">
        <f t="shared" si="94"/>
        <v>8</v>
      </c>
      <c r="AD434" s="11" t="e">
        <f t="shared" si="95"/>
        <v>#DIV/0!</v>
      </c>
      <c r="AE434" s="11" t="e">
        <f t="shared" si="96"/>
        <v>#DIV/0!</v>
      </c>
      <c r="AF434" s="11" t="e">
        <f t="shared" si="97"/>
        <v>#DIV/0!</v>
      </c>
      <c r="AG434" s="11" t="e">
        <f t="shared" si="98"/>
        <v>#DIV/0!</v>
      </c>
      <c r="AH434" s="11" t="e">
        <f t="shared" si="99"/>
        <v>#DIV/0!</v>
      </c>
      <c r="AI434" s="10"/>
      <c r="AJ434" s="11" t="e">
        <f t="shared" si="100"/>
        <v>#DIV/0!</v>
      </c>
      <c r="AK434" s="11" t="e">
        <f t="shared" si="101"/>
        <v>#DIV/0!</v>
      </c>
      <c r="AL434" s="11" t="e">
        <f t="shared" si="102"/>
        <v>#DIV/0!</v>
      </c>
    </row>
    <row r="435" spans="2:38" x14ac:dyDescent="0.2">
      <c r="B435" s="4"/>
      <c r="C435" s="4"/>
      <c r="D435" s="4"/>
      <c r="E435" s="4"/>
      <c r="F435" s="4"/>
      <c r="G435" s="4"/>
      <c r="H435" s="4"/>
      <c r="I435" s="4"/>
      <c r="J435" s="9" t="e">
        <f t="shared" si="90"/>
        <v>#DIV/0!</v>
      </c>
      <c r="K435" s="4"/>
      <c r="L435" s="4"/>
      <c r="M435" s="4"/>
      <c r="N435" s="4"/>
      <c r="O435" s="7"/>
      <c r="P435" s="7"/>
      <c r="Q435" s="4"/>
      <c r="R435" s="9" t="e">
        <f t="shared" si="91"/>
        <v>#DIV/0!</v>
      </c>
      <c r="S435" s="4" t="s">
        <v>152</v>
      </c>
      <c r="T435" s="4"/>
      <c r="U435" s="10"/>
      <c r="V435" s="10"/>
      <c r="W435" s="10"/>
      <c r="X435" s="10"/>
      <c r="Y435" s="10"/>
      <c r="Z435" s="10"/>
      <c r="AA435" s="11" t="e">
        <f t="shared" si="92"/>
        <v>#DIV/0!</v>
      </c>
      <c r="AB435" s="11">
        <f t="shared" si="93"/>
        <v>9</v>
      </c>
      <c r="AC435" s="11">
        <f t="shared" si="94"/>
        <v>8</v>
      </c>
      <c r="AD435" s="11" t="e">
        <f t="shared" si="95"/>
        <v>#DIV/0!</v>
      </c>
      <c r="AE435" s="11" t="e">
        <f t="shared" si="96"/>
        <v>#DIV/0!</v>
      </c>
      <c r="AF435" s="11" t="e">
        <f t="shared" si="97"/>
        <v>#DIV/0!</v>
      </c>
      <c r="AG435" s="11" t="e">
        <f t="shared" si="98"/>
        <v>#DIV/0!</v>
      </c>
      <c r="AH435" s="11" t="e">
        <f t="shared" si="99"/>
        <v>#DIV/0!</v>
      </c>
      <c r="AI435" s="10"/>
      <c r="AJ435" s="11" t="e">
        <f t="shared" si="100"/>
        <v>#DIV/0!</v>
      </c>
      <c r="AK435" s="11" t="e">
        <f t="shared" si="101"/>
        <v>#DIV/0!</v>
      </c>
      <c r="AL435" s="11" t="e">
        <f t="shared" si="102"/>
        <v>#DIV/0!</v>
      </c>
    </row>
    <row r="436" spans="2:38" x14ac:dyDescent="0.2">
      <c r="B436" s="4"/>
      <c r="C436" s="4"/>
      <c r="D436" s="4"/>
      <c r="E436" s="4"/>
      <c r="F436" s="4"/>
      <c r="G436" s="4"/>
      <c r="H436" s="4"/>
      <c r="I436" s="4"/>
      <c r="J436" s="9" t="e">
        <f t="shared" si="90"/>
        <v>#DIV/0!</v>
      </c>
      <c r="K436" s="4"/>
      <c r="L436" s="4"/>
      <c r="M436" s="4"/>
      <c r="N436" s="4"/>
      <c r="O436" s="7"/>
      <c r="P436" s="7"/>
      <c r="Q436" s="4"/>
      <c r="R436" s="9" t="e">
        <f t="shared" si="91"/>
        <v>#DIV/0!</v>
      </c>
      <c r="S436" s="4" t="s">
        <v>152</v>
      </c>
      <c r="T436" s="4"/>
      <c r="U436" s="10"/>
      <c r="V436" s="10"/>
      <c r="W436" s="10"/>
      <c r="X436" s="10"/>
      <c r="Y436" s="10"/>
      <c r="Z436" s="10"/>
      <c r="AA436" s="11" t="e">
        <f t="shared" si="92"/>
        <v>#DIV/0!</v>
      </c>
      <c r="AB436" s="11">
        <f t="shared" si="93"/>
        <v>9</v>
      </c>
      <c r="AC436" s="11">
        <f t="shared" si="94"/>
        <v>8</v>
      </c>
      <c r="AD436" s="11" t="e">
        <f t="shared" si="95"/>
        <v>#DIV/0!</v>
      </c>
      <c r="AE436" s="11" t="e">
        <f t="shared" si="96"/>
        <v>#DIV/0!</v>
      </c>
      <c r="AF436" s="11" t="e">
        <f t="shared" si="97"/>
        <v>#DIV/0!</v>
      </c>
      <c r="AG436" s="11" t="e">
        <f t="shared" si="98"/>
        <v>#DIV/0!</v>
      </c>
      <c r="AH436" s="11" t="e">
        <f t="shared" si="99"/>
        <v>#DIV/0!</v>
      </c>
      <c r="AI436" s="10"/>
      <c r="AJ436" s="11" t="e">
        <f t="shared" si="100"/>
        <v>#DIV/0!</v>
      </c>
      <c r="AK436" s="11" t="e">
        <f t="shared" si="101"/>
        <v>#DIV/0!</v>
      </c>
      <c r="AL436" s="11" t="e">
        <f t="shared" si="102"/>
        <v>#DIV/0!</v>
      </c>
    </row>
    <row r="437" spans="2:38" x14ac:dyDescent="0.2">
      <c r="B437" s="4"/>
      <c r="C437" s="4"/>
      <c r="D437" s="4"/>
      <c r="E437" s="4"/>
      <c r="F437" s="4"/>
      <c r="G437" s="4"/>
      <c r="H437" s="4"/>
      <c r="I437" s="4"/>
      <c r="J437" s="9" t="e">
        <f t="shared" si="90"/>
        <v>#DIV/0!</v>
      </c>
      <c r="K437" s="4"/>
      <c r="L437" s="4"/>
      <c r="M437" s="4"/>
      <c r="N437" s="4"/>
      <c r="O437" s="7"/>
      <c r="P437" s="7"/>
      <c r="Q437" s="4"/>
      <c r="R437" s="9" t="e">
        <f t="shared" si="91"/>
        <v>#DIV/0!</v>
      </c>
      <c r="S437" s="4" t="s">
        <v>152</v>
      </c>
      <c r="T437" s="4"/>
      <c r="U437" s="10"/>
      <c r="V437" s="10"/>
      <c r="W437" s="10"/>
      <c r="X437" s="10"/>
      <c r="Y437" s="10"/>
      <c r="Z437" s="10"/>
      <c r="AA437" s="11" t="e">
        <f t="shared" si="92"/>
        <v>#DIV/0!</v>
      </c>
      <c r="AB437" s="11">
        <f t="shared" si="93"/>
        <v>9</v>
      </c>
      <c r="AC437" s="11">
        <f t="shared" si="94"/>
        <v>8</v>
      </c>
      <c r="AD437" s="11" t="e">
        <f t="shared" si="95"/>
        <v>#DIV/0!</v>
      </c>
      <c r="AE437" s="11" t="e">
        <f t="shared" si="96"/>
        <v>#DIV/0!</v>
      </c>
      <c r="AF437" s="11" t="e">
        <f t="shared" si="97"/>
        <v>#DIV/0!</v>
      </c>
      <c r="AG437" s="11" t="e">
        <f t="shared" si="98"/>
        <v>#DIV/0!</v>
      </c>
      <c r="AH437" s="11" t="e">
        <f t="shared" si="99"/>
        <v>#DIV/0!</v>
      </c>
      <c r="AI437" s="10"/>
      <c r="AJ437" s="11" t="e">
        <f t="shared" si="100"/>
        <v>#DIV/0!</v>
      </c>
      <c r="AK437" s="11" t="e">
        <f t="shared" si="101"/>
        <v>#DIV/0!</v>
      </c>
      <c r="AL437" s="11" t="e">
        <f t="shared" si="102"/>
        <v>#DIV/0!</v>
      </c>
    </row>
    <row r="438" spans="2:38" x14ac:dyDescent="0.2">
      <c r="B438" s="4"/>
      <c r="C438" s="4"/>
      <c r="D438" s="4"/>
      <c r="E438" s="4"/>
      <c r="F438" s="4"/>
      <c r="G438" s="4"/>
      <c r="H438" s="4"/>
      <c r="I438" s="4"/>
      <c r="J438" s="9" t="e">
        <f t="shared" si="90"/>
        <v>#DIV/0!</v>
      </c>
      <c r="K438" s="4"/>
      <c r="L438" s="4"/>
      <c r="M438" s="4"/>
      <c r="N438" s="4"/>
      <c r="O438" s="7"/>
      <c r="P438" s="7"/>
      <c r="Q438" s="4"/>
      <c r="R438" s="9" t="e">
        <f t="shared" si="91"/>
        <v>#DIV/0!</v>
      </c>
      <c r="S438" s="4" t="s">
        <v>152</v>
      </c>
      <c r="T438" s="4"/>
      <c r="U438" s="10"/>
      <c r="V438" s="10"/>
      <c r="W438" s="10"/>
      <c r="X438" s="10"/>
      <c r="Y438" s="10"/>
      <c r="Z438" s="10"/>
      <c r="AA438" s="11" t="e">
        <f t="shared" si="92"/>
        <v>#DIV/0!</v>
      </c>
      <c r="AB438" s="11">
        <f t="shared" si="93"/>
        <v>9</v>
      </c>
      <c r="AC438" s="11">
        <f t="shared" si="94"/>
        <v>8</v>
      </c>
      <c r="AD438" s="11" t="e">
        <f t="shared" si="95"/>
        <v>#DIV/0!</v>
      </c>
      <c r="AE438" s="11" t="e">
        <f t="shared" si="96"/>
        <v>#DIV/0!</v>
      </c>
      <c r="AF438" s="11" t="e">
        <f t="shared" si="97"/>
        <v>#DIV/0!</v>
      </c>
      <c r="AG438" s="11" t="e">
        <f t="shared" si="98"/>
        <v>#DIV/0!</v>
      </c>
      <c r="AH438" s="11" t="e">
        <f t="shared" si="99"/>
        <v>#DIV/0!</v>
      </c>
      <c r="AI438" s="10"/>
      <c r="AJ438" s="11" t="e">
        <f t="shared" si="100"/>
        <v>#DIV/0!</v>
      </c>
      <c r="AK438" s="11" t="e">
        <f t="shared" si="101"/>
        <v>#DIV/0!</v>
      </c>
      <c r="AL438" s="11" t="e">
        <f t="shared" si="102"/>
        <v>#DIV/0!</v>
      </c>
    </row>
    <row r="439" spans="2:38" x14ac:dyDescent="0.2">
      <c r="B439" s="4"/>
      <c r="C439" s="4"/>
      <c r="D439" s="4"/>
      <c r="E439" s="4"/>
      <c r="F439" s="4"/>
      <c r="G439" s="4"/>
      <c r="H439" s="4"/>
      <c r="I439" s="4"/>
      <c r="J439" s="9" t="e">
        <f t="shared" si="90"/>
        <v>#DIV/0!</v>
      </c>
      <c r="K439" s="4"/>
      <c r="L439" s="4"/>
      <c r="M439" s="4"/>
      <c r="N439" s="4"/>
      <c r="O439" s="7"/>
      <c r="P439" s="7"/>
      <c r="Q439" s="4"/>
      <c r="R439" s="9" t="e">
        <f t="shared" si="91"/>
        <v>#DIV/0!</v>
      </c>
      <c r="S439" s="4" t="s">
        <v>152</v>
      </c>
      <c r="T439" s="4"/>
      <c r="U439" s="10"/>
      <c r="V439" s="10"/>
      <c r="W439" s="10"/>
      <c r="X439" s="10"/>
      <c r="Y439" s="10"/>
      <c r="Z439" s="10"/>
      <c r="AA439" s="11" t="e">
        <f t="shared" si="92"/>
        <v>#DIV/0!</v>
      </c>
      <c r="AB439" s="11">
        <f t="shared" si="93"/>
        <v>9</v>
      </c>
      <c r="AC439" s="11">
        <f t="shared" si="94"/>
        <v>8</v>
      </c>
      <c r="AD439" s="11" t="e">
        <f t="shared" si="95"/>
        <v>#DIV/0!</v>
      </c>
      <c r="AE439" s="11" t="e">
        <f t="shared" si="96"/>
        <v>#DIV/0!</v>
      </c>
      <c r="AF439" s="11" t="e">
        <f t="shared" si="97"/>
        <v>#DIV/0!</v>
      </c>
      <c r="AG439" s="11" t="e">
        <f t="shared" si="98"/>
        <v>#DIV/0!</v>
      </c>
      <c r="AH439" s="11" t="e">
        <f t="shared" si="99"/>
        <v>#DIV/0!</v>
      </c>
      <c r="AI439" s="10"/>
      <c r="AJ439" s="11" t="e">
        <f t="shared" si="100"/>
        <v>#DIV/0!</v>
      </c>
      <c r="AK439" s="11" t="e">
        <f t="shared" si="101"/>
        <v>#DIV/0!</v>
      </c>
      <c r="AL439" s="11" t="e">
        <f t="shared" si="102"/>
        <v>#DIV/0!</v>
      </c>
    </row>
    <row r="440" spans="2:38" x14ac:dyDescent="0.2">
      <c r="B440" s="4"/>
      <c r="C440" s="4"/>
      <c r="D440" s="4"/>
      <c r="E440" s="4"/>
      <c r="F440" s="4"/>
      <c r="G440" s="4"/>
      <c r="H440" s="4"/>
      <c r="I440" s="4"/>
      <c r="J440" s="9" t="e">
        <f t="shared" si="90"/>
        <v>#DIV/0!</v>
      </c>
      <c r="K440" s="4"/>
      <c r="L440" s="4"/>
      <c r="M440" s="4"/>
      <c r="N440" s="4"/>
      <c r="O440" s="7"/>
      <c r="P440" s="7"/>
      <c r="Q440" s="4"/>
      <c r="R440" s="9" t="e">
        <f t="shared" si="91"/>
        <v>#DIV/0!</v>
      </c>
      <c r="S440" s="4" t="s">
        <v>152</v>
      </c>
      <c r="T440" s="4"/>
      <c r="U440" s="10"/>
      <c r="V440" s="10"/>
      <c r="W440" s="10"/>
      <c r="X440" s="10"/>
      <c r="Y440" s="10"/>
      <c r="Z440" s="10"/>
      <c r="AA440" s="11" t="e">
        <f t="shared" si="92"/>
        <v>#DIV/0!</v>
      </c>
      <c r="AB440" s="11">
        <f t="shared" si="93"/>
        <v>9</v>
      </c>
      <c r="AC440" s="11">
        <f t="shared" si="94"/>
        <v>8</v>
      </c>
      <c r="AD440" s="11" t="e">
        <f t="shared" si="95"/>
        <v>#DIV/0!</v>
      </c>
      <c r="AE440" s="11" t="e">
        <f t="shared" si="96"/>
        <v>#DIV/0!</v>
      </c>
      <c r="AF440" s="11" t="e">
        <f t="shared" si="97"/>
        <v>#DIV/0!</v>
      </c>
      <c r="AG440" s="11" t="e">
        <f t="shared" si="98"/>
        <v>#DIV/0!</v>
      </c>
      <c r="AH440" s="11" t="e">
        <f t="shared" si="99"/>
        <v>#DIV/0!</v>
      </c>
      <c r="AI440" s="10"/>
      <c r="AJ440" s="11" t="e">
        <f t="shared" si="100"/>
        <v>#DIV/0!</v>
      </c>
      <c r="AK440" s="11" t="e">
        <f t="shared" si="101"/>
        <v>#DIV/0!</v>
      </c>
      <c r="AL440" s="11" t="e">
        <f t="shared" si="102"/>
        <v>#DIV/0!</v>
      </c>
    </row>
    <row r="441" spans="2:38" x14ac:dyDescent="0.2">
      <c r="B441" s="4"/>
      <c r="C441" s="4"/>
      <c r="D441" s="4"/>
      <c r="E441" s="4"/>
      <c r="F441" s="4"/>
      <c r="G441" s="4"/>
      <c r="H441" s="4"/>
      <c r="I441" s="4"/>
      <c r="J441" s="9" t="e">
        <f t="shared" si="90"/>
        <v>#DIV/0!</v>
      </c>
      <c r="K441" s="4"/>
      <c r="L441" s="4"/>
      <c r="M441" s="4"/>
      <c r="N441" s="4"/>
      <c r="O441" s="7"/>
      <c r="P441" s="7"/>
      <c r="Q441" s="4"/>
      <c r="R441" s="9" t="e">
        <f t="shared" si="91"/>
        <v>#DIV/0!</v>
      </c>
      <c r="S441" s="4" t="s">
        <v>152</v>
      </c>
      <c r="T441" s="4"/>
      <c r="U441" s="10"/>
      <c r="V441" s="10"/>
      <c r="W441" s="10"/>
      <c r="X441" s="10"/>
      <c r="Y441" s="10"/>
      <c r="Z441" s="10"/>
      <c r="AA441" s="11" t="e">
        <f t="shared" si="92"/>
        <v>#DIV/0!</v>
      </c>
      <c r="AB441" s="11">
        <f t="shared" si="93"/>
        <v>9</v>
      </c>
      <c r="AC441" s="11">
        <f t="shared" si="94"/>
        <v>8</v>
      </c>
      <c r="AD441" s="11" t="e">
        <f t="shared" si="95"/>
        <v>#DIV/0!</v>
      </c>
      <c r="AE441" s="11" t="e">
        <f t="shared" si="96"/>
        <v>#DIV/0!</v>
      </c>
      <c r="AF441" s="11" t="e">
        <f t="shared" si="97"/>
        <v>#DIV/0!</v>
      </c>
      <c r="AG441" s="11" t="e">
        <f t="shared" si="98"/>
        <v>#DIV/0!</v>
      </c>
      <c r="AH441" s="11" t="e">
        <f t="shared" si="99"/>
        <v>#DIV/0!</v>
      </c>
      <c r="AI441" s="10"/>
      <c r="AJ441" s="11" t="e">
        <f t="shared" si="100"/>
        <v>#DIV/0!</v>
      </c>
      <c r="AK441" s="11" t="e">
        <f t="shared" si="101"/>
        <v>#DIV/0!</v>
      </c>
      <c r="AL441" s="11" t="e">
        <f t="shared" si="102"/>
        <v>#DIV/0!</v>
      </c>
    </row>
    <row r="442" spans="2:38" x14ac:dyDescent="0.2">
      <c r="B442" s="4"/>
      <c r="C442" s="4"/>
      <c r="D442" s="4"/>
      <c r="E442" s="4"/>
      <c r="F442" s="4"/>
      <c r="G442" s="4"/>
      <c r="H442" s="4"/>
      <c r="I442" s="4"/>
      <c r="J442" s="9" t="e">
        <f t="shared" ref="J442:J456" si="103">ROUND(I442/B442*162, 0)</f>
        <v>#DIV/0!</v>
      </c>
      <c r="K442" s="4"/>
      <c r="L442" s="4"/>
      <c r="M442" s="4"/>
      <c r="N442" s="4"/>
      <c r="O442" s="7"/>
      <c r="P442" s="7"/>
      <c r="Q442" s="4"/>
      <c r="R442" s="9" t="e">
        <f t="shared" ref="R442:R456" si="104">ROUND(Q442/B442*162, 0)</f>
        <v>#DIV/0!</v>
      </c>
      <c r="S442" s="4" t="s">
        <v>153</v>
      </c>
      <c r="T442" s="4"/>
      <c r="U442" s="10"/>
      <c r="V442" s="10"/>
      <c r="W442" s="10"/>
      <c r="X442" s="10"/>
      <c r="Y442" s="10"/>
      <c r="Z442" s="10"/>
      <c r="AA442" s="11" t="e">
        <f t="shared" ref="AA442:AA456" si="105">IF(R442=0,8,IF(R442&lt;2,9,IF(R442&lt;3,10,IF(R442&lt;4,11,IF(R442&lt;5,12,IF(R442&lt;7,13,IF(R442&lt;9,14,IF(R442&lt;11,15,IF(R442&lt;16,16,IF(R442&lt;21,17,IF(R442&lt;26,18,IF(R442&lt;31,19,IF(R442&lt;36,20,IF(R442&lt;41,21,IF(R442&lt;46,22,IF(R442&lt;51,23,24))))))))))))))))</f>
        <v>#DIV/0!</v>
      </c>
      <c r="AB442" s="11">
        <f t="shared" ref="AB442:AB456" si="106">IF(P442&lt;0.3,9,IF(P442&lt;0.34,10,IF(P442&lt;0.365,11,IF(P442&lt;0.39,12,IF(P442&lt;0.43,13,IF(P442&lt;0.475,14,IF(P442&lt;0.5,15,16)))))))</f>
        <v>9</v>
      </c>
      <c r="AC442" s="11">
        <f t="shared" ref="AC442:AC456" si="107">IF(O442&lt;0.2,8,IF(O442&lt;0.25,7,IF(O442&lt;0.3,6,IF(O442&lt;0.35,5,4))))</f>
        <v>8</v>
      </c>
      <c r="AD442" s="11" t="e">
        <f t="shared" ref="AD442:AD456" si="108">ROUND(L442/($L442+$M442+$N442)*$AC442, 0)</f>
        <v>#DIV/0!</v>
      </c>
      <c r="AE442" s="11" t="e">
        <f t="shared" ref="AE442:AE456" si="109">ROUND(M442/($L442+$M442+$N442)*$AC442, 0)</f>
        <v>#DIV/0!</v>
      </c>
      <c r="AF442" s="11" t="e">
        <f t="shared" ref="AF442:AF456" si="110">ROUND(N442/($L442+$M442+$N442)*$AC442, 0)</f>
        <v>#DIV/0!</v>
      </c>
      <c r="AG442" s="11" t="e">
        <f t="shared" ref="AG442:AG456" si="111">ROUND(K442/($K442+E442)*(AL442-AC442-1), 0)</f>
        <v>#DIV/0!</v>
      </c>
      <c r="AH442" s="11" t="e">
        <f t="shared" ref="AH442:AH456" si="112">ROUND(F442/($K442+$E442)*($AL442-$AC442-1), 0)</f>
        <v>#DIV/0!</v>
      </c>
      <c r="AI442" s="10"/>
      <c r="AJ442" s="11" t="e">
        <f t="shared" ref="AJ442:AJ456" si="113">ROUND(G442/($K442+$E442)*($AL442-$AC442-1), 0)</f>
        <v>#DIV/0!</v>
      </c>
      <c r="AK442" s="11" t="e">
        <f t="shared" ref="AK442:AK456" si="114">ROUND(H442/($K442+$E442)*($AL442-$AC442-1), 0)</f>
        <v>#DIV/0!</v>
      </c>
      <c r="AL442" s="11" t="e">
        <f t="shared" ref="AL442:AL456" si="115">IF(J442&lt;3,22,IF(J442&lt;10,21,IF(J442&lt;20,20,IF(J442&lt;30,19,IF(J442&lt;50,18,17)))))</f>
        <v>#DIV/0!</v>
      </c>
    </row>
    <row r="443" spans="2:38" x14ac:dyDescent="0.2">
      <c r="B443" s="4"/>
      <c r="C443" s="4"/>
      <c r="D443" s="4"/>
      <c r="E443" s="4"/>
      <c r="F443" s="4"/>
      <c r="G443" s="4"/>
      <c r="H443" s="4"/>
      <c r="I443" s="4"/>
      <c r="J443" s="9" t="e">
        <f t="shared" si="103"/>
        <v>#DIV/0!</v>
      </c>
      <c r="K443" s="4"/>
      <c r="L443" s="4"/>
      <c r="M443" s="4"/>
      <c r="N443" s="4"/>
      <c r="O443" s="7"/>
      <c r="P443" s="7"/>
      <c r="Q443" s="4"/>
      <c r="R443" s="9" t="e">
        <f t="shared" si="104"/>
        <v>#DIV/0!</v>
      </c>
      <c r="S443" s="4" t="s">
        <v>153</v>
      </c>
      <c r="T443" s="4"/>
      <c r="U443" s="10"/>
      <c r="V443" s="10"/>
      <c r="W443" s="10"/>
      <c r="X443" s="10"/>
      <c r="Y443" s="10"/>
      <c r="Z443" s="10"/>
      <c r="AA443" s="11" t="e">
        <f t="shared" si="105"/>
        <v>#DIV/0!</v>
      </c>
      <c r="AB443" s="11">
        <f t="shared" si="106"/>
        <v>9</v>
      </c>
      <c r="AC443" s="11">
        <f t="shared" si="107"/>
        <v>8</v>
      </c>
      <c r="AD443" s="11" t="e">
        <f t="shared" si="108"/>
        <v>#DIV/0!</v>
      </c>
      <c r="AE443" s="11" t="e">
        <f t="shared" si="109"/>
        <v>#DIV/0!</v>
      </c>
      <c r="AF443" s="11" t="e">
        <f t="shared" si="110"/>
        <v>#DIV/0!</v>
      </c>
      <c r="AG443" s="11" t="e">
        <f t="shared" si="111"/>
        <v>#DIV/0!</v>
      </c>
      <c r="AH443" s="11" t="e">
        <f t="shared" si="112"/>
        <v>#DIV/0!</v>
      </c>
      <c r="AI443" s="10"/>
      <c r="AJ443" s="11" t="e">
        <f t="shared" si="113"/>
        <v>#DIV/0!</v>
      </c>
      <c r="AK443" s="11" t="e">
        <f t="shared" si="114"/>
        <v>#DIV/0!</v>
      </c>
      <c r="AL443" s="11" t="e">
        <f t="shared" si="115"/>
        <v>#DIV/0!</v>
      </c>
    </row>
    <row r="444" spans="2:38" x14ac:dyDescent="0.2">
      <c r="B444" s="4"/>
      <c r="C444" s="4"/>
      <c r="D444" s="4"/>
      <c r="E444" s="4"/>
      <c r="F444" s="4"/>
      <c r="G444" s="4"/>
      <c r="H444" s="4"/>
      <c r="I444" s="4"/>
      <c r="J444" s="9" t="e">
        <f t="shared" si="103"/>
        <v>#DIV/0!</v>
      </c>
      <c r="K444" s="4"/>
      <c r="L444" s="4"/>
      <c r="M444" s="4"/>
      <c r="N444" s="4"/>
      <c r="O444" s="7"/>
      <c r="P444" s="7"/>
      <c r="Q444" s="4"/>
      <c r="R444" s="9" t="e">
        <f t="shared" si="104"/>
        <v>#DIV/0!</v>
      </c>
      <c r="S444" s="4" t="s">
        <v>153</v>
      </c>
      <c r="T444" s="4"/>
      <c r="U444" s="10"/>
      <c r="V444" s="10"/>
      <c r="W444" s="10"/>
      <c r="X444" s="10"/>
      <c r="Y444" s="10"/>
      <c r="Z444" s="10"/>
      <c r="AA444" s="11" t="e">
        <f t="shared" si="105"/>
        <v>#DIV/0!</v>
      </c>
      <c r="AB444" s="11">
        <f t="shared" si="106"/>
        <v>9</v>
      </c>
      <c r="AC444" s="11">
        <f t="shared" si="107"/>
        <v>8</v>
      </c>
      <c r="AD444" s="11" t="e">
        <f t="shared" si="108"/>
        <v>#DIV/0!</v>
      </c>
      <c r="AE444" s="11" t="e">
        <f t="shared" si="109"/>
        <v>#DIV/0!</v>
      </c>
      <c r="AF444" s="11" t="e">
        <f t="shared" si="110"/>
        <v>#DIV/0!</v>
      </c>
      <c r="AG444" s="11" t="e">
        <f t="shared" si="111"/>
        <v>#DIV/0!</v>
      </c>
      <c r="AH444" s="11" t="e">
        <f t="shared" si="112"/>
        <v>#DIV/0!</v>
      </c>
      <c r="AI444" s="10"/>
      <c r="AJ444" s="11" t="e">
        <f t="shared" si="113"/>
        <v>#DIV/0!</v>
      </c>
      <c r="AK444" s="11" t="e">
        <f t="shared" si="114"/>
        <v>#DIV/0!</v>
      </c>
      <c r="AL444" s="11" t="e">
        <f t="shared" si="115"/>
        <v>#DIV/0!</v>
      </c>
    </row>
    <row r="445" spans="2:38" x14ac:dyDescent="0.2">
      <c r="B445" s="4"/>
      <c r="C445" s="4"/>
      <c r="D445" s="4"/>
      <c r="E445" s="4"/>
      <c r="F445" s="4"/>
      <c r="G445" s="4"/>
      <c r="H445" s="4"/>
      <c r="I445" s="4"/>
      <c r="J445" s="9" t="e">
        <f t="shared" si="103"/>
        <v>#DIV/0!</v>
      </c>
      <c r="K445" s="4"/>
      <c r="L445" s="4"/>
      <c r="M445" s="4"/>
      <c r="N445" s="4"/>
      <c r="O445" s="7"/>
      <c r="P445" s="7"/>
      <c r="Q445" s="4"/>
      <c r="R445" s="9" t="e">
        <f t="shared" si="104"/>
        <v>#DIV/0!</v>
      </c>
      <c r="S445" s="4" t="s">
        <v>153</v>
      </c>
      <c r="T445" s="4"/>
      <c r="U445" s="10"/>
      <c r="V445" s="10"/>
      <c r="W445" s="10"/>
      <c r="X445" s="10"/>
      <c r="Y445" s="10"/>
      <c r="Z445" s="10"/>
      <c r="AA445" s="11" t="e">
        <f t="shared" si="105"/>
        <v>#DIV/0!</v>
      </c>
      <c r="AB445" s="11">
        <f t="shared" si="106"/>
        <v>9</v>
      </c>
      <c r="AC445" s="11">
        <f t="shared" si="107"/>
        <v>8</v>
      </c>
      <c r="AD445" s="11" t="e">
        <f t="shared" si="108"/>
        <v>#DIV/0!</v>
      </c>
      <c r="AE445" s="11" t="e">
        <f t="shared" si="109"/>
        <v>#DIV/0!</v>
      </c>
      <c r="AF445" s="11" t="e">
        <f t="shared" si="110"/>
        <v>#DIV/0!</v>
      </c>
      <c r="AG445" s="11" t="e">
        <f t="shared" si="111"/>
        <v>#DIV/0!</v>
      </c>
      <c r="AH445" s="11" t="e">
        <f t="shared" si="112"/>
        <v>#DIV/0!</v>
      </c>
      <c r="AI445" s="10"/>
      <c r="AJ445" s="11" t="e">
        <f t="shared" si="113"/>
        <v>#DIV/0!</v>
      </c>
      <c r="AK445" s="11" t="e">
        <f t="shared" si="114"/>
        <v>#DIV/0!</v>
      </c>
      <c r="AL445" s="11" t="e">
        <f t="shared" si="115"/>
        <v>#DIV/0!</v>
      </c>
    </row>
    <row r="446" spans="2:38" x14ac:dyDescent="0.2">
      <c r="B446" s="4"/>
      <c r="C446" s="4"/>
      <c r="D446" s="4"/>
      <c r="E446" s="4"/>
      <c r="F446" s="4"/>
      <c r="G446" s="4"/>
      <c r="H446" s="4"/>
      <c r="I446" s="4"/>
      <c r="J446" s="9" t="e">
        <f t="shared" si="103"/>
        <v>#DIV/0!</v>
      </c>
      <c r="K446" s="4"/>
      <c r="L446" s="4"/>
      <c r="M446" s="4"/>
      <c r="N446" s="4"/>
      <c r="O446" s="7"/>
      <c r="P446" s="7"/>
      <c r="Q446" s="4"/>
      <c r="R446" s="9" t="e">
        <f t="shared" si="104"/>
        <v>#DIV/0!</v>
      </c>
      <c r="S446" s="4" t="s">
        <v>153</v>
      </c>
      <c r="T446" s="4"/>
      <c r="U446" s="10"/>
      <c r="V446" s="10"/>
      <c r="W446" s="10"/>
      <c r="X446" s="10"/>
      <c r="Y446" s="10"/>
      <c r="Z446" s="10"/>
      <c r="AA446" s="11" t="e">
        <f t="shared" si="105"/>
        <v>#DIV/0!</v>
      </c>
      <c r="AB446" s="11">
        <f t="shared" si="106"/>
        <v>9</v>
      </c>
      <c r="AC446" s="11">
        <f t="shared" si="107"/>
        <v>8</v>
      </c>
      <c r="AD446" s="11" t="e">
        <f t="shared" si="108"/>
        <v>#DIV/0!</v>
      </c>
      <c r="AE446" s="11" t="e">
        <f t="shared" si="109"/>
        <v>#DIV/0!</v>
      </c>
      <c r="AF446" s="11" t="e">
        <f t="shared" si="110"/>
        <v>#DIV/0!</v>
      </c>
      <c r="AG446" s="11" t="e">
        <f t="shared" si="111"/>
        <v>#DIV/0!</v>
      </c>
      <c r="AH446" s="11" t="e">
        <f t="shared" si="112"/>
        <v>#DIV/0!</v>
      </c>
      <c r="AI446" s="10"/>
      <c r="AJ446" s="11" t="e">
        <f t="shared" si="113"/>
        <v>#DIV/0!</v>
      </c>
      <c r="AK446" s="11" t="e">
        <f t="shared" si="114"/>
        <v>#DIV/0!</v>
      </c>
      <c r="AL446" s="11" t="e">
        <f t="shared" si="115"/>
        <v>#DIV/0!</v>
      </c>
    </row>
    <row r="447" spans="2:38" x14ac:dyDescent="0.2">
      <c r="B447" s="4"/>
      <c r="C447" s="4"/>
      <c r="D447" s="4"/>
      <c r="E447" s="4"/>
      <c r="F447" s="4"/>
      <c r="G447" s="4"/>
      <c r="H447" s="4"/>
      <c r="I447" s="4"/>
      <c r="J447" s="9" t="e">
        <f t="shared" si="103"/>
        <v>#DIV/0!</v>
      </c>
      <c r="K447" s="4"/>
      <c r="L447" s="4"/>
      <c r="M447" s="4"/>
      <c r="N447" s="4"/>
      <c r="O447" s="7"/>
      <c r="P447" s="7"/>
      <c r="Q447" s="4"/>
      <c r="R447" s="9" t="e">
        <f t="shared" si="104"/>
        <v>#DIV/0!</v>
      </c>
      <c r="S447" s="4" t="s">
        <v>153</v>
      </c>
      <c r="T447" s="4"/>
      <c r="U447" s="10"/>
      <c r="V447" s="10"/>
      <c r="W447" s="10"/>
      <c r="X447" s="10"/>
      <c r="Y447" s="10"/>
      <c r="Z447" s="10"/>
      <c r="AA447" s="11" t="e">
        <f t="shared" si="105"/>
        <v>#DIV/0!</v>
      </c>
      <c r="AB447" s="11">
        <f t="shared" si="106"/>
        <v>9</v>
      </c>
      <c r="AC447" s="11">
        <f t="shared" si="107"/>
        <v>8</v>
      </c>
      <c r="AD447" s="11" t="e">
        <f t="shared" si="108"/>
        <v>#DIV/0!</v>
      </c>
      <c r="AE447" s="11" t="e">
        <f t="shared" si="109"/>
        <v>#DIV/0!</v>
      </c>
      <c r="AF447" s="11" t="e">
        <f t="shared" si="110"/>
        <v>#DIV/0!</v>
      </c>
      <c r="AG447" s="11" t="e">
        <f t="shared" si="111"/>
        <v>#DIV/0!</v>
      </c>
      <c r="AH447" s="11" t="e">
        <f t="shared" si="112"/>
        <v>#DIV/0!</v>
      </c>
      <c r="AI447" s="10"/>
      <c r="AJ447" s="11" t="e">
        <f t="shared" si="113"/>
        <v>#DIV/0!</v>
      </c>
      <c r="AK447" s="11" t="e">
        <f t="shared" si="114"/>
        <v>#DIV/0!</v>
      </c>
      <c r="AL447" s="11" t="e">
        <f t="shared" si="115"/>
        <v>#DIV/0!</v>
      </c>
    </row>
    <row r="448" spans="2:38" x14ac:dyDescent="0.2">
      <c r="B448" s="4"/>
      <c r="C448" s="4"/>
      <c r="D448" s="4"/>
      <c r="E448" s="4"/>
      <c r="F448" s="4"/>
      <c r="G448" s="4"/>
      <c r="H448" s="4"/>
      <c r="I448" s="4"/>
      <c r="J448" s="9" t="e">
        <f t="shared" si="103"/>
        <v>#DIV/0!</v>
      </c>
      <c r="K448" s="4"/>
      <c r="L448" s="4"/>
      <c r="M448" s="4"/>
      <c r="N448" s="4"/>
      <c r="O448" s="7"/>
      <c r="P448" s="7"/>
      <c r="Q448" s="4"/>
      <c r="R448" s="9" t="e">
        <f t="shared" si="104"/>
        <v>#DIV/0!</v>
      </c>
      <c r="S448" s="4" t="s">
        <v>153</v>
      </c>
      <c r="T448" s="4"/>
      <c r="U448" s="10"/>
      <c r="V448" s="10"/>
      <c r="W448" s="10"/>
      <c r="X448" s="10"/>
      <c r="Y448" s="10"/>
      <c r="Z448" s="10"/>
      <c r="AA448" s="11" t="e">
        <f t="shared" si="105"/>
        <v>#DIV/0!</v>
      </c>
      <c r="AB448" s="11">
        <f t="shared" si="106"/>
        <v>9</v>
      </c>
      <c r="AC448" s="11">
        <f t="shared" si="107"/>
        <v>8</v>
      </c>
      <c r="AD448" s="11" t="e">
        <f t="shared" si="108"/>
        <v>#DIV/0!</v>
      </c>
      <c r="AE448" s="11" t="e">
        <f t="shared" si="109"/>
        <v>#DIV/0!</v>
      </c>
      <c r="AF448" s="11" t="e">
        <f t="shared" si="110"/>
        <v>#DIV/0!</v>
      </c>
      <c r="AG448" s="11" t="e">
        <f t="shared" si="111"/>
        <v>#DIV/0!</v>
      </c>
      <c r="AH448" s="11" t="e">
        <f t="shared" si="112"/>
        <v>#DIV/0!</v>
      </c>
      <c r="AI448" s="10"/>
      <c r="AJ448" s="11" t="e">
        <f t="shared" si="113"/>
        <v>#DIV/0!</v>
      </c>
      <c r="AK448" s="11" t="e">
        <f t="shared" si="114"/>
        <v>#DIV/0!</v>
      </c>
      <c r="AL448" s="11" t="e">
        <f t="shared" si="115"/>
        <v>#DIV/0!</v>
      </c>
    </row>
    <row r="449" spans="2:38" x14ac:dyDescent="0.2">
      <c r="B449" s="4"/>
      <c r="C449" s="4"/>
      <c r="D449" s="4"/>
      <c r="E449" s="4"/>
      <c r="F449" s="4"/>
      <c r="G449" s="4"/>
      <c r="H449" s="4"/>
      <c r="I449" s="4"/>
      <c r="J449" s="9" t="e">
        <f t="shared" si="103"/>
        <v>#DIV/0!</v>
      </c>
      <c r="K449" s="4"/>
      <c r="L449" s="4"/>
      <c r="M449" s="4"/>
      <c r="N449" s="4"/>
      <c r="O449" s="7"/>
      <c r="P449" s="7"/>
      <c r="Q449" s="4"/>
      <c r="R449" s="9" t="e">
        <f t="shared" si="104"/>
        <v>#DIV/0!</v>
      </c>
      <c r="S449" s="4" t="s">
        <v>153</v>
      </c>
      <c r="T449" s="4"/>
      <c r="U449" s="10"/>
      <c r="V449" s="10"/>
      <c r="W449" s="10"/>
      <c r="X449" s="10"/>
      <c r="Y449" s="10"/>
      <c r="Z449" s="10"/>
      <c r="AA449" s="11" t="e">
        <f t="shared" si="105"/>
        <v>#DIV/0!</v>
      </c>
      <c r="AB449" s="11">
        <f t="shared" si="106"/>
        <v>9</v>
      </c>
      <c r="AC449" s="11">
        <f t="shared" si="107"/>
        <v>8</v>
      </c>
      <c r="AD449" s="11" t="e">
        <f t="shared" si="108"/>
        <v>#DIV/0!</v>
      </c>
      <c r="AE449" s="11" t="e">
        <f t="shared" si="109"/>
        <v>#DIV/0!</v>
      </c>
      <c r="AF449" s="11" t="e">
        <f t="shared" si="110"/>
        <v>#DIV/0!</v>
      </c>
      <c r="AG449" s="11" t="e">
        <f t="shared" si="111"/>
        <v>#DIV/0!</v>
      </c>
      <c r="AH449" s="11" t="e">
        <f t="shared" si="112"/>
        <v>#DIV/0!</v>
      </c>
      <c r="AI449" s="10"/>
      <c r="AJ449" s="11" t="e">
        <f t="shared" si="113"/>
        <v>#DIV/0!</v>
      </c>
      <c r="AK449" s="11" t="e">
        <f t="shared" si="114"/>
        <v>#DIV/0!</v>
      </c>
      <c r="AL449" s="11" t="e">
        <f t="shared" si="115"/>
        <v>#DIV/0!</v>
      </c>
    </row>
    <row r="450" spans="2:38" x14ac:dyDescent="0.2">
      <c r="B450" s="4"/>
      <c r="C450" s="4"/>
      <c r="D450" s="4"/>
      <c r="E450" s="4"/>
      <c r="F450" s="4"/>
      <c r="G450" s="4"/>
      <c r="H450" s="4"/>
      <c r="I450" s="4"/>
      <c r="J450" s="9" t="e">
        <f t="shared" si="103"/>
        <v>#DIV/0!</v>
      </c>
      <c r="K450" s="4"/>
      <c r="L450" s="4"/>
      <c r="M450" s="4"/>
      <c r="N450" s="4"/>
      <c r="O450" s="7"/>
      <c r="P450" s="7"/>
      <c r="Q450" s="4"/>
      <c r="R450" s="9" t="e">
        <f t="shared" si="104"/>
        <v>#DIV/0!</v>
      </c>
      <c r="S450" s="4" t="s">
        <v>153</v>
      </c>
      <c r="T450" s="4"/>
      <c r="U450" s="10"/>
      <c r="V450" s="10"/>
      <c r="W450" s="10"/>
      <c r="X450" s="10"/>
      <c r="Y450" s="10"/>
      <c r="Z450" s="10"/>
      <c r="AA450" s="11" t="e">
        <f t="shared" si="105"/>
        <v>#DIV/0!</v>
      </c>
      <c r="AB450" s="11">
        <f t="shared" si="106"/>
        <v>9</v>
      </c>
      <c r="AC450" s="11">
        <f t="shared" si="107"/>
        <v>8</v>
      </c>
      <c r="AD450" s="11" t="e">
        <f t="shared" si="108"/>
        <v>#DIV/0!</v>
      </c>
      <c r="AE450" s="11" t="e">
        <f t="shared" si="109"/>
        <v>#DIV/0!</v>
      </c>
      <c r="AF450" s="11" t="e">
        <f t="shared" si="110"/>
        <v>#DIV/0!</v>
      </c>
      <c r="AG450" s="11" t="e">
        <f t="shared" si="111"/>
        <v>#DIV/0!</v>
      </c>
      <c r="AH450" s="11" t="e">
        <f t="shared" si="112"/>
        <v>#DIV/0!</v>
      </c>
      <c r="AI450" s="10"/>
      <c r="AJ450" s="11" t="e">
        <f t="shared" si="113"/>
        <v>#DIV/0!</v>
      </c>
      <c r="AK450" s="11" t="e">
        <f t="shared" si="114"/>
        <v>#DIV/0!</v>
      </c>
      <c r="AL450" s="11" t="e">
        <f t="shared" si="115"/>
        <v>#DIV/0!</v>
      </c>
    </row>
    <row r="451" spans="2:38" x14ac:dyDescent="0.2">
      <c r="B451" s="4"/>
      <c r="C451" s="4"/>
      <c r="D451" s="4"/>
      <c r="E451" s="4"/>
      <c r="F451" s="4"/>
      <c r="G451" s="4"/>
      <c r="H451" s="4"/>
      <c r="I451" s="4"/>
      <c r="J451" s="9" t="e">
        <f t="shared" si="103"/>
        <v>#DIV/0!</v>
      </c>
      <c r="K451" s="4"/>
      <c r="L451" s="4"/>
      <c r="M451" s="4"/>
      <c r="N451" s="4"/>
      <c r="O451" s="7"/>
      <c r="P451" s="7"/>
      <c r="Q451" s="4"/>
      <c r="R451" s="9" t="e">
        <f t="shared" si="104"/>
        <v>#DIV/0!</v>
      </c>
      <c r="S451" s="4" t="s">
        <v>153</v>
      </c>
      <c r="T451" s="4"/>
      <c r="U451" s="10"/>
      <c r="V451" s="10"/>
      <c r="W451" s="10"/>
      <c r="X451" s="10"/>
      <c r="Y451" s="10"/>
      <c r="Z451" s="10"/>
      <c r="AA451" s="11" t="e">
        <f t="shared" si="105"/>
        <v>#DIV/0!</v>
      </c>
      <c r="AB451" s="11">
        <f t="shared" si="106"/>
        <v>9</v>
      </c>
      <c r="AC451" s="11">
        <f t="shared" si="107"/>
        <v>8</v>
      </c>
      <c r="AD451" s="11" t="e">
        <f t="shared" si="108"/>
        <v>#DIV/0!</v>
      </c>
      <c r="AE451" s="11" t="e">
        <f t="shared" si="109"/>
        <v>#DIV/0!</v>
      </c>
      <c r="AF451" s="11" t="e">
        <f t="shared" si="110"/>
        <v>#DIV/0!</v>
      </c>
      <c r="AG451" s="11" t="e">
        <f t="shared" si="111"/>
        <v>#DIV/0!</v>
      </c>
      <c r="AH451" s="11" t="e">
        <f t="shared" si="112"/>
        <v>#DIV/0!</v>
      </c>
      <c r="AI451" s="10"/>
      <c r="AJ451" s="11" t="e">
        <f t="shared" si="113"/>
        <v>#DIV/0!</v>
      </c>
      <c r="AK451" s="11" t="e">
        <f t="shared" si="114"/>
        <v>#DIV/0!</v>
      </c>
      <c r="AL451" s="11" t="e">
        <f t="shared" si="115"/>
        <v>#DIV/0!</v>
      </c>
    </row>
    <row r="452" spans="2:38" x14ac:dyDescent="0.2">
      <c r="B452" s="4"/>
      <c r="C452" s="4"/>
      <c r="D452" s="4"/>
      <c r="E452" s="4"/>
      <c r="F452" s="4"/>
      <c r="G452" s="4"/>
      <c r="H452" s="4"/>
      <c r="I452" s="4"/>
      <c r="J452" s="9" t="e">
        <f t="shared" si="103"/>
        <v>#DIV/0!</v>
      </c>
      <c r="K452" s="4"/>
      <c r="L452" s="4"/>
      <c r="M452" s="4"/>
      <c r="N452" s="4"/>
      <c r="O452" s="7"/>
      <c r="P452" s="7"/>
      <c r="Q452" s="4"/>
      <c r="R452" s="9" t="e">
        <f t="shared" si="104"/>
        <v>#DIV/0!</v>
      </c>
      <c r="S452" s="4" t="s">
        <v>153</v>
      </c>
      <c r="T452" s="4"/>
      <c r="U452" s="10"/>
      <c r="V452" s="10"/>
      <c r="W452" s="10"/>
      <c r="X452" s="10"/>
      <c r="Y452" s="10"/>
      <c r="Z452" s="10"/>
      <c r="AA452" s="11" t="e">
        <f t="shared" si="105"/>
        <v>#DIV/0!</v>
      </c>
      <c r="AB452" s="11">
        <f t="shared" si="106"/>
        <v>9</v>
      </c>
      <c r="AC452" s="11">
        <f t="shared" si="107"/>
        <v>8</v>
      </c>
      <c r="AD452" s="11" t="e">
        <f t="shared" si="108"/>
        <v>#DIV/0!</v>
      </c>
      <c r="AE452" s="11" t="e">
        <f t="shared" si="109"/>
        <v>#DIV/0!</v>
      </c>
      <c r="AF452" s="11" t="e">
        <f t="shared" si="110"/>
        <v>#DIV/0!</v>
      </c>
      <c r="AG452" s="11" t="e">
        <f t="shared" si="111"/>
        <v>#DIV/0!</v>
      </c>
      <c r="AH452" s="11" t="e">
        <f t="shared" si="112"/>
        <v>#DIV/0!</v>
      </c>
      <c r="AI452" s="10"/>
      <c r="AJ452" s="11" t="e">
        <f t="shared" si="113"/>
        <v>#DIV/0!</v>
      </c>
      <c r="AK452" s="11" t="e">
        <f t="shared" si="114"/>
        <v>#DIV/0!</v>
      </c>
      <c r="AL452" s="11" t="e">
        <f t="shared" si="115"/>
        <v>#DIV/0!</v>
      </c>
    </row>
    <row r="453" spans="2:38" x14ac:dyDescent="0.2">
      <c r="B453" s="4"/>
      <c r="C453" s="4"/>
      <c r="D453" s="4"/>
      <c r="E453" s="4"/>
      <c r="F453" s="4"/>
      <c r="G453" s="4"/>
      <c r="H453" s="4"/>
      <c r="I453" s="4"/>
      <c r="J453" s="9" t="e">
        <f t="shared" si="103"/>
        <v>#DIV/0!</v>
      </c>
      <c r="K453" s="4"/>
      <c r="L453" s="4"/>
      <c r="M453" s="4"/>
      <c r="N453" s="4"/>
      <c r="O453" s="7"/>
      <c r="P453" s="7"/>
      <c r="Q453" s="4"/>
      <c r="R453" s="9" t="e">
        <f t="shared" si="104"/>
        <v>#DIV/0!</v>
      </c>
      <c r="S453" s="4" t="s">
        <v>153</v>
      </c>
      <c r="T453" s="4"/>
      <c r="U453" s="10"/>
      <c r="V453" s="10"/>
      <c r="W453" s="10"/>
      <c r="X453" s="10"/>
      <c r="Y453" s="10"/>
      <c r="Z453" s="10"/>
      <c r="AA453" s="11" t="e">
        <f t="shared" si="105"/>
        <v>#DIV/0!</v>
      </c>
      <c r="AB453" s="11">
        <f t="shared" si="106"/>
        <v>9</v>
      </c>
      <c r="AC453" s="11">
        <f t="shared" si="107"/>
        <v>8</v>
      </c>
      <c r="AD453" s="11" t="e">
        <f t="shared" si="108"/>
        <v>#DIV/0!</v>
      </c>
      <c r="AE453" s="11" t="e">
        <f t="shared" si="109"/>
        <v>#DIV/0!</v>
      </c>
      <c r="AF453" s="11" t="e">
        <f t="shared" si="110"/>
        <v>#DIV/0!</v>
      </c>
      <c r="AG453" s="11" t="e">
        <f t="shared" si="111"/>
        <v>#DIV/0!</v>
      </c>
      <c r="AH453" s="11" t="e">
        <f t="shared" si="112"/>
        <v>#DIV/0!</v>
      </c>
      <c r="AI453" s="10"/>
      <c r="AJ453" s="11" t="e">
        <f t="shared" si="113"/>
        <v>#DIV/0!</v>
      </c>
      <c r="AK453" s="11" t="e">
        <f t="shared" si="114"/>
        <v>#DIV/0!</v>
      </c>
      <c r="AL453" s="11" t="e">
        <f t="shared" si="115"/>
        <v>#DIV/0!</v>
      </c>
    </row>
    <row r="454" spans="2:38" x14ac:dyDescent="0.2">
      <c r="B454" s="4"/>
      <c r="C454" s="4"/>
      <c r="D454" s="4"/>
      <c r="E454" s="4"/>
      <c r="F454" s="4"/>
      <c r="G454" s="4"/>
      <c r="H454" s="4"/>
      <c r="I454" s="4"/>
      <c r="J454" s="9" t="e">
        <f t="shared" si="103"/>
        <v>#DIV/0!</v>
      </c>
      <c r="K454" s="4"/>
      <c r="L454" s="4"/>
      <c r="M454" s="4"/>
      <c r="N454" s="4"/>
      <c r="O454" s="7"/>
      <c r="P454" s="7"/>
      <c r="Q454" s="4"/>
      <c r="R454" s="9" t="e">
        <f t="shared" si="104"/>
        <v>#DIV/0!</v>
      </c>
      <c r="S454" s="4" t="s">
        <v>153</v>
      </c>
      <c r="T454" s="4"/>
      <c r="U454" s="10"/>
      <c r="V454" s="10"/>
      <c r="W454" s="10"/>
      <c r="X454" s="10"/>
      <c r="Y454" s="10"/>
      <c r="Z454" s="10"/>
      <c r="AA454" s="11" t="e">
        <f t="shared" si="105"/>
        <v>#DIV/0!</v>
      </c>
      <c r="AB454" s="11">
        <f t="shared" si="106"/>
        <v>9</v>
      </c>
      <c r="AC454" s="11">
        <f t="shared" si="107"/>
        <v>8</v>
      </c>
      <c r="AD454" s="11" t="e">
        <f t="shared" si="108"/>
        <v>#DIV/0!</v>
      </c>
      <c r="AE454" s="11" t="e">
        <f t="shared" si="109"/>
        <v>#DIV/0!</v>
      </c>
      <c r="AF454" s="11" t="e">
        <f t="shared" si="110"/>
        <v>#DIV/0!</v>
      </c>
      <c r="AG454" s="11" t="e">
        <f t="shared" si="111"/>
        <v>#DIV/0!</v>
      </c>
      <c r="AH454" s="11" t="e">
        <f t="shared" si="112"/>
        <v>#DIV/0!</v>
      </c>
      <c r="AI454" s="10"/>
      <c r="AJ454" s="11" t="e">
        <f t="shared" si="113"/>
        <v>#DIV/0!</v>
      </c>
      <c r="AK454" s="11" t="e">
        <f t="shared" si="114"/>
        <v>#DIV/0!</v>
      </c>
      <c r="AL454" s="11" t="e">
        <f t="shared" si="115"/>
        <v>#DIV/0!</v>
      </c>
    </row>
    <row r="455" spans="2:38" x14ac:dyDescent="0.2">
      <c r="B455" s="4"/>
      <c r="C455" s="4"/>
      <c r="D455" s="4"/>
      <c r="E455" s="4"/>
      <c r="F455" s="4"/>
      <c r="G455" s="4"/>
      <c r="H455" s="4"/>
      <c r="I455" s="4"/>
      <c r="J455" s="9" t="e">
        <f t="shared" si="103"/>
        <v>#DIV/0!</v>
      </c>
      <c r="K455" s="4"/>
      <c r="L455" s="4"/>
      <c r="M455" s="4"/>
      <c r="N455" s="4"/>
      <c r="O455" s="7"/>
      <c r="P455" s="7"/>
      <c r="Q455" s="4"/>
      <c r="R455" s="9" t="e">
        <f t="shared" si="104"/>
        <v>#DIV/0!</v>
      </c>
      <c r="S455" s="4" t="s">
        <v>153</v>
      </c>
      <c r="T455" s="4"/>
      <c r="U455" s="10"/>
      <c r="V455" s="10"/>
      <c r="W455" s="10"/>
      <c r="X455" s="10"/>
      <c r="Y455" s="10"/>
      <c r="Z455" s="10"/>
      <c r="AA455" s="11" t="e">
        <f t="shared" si="105"/>
        <v>#DIV/0!</v>
      </c>
      <c r="AB455" s="11">
        <f t="shared" si="106"/>
        <v>9</v>
      </c>
      <c r="AC455" s="11">
        <f t="shared" si="107"/>
        <v>8</v>
      </c>
      <c r="AD455" s="11" t="e">
        <f t="shared" si="108"/>
        <v>#DIV/0!</v>
      </c>
      <c r="AE455" s="11" t="e">
        <f t="shared" si="109"/>
        <v>#DIV/0!</v>
      </c>
      <c r="AF455" s="11" t="e">
        <f t="shared" si="110"/>
        <v>#DIV/0!</v>
      </c>
      <c r="AG455" s="11" t="e">
        <f t="shared" si="111"/>
        <v>#DIV/0!</v>
      </c>
      <c r="AH455" s="11" t="e">
        <f t="shared" si="112"/>
        <v>#DIV/0!</v>
      </c>
      <c r="AI455" s="10"/>
      <c r="AJ455" s="11" t="e">
        <f t="shared" si="113"/>
        <v>#DIV/0!</v>
      </c>
      <c r="AK455" s="11" t="e">
        <f t="shared" si="114"/>
        <v>#DIV/0!</v>
      </c>
      <c r="AL455" s="11" t="e">
        <f t="shared" si="115"/>
        <v>#DIV/0!</v>
      </c>
    </row>
    <row r="456" spans="2:38" x14ac:dyDescent="0.2">
      <c r="B456" s="4"/>
      <c r="C456" s="4"/>
      <c r="D456" s="4"/>
      <c r="E456" s="4"/>
      <c r="F456" s="4"/>
      <c r="G456" s="4"/>
      <c r="H456" s="4"/>
      <c r="I456" s="4"/>
      <c r="J456" s="9" t="e">
        <f t="shared" si="103"/>
        <v>#DIV/0!</v>
      </c>
      <c r="K456" s="4"/>
      <c r="L456" s="4"/>
      <c r="M456" s="4"/>
      <c r="N456" s="4"/>
      <c r="O456" s="7"/>
      <c r="P456" s="7"/>
      <c r="Q456" s="4"/>
      <c r="R456" s="9" t="e">
        <f t="shared" si="104"/>
        <v>#DIV/0!</v>
      </c>
      <c r="S456" s="4" t="s">
        <v>153</v>
      </c>
      <c r="T456" s="4"/>
      <c r="U456" s="10"/>
      <c r="V456" s="10"/>
      <c r="W456" s="10"/>
      <c r="X456" s="10"/>
      <c r="Y456" s="10"/>
      <c r="Z456" s="10"/>
      <c r="AA456" s="11" t="e">
        <f t="shared" si="105"/>
        <v>#DIV/0!</v>
      </c>
      <c r="AB456" s="11">
        <f t="shared" si="106"/>
        <v>9</v>
      </c>
      <c r="AC456" s="11">
        <f t="shared" si="107"/>
        <v>8</v>
      </c>
      <c r="AD456" s="11" t="e">
        <f t="shared" si="108"/>
        <v>#DIV/0!</v>
      </c>
      <c r="AE456" s="11" t="e">
        <f t="shared" si="109"/>
        <v>#DIV/0!</v>
      </c>
      <c r="AF456" s="11" t="e">
        <f t="shared" si="110"/>
        <v>#DIV/0!</v>
      </c>
      <c r="AG456" s="11" t="e">
        <f t="shared" si="111"/>
        <v>#DIV/0!</v>
      </c>
      <c r="AH456" s="11" t="e">
        <f t="shared" si="112"/>
        <v>#DIV/0!</v>
      </c>
      <c r="AI456" s="10"/>
      <c r="AJ456" s="11" t="e">
        <f t="shared" si="113"/>
        <v>#DIV/0!</v>
      </c>
      <c r="AK456" s="11" t="e">
        <f t="shared" si="114"/>
        <v>#DIV/0!</v>
      </c>
      <c r="AL456" s="11" t="e">
        <f t="shared" si="115"/>
        <v>#DIV/0!</v>
      </c>
    </row>
  </sheetData>
  <sortState ref="A3:AL30">
    <sortCondition ref="S3:S30"/>
    <sortCondition ref="A3:A30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332"/>
  <sheetViews>
    <sheetView topLeftCell="A54" zoomScale="85" zoomScaleNormal="85" workbookViewId="0">
      <selection activeCell="V71" sqref="V71"/>
    </sheetView>
  </sheetViews>
  <sheetFormatPr defaultRowHeight="12.75" x14ac:dyDescent="0.2"/>
  <cols>
    <col min="1" max="1" width="18.28515625" style="21" bestFit="1" customWidth="1"/>
    <col min="2" max="2" width="4.5703125" style="12" customWidth="1"/>
    <col min="3" max="3" width="5.85546875" style="12" customWidth="1"/>
    <col min="4" max="4" width="5.5703125" style="16" bestFit="1" customWidth="1"/>
    <col min="5" max="5" width="6.28515625" style="16" customWidth="1"/>
    <col min="6" max="6" width="6.85546875" style="15" customWidth="1"/>
    <col min="7" max="7" width="8.140625" style="15" customWidth="1"/>
    <col min="8" max="8" width="3.7109375" style="12" customWidth="1"/>
    <col min="9" max="9" width="5" style="12" customWidth="1"/>
    <col min="10" max="10" width="5.140625" style="12" customWidth="1"/>
    <col min="11" max="11" width="4.140625" style="12" customWidth="1"/>
    <col min="12" max="12" width="4.5703125" style="12" customWidth="1"/>
    <col min="13" max="13" width="4.7109375" style="12" customWidth="1"/>
    <col min="14" max="14" width="3.28515625" style="12" customWidth="1"/>
    <col min="15" max="15" width="3.140625" style="12" customWidth="1"/>
    <col min="16" max="16" width="7.28515625" style="15" customWidth="1"/>
    <col min="17" max="17" width="8.140625" style="12" customWidth="1"/>
    <col min="18" max="18" width="7" style="12" bestFit="1" customWidth="1"/>
    <col min="19" max="19" width="10.7109375" style="12" bestFit="1" customWidth="1"/>
    <col min="20" max="20" width="8.7109375" style="12" customWidth="1"/>
    <col min="21" max="21" width="7.5703125" style="12" customWidth="1"/>
    <col min="22" max="22" width="8.42578125" style="12" customWidth="1"/>
    <col min="23" max="23" width="9.7109375" style="12" customWidth="1"/>
    <col min="24" max="24" width="7.140625" style="12" customWidth="1"/>
    <col min="25" max="25" width="6.7109375" style="12" customWidth="1"/>
    <col min="26" max="27" width="6.85546875" style="12" customWidth="1"/>
    <col min="28" max="28" width="6.5703125" style="12" customWidth="1"/>
    <col min="29" max="29" width="6.7109375" style="12" customWidth="1"/>
    <col min="30" max="31" width="6.42578125" style="12" customWidth="1"/>
    <col min="32" max="32" width="7.7109375" style="12" customWidth="1"/>
    <col min="33" max="16384" width="9.140625" style="12"/>
  </cols>
  <sheetData>
    <row r="1" spans="1:32" s="26" customFormat="1" x14ac:dyDescent="0.2">
      <c r="A1" s="23" t="s">
        <v>60</v>
      </c>
      <c r="B1" s="24" t="s">
        <v>1</v>
      </c>
      <c r="C1" s="24" t="s">
        <v>79</v>
      </c>
      <c r="D1" s="27" t="s">
        <v>61</v>
      </c>
      <c r="E1" s="27" t="s">
        <v>80</v>
      </c>
      <c r="F1" s="28" t="s">
        <v>62</v>
      </c>
      <c r="G1" s="28" t="s">
        <v>63</v>
      </c>
      <c r="H1" s="24" t="s">
        <v>64</v>
      </c>
      <c r="I1" s="24" t="s">
        <v>11</v>
      </c>
      <c r="J1" s="24" t="s">
        <v>12</v>
      </c>
      <c r="K1" s="24" t="s">
        <v>13</v>
      </c>
      <c r="L1" s="24" t="s">
        <v>10</v>
      </c>
      <c r="M1" s="24" t="s">
        <v>5</v>
      </c>
      <c r="N1" s="24" t="s">
        <v>6</v>
      </c>
      <c r="O1" s="24" t="s">
        <v>8</v>
      </c>
      <c r="P1" s="28" t="s">
        <v>65</v>
      </c>
      <c r="Q1" s="24" t="s">
        <v>66</v>
      </c>
      <c r="R1" s="24" t="s">
        <v>142</v>
      </c>
      <c r="S1" s="24" t="s">
        <v>18</v>
      </c>
      <c r="T1" s="24" t="s">
        <v>19</v>
      </c>
      <c r="U1" s="24" t="s">
        <v>67</v>
      </c>
      <c r="V1" s="24" t="s">
        <v>20</v>
      </c>
      <c r="W1" s="24" t="s">
        <v>68</v>
      </c>
      <c r="X1" s="24" t="s">
        <v>28</v>
      </c>
      <c r="Y1" s="24" t="s">
        <v>143</v>
      </c>
      <c r="Z1" s="24" t="s">
        <v>134</v>
      </c>
      <c r="AA1" s="24" t="s">
        <v>135</v>
      </c>
      <c r="AB1" s="24" t="s">
        <v>136</v>
      </c>
      <c r="AC1" s="24" t="s">
        <v>137</v>
      </c>
      <c r="AD1" s="24" t="s">
        <v>138</v>
      </c>
      <c r="AE1" s="24" t="s">
        <v>139</v>
      </c>
      <c r="AF1" s="24" t="s">
        <v>141</v>
      </c>
    </row>
    <row r="2" spans="1:32" x14ac:dyDescent="0.2">
      <c r="P2" s="13" t="e">
        <f t="shared" ref="P2:P24" si="0">O2/D2*9</f>
        <v>#DIV/0!</v>
      </c>
      <c r="Q2" s="1">
        <f t="shared" ref="Q2:Q7" si="1">IF(G2&lt;=1.1,6,IF(G2&lt;=1.2,5,IF(G2&lt;=1.3,4,IF(G2&lt;=1.4,3,IF(G2&lt;=1.5,2,1)))))</f>
        <v>6</v>
      </c>
      <c r="R2" s="1" t="e">
        <f t="shared" ref="R2:R24" si="2">ROUND(E2/C2, 0)</f>
        <v>#DIV/0!</v>
      </c>
      <c r="S2" s="1"/>
      <c r="T2" s="1"/>
      <c r="X2" s="12">
        <f t="shared" ref="X2:X7" si="3">IF(F2&lt;1.25, 19, IF(F2&lt;2, 18, IF(F2&lt;3, 17, IF(F2&lt;4.5, 16, IF(F2&lt;6, 15, 14)))))</f>
        <v>19</v>
      </c>
      <c r="Y2" s="1" t="e">
        <f>ROUND($X2*H2/($H2+$I2+$J2+$K2), 0)</f>
        <v>#DIV/0!</v>
      </c>
      <c r="Z2" s="1" t="e">
        <f>ROUND($X2*I2/($H2+$I2+$J2+$K2), 0)</f>
        <v>#DIV/0!</v>
      </c>
      <c r="AA2" s="1" t="e">
        <f>ROUND($X2*J2/($H2+$I2+$J2+$K2), 0)</f>
        <v>#DIV/0!</v>
      </c>
      <c r="AB2" s="1" t="e">
        <f>ROUND($X2*K2/($H2+$I2+$J2+$K2), 0)</f>
        <v>#DIV/0!</v>
      </c>
      <c r="AC2" s="1" t="e">
        <f>ROUND(L2/($L2+$M2+$N2)*(20-$X2), 0)</f>
        <v>#DIV/0!</v>
      </c>
      <c r="AD2" s="1" t="e">
        <f>ROUND(M2/($L2+$M2+$N2)*(20-$X2), 0)</f>
        <v>#DIV/0!</v>
      </c>
      <c r="AE2" s="1" t="e">
        <f>ROUND(N2/($L2+$M2+$N2)*(20-$X2), 0)</f>
        <v>#DIV/0!</v>
      </c>
      <c r="AF2" s="1" t="e">
        <f t="shared" ref="AF2:AF3" si="4">IF(P2&lt;0.5,28,IF(P2&lt;0.7,27,IF(P2&lt;0.8,26,IF(P2&lt;1,25,IF(P2&lt;1.1,24,IF(P2&lt;1.25,23,IF(P2&lt;1.5,22,IF(P2&lt;1.75,21,IF(P2&lt;2,21,20)))))))))</f>
        <v>#DIV/0!</v>
      </c>
    </row>
    <row r="3" spans="1:32" x14ac:dyDescent="0.2">
      <c r="A3" s="21" t="s">
        <v>76</v>
      </c>
      <c r="B3" s="12">
        <v>33</v>
      </c>
      <c r="C3" s="12">
        <v>33</v>
      </c>
      <c r="D3" s="16">
        <v>212.33</v>
      </c>
      <c r="E3" s="16">
        <v>212.33</v>
      </c>
      <c r="F3" s="15">
        <v>3.39</v>
      </c>
      <c r="G3" s="15">
        <v>1.34</v>
      </c>
      <c r="H3" s="12">
        <v>12</v>
      </c>
      <c r="I3" s="12">
        <v>188</v>
      </c>
      <c r="J3" s="12">
        <v>276</v>
      </c>
      <c r="K3" s="12">
        <v>208</v>
      </c>
      <c r="L3" s="12">
        <v>96</v>
      </c>
      <c r="M3" s="12">
        <v>140</v>
      </c>
      <c r="N3" s="12">
        <v>41</v>
      </c>
      <c r="O3" s="12">
        <v>15</v>
      </c>
      <c r="P3" s="13">
        <f t="shared" si="0"/>
        <v>0.63580275985494283</v>
      </c>
      <c r="Q3" s="1">
        <f t="shared" si="1"/>
        <v>3</v>
      </c>
      <c r="R3" s="1">
        <f t="shared" si="2"/>
        <v>6</v>
      </c>
      <c r="S3" s="1" t="s">
        <v>31</v>
      </c>
      <c r="T3" s="1"/>
      <c r="U3" s="12" t="s">
        <v>69</v>
      </c>
      <c r="V3" s="12" t="s">
        <v>32</v>
      </c>
      <c r="W3" s="12" t="s">
        <v>42</v>
      </c>
      <c r="X3" s="12">
        <f t="shared" si="3"/>
        <v>16</v>
      </c>
      <c r="Y3" s="1">
        <v>1</v>
      </c>
      <c r="Z3" s="1">
        <v>6</v>
      </c>
      <c r="AA3" s="1">
        <v>12</v>
      </c>
      <c r="AB3" s="1">
        <v>16</v>
      </c>
      <c r="AC3" s="1">
        <v>18</v>
      </c>
      <c r="AD3" s="1">
        <v>19</v>
      </c>
      <c r="AE3" s="1">
        <v>26</v>
      </c>
      <c r="AF3" s="1">
        <f t="shared" si="4"/>
        <v>27</v>
      </c>
    </row>
    <row r="4" spans="1:32" x14ac:dyDescent="0.2">
      <c r="A4" s="21" t="s">
        <v>83</v>
      </c>
      <c r="B4" s="12">
        <v>67</v>
      </c>
      <c r="C4" s="12">
        <v>67</v>
      </c>
      <c r="D4" s="16">
        <v>68.67</v>
      </c>
      <c r="E4" s="16">
        <v>68.67</v>
      </c>
      <c r="F4" s="15">
        <v>3.8</v>
      </c>
      <c r="G4" s="15">
        <v>1.24</v>
      </c>
      <c r="H4" s="12">
        <v>16</v>
      </c>
      <c r="I4" s="12">
        <v>98</v>
      </c>
      <c r="J4" s="12">
        <v>37</v>
      </c>
      <c r="K4" s="12">
        <v>93</v>
      </c>
      <c r="L4" s="12">
        <v>34</v>
      </c>
      <c r="M4" s="12">
        <v>35</v>
      </c>
      <c r="N4" s="12">
        <v>9</v>
      </c>
      <c r="O4" s="12">
        <v>11</v>
      </c>
      <c r="P4" s="13">
        <f t="shared" si="0"/>
        <v>1.4416775884665793</v>
      </c>
      <c r="Q4" s="1">
        <f t="shared" si="1"/>
        <v>4</v>
      </c>
      <c r="R4" s="1">
        <f t="shared" si="2"/>
        <v>1</v>
      </c>
      <c r="S4" s="1" t="s">
        <v>31</v>
      </c>
      <c r="T4" s="1"/>
      <c r="U4" s="12" t="s">
        <v>82</v>
      </c>
      <c r="V4" s="12" t="s">
        <v>32</v>
      </c>
      <c r="W4" s="12" t="s">
        <v>33</v>
      </c>
      <c r="X4" s="12">
        <f t="shared" si="3"/>
        <v>16</v>
      </c>
      <c r="Y4" s="1">
        <v>3</v>
      </c>
      <c r="Z4" s="1">
        <v>10</v>
      </c>
      <c r="AA4" s="1">
        <v>12</v>
      </c>
      <c r="AB4" s="1">
        <v>16</v>
      </c>
      <c r="AC4" s="1">
        <v>18</v>
      </c>
      <c r="AD4" s="1">
        <v>19</v>
      </c>
      <c r="AE4" s="1">
        <v>21</v>
      </c>
      <c r="AF4" s="1">
        <f>IF(P4&lt;0.5,28,IF(P4&lt;0.7,27,IF(P4&lt;0.8,26,IF(P4&lt;1,25,IF(P4&lt;1.1,24,IF(P4&lt;1.25,23,IF(P4&lt;1.5,22,IF(P4&lt;1.75,21,IF(P4&lt;2,21,20)))))))))</f>
        <v>22</v>
      </c>
    </row>
    <row r="5" spans="1:32" x14ac:dyDescent="0.2">
      <c r="A5" s="21" t="s">
        <v>88</v>
      </c>
      <c r="B5" s="12">
        <v>27</v>
      </c>
      <c r="C5" s="12">
        <v>27</v>
      </c>
      <c r="D5" s="16">
        <v>28</v>
      </c>
      <c r="E5" s="16">
        <v>28</v>
      </c>
      <c r="F5" s="15">
        <v>4.5</v>
      </c>
      <c r="G5" s="15">
        <v>1.18</v>
      </c>
      <c r="H5" s="12">
        <v>1</v>
      </c>
      <c r="I5" s="12">
        <v>22</v>
      </c>
      <c r="J5" s="12">
        <v>11</v>
      </c>
      <c r="K5" s="12">
        <v>21</v>
      </c>
      <c r="L5" s="12">
        <v>8</v>
      </c>
      <c r="M5" s="12">
        <v>16</v>
      </c>
      <c r="N5" s="12">
        <v>7</v>
      </c>
      <c r="O5" s="12">
        <v>3</v>
      </c>
      <c r="P5" s="13">
        <f t="shared" si="0"/>
        <v>0.96428571428571419</v>
      </c>
      <c r="Q5" s="1">
        <f t="shared" si="1"/>
        <v>5</v>
      </c>
      <c r="R5" s="1">
        <f t="shared" si="2"/>
        <v>1</v>
      </c>
      <c r="S5" s="1" t="s">
        <v>31</v>
      </c>
      <c r="T5" s="1"/>
      <c r="U5" s="12" t="s">
        <v>85</v>
      </c>
      <c r="V5" s="12" t="s">
        <v>32</v>
      </c>
      <c r="W5" s="12" t="s">
        <v>33</v>
      </c>
      <c r="X5" s="12">
        <f t="shared" si="3"/>
        <v>15</v>
      </c>
      <c r="Y5" s="1">
        <v>1</v>
      </c>
      <c r="Z5" s="1">
        <v>6</v>
      </c>
      <c r="AA5" s="1">
        <v>9</v>
      </c>
      <c r="AB5" s="1">
        <v>15</v>
      </c>
      <c r="AC5" s="1">
        <v>17</v>
      </c>
      <c r="AD5" s="1">
        <v>19</v>
      </c>
      <c r="AE5" s="1">
        <v>24</v>
      </c>
      <c r="AF5" s="1">
        <f t="shared" ref="AF5:AF37" si="5">IF(P5&lt;0.5,28,IF(P5&lt;0.7,27,IF(P5&lt;0.8,26,IF(P5&lt;1,25,IF(P5&lt;1.1,24,IF(P5&lt;1.25,23,IF(P5&lt;1.5,22,IF(P5&lt;1.75,21,IF(P5&lt;2,21,20)))))))))</f>
        <v>25</v>
      </c>
    </row>
    <row r="6" spans="1:32" x14ac:dyDescent="0.2">
      <c r="A6" s="21" t="s">
        <v>77</v>
      </c>
      <c r="B6" s="12">
        <v>41</v>
      </c>
      <c r="C6" s="12">
        <v>17</v>
      </c>
      <c r="D6" s="16">
        <v>145.33000000000001</v>
      </c>
      <c r="E6" s="16">
        <v>103.33</v>
      </c>
      <c r="F6" s="15">
        <v>4.16</v>
      </c>
      <c r="G6" s="15">
        <v>1.34</v>
      </c>
      <c r="H6" s="12">
        <v>7</v>
      </c>
      <c r="I6" s="12">
        <v>101</v>
      </c>
      <c r="J6" s="12">
        <v>267</v>
      </c>
      <c r="K6" s="12">
        <v>106</v>
      </c>
      <c r="L6" s="12">
        <v>44</v>
      </c>
      <c r="M6" s="12">
        <v>115</v>
      </c>
      <c r="N6" s="12">
        <v>23</v>
      </c>
      <c r="O6" s="12">
        <v>12</v>
      </c>
      <c r="P6" s="13">
        <f t="shared" si="0"/>
        <v>0.74313631046583628</v>
      </c>
      <c r="Q6" s="1">
        <f t="shared" si="1"/>
        <v>3</v>
      </c>
      <c r="R6" s="1">
        <f t="shared" si="2"/>
        <v>6</v>
      </c>
      <c r="S6" s="1" t="s">
        <v>31</v>
      </c>
      <c r="T6" s="1"/>
      <c r="U6" s="12" t="s">
        <v>69</v>
      </c>
      <c r="V6" s="12" t="s">
        <v>32</v>
      </c>
      <c r="W6" s="12" t="s">
        <v>33</v>
      </c>
      <c r="X6" s="12">
        <f t="shared" si="3"/>
        <v>16</v>
      </c>
      <c r="Y6" s="1">
        <v>1</v>
      </c>
      <c r="Z6" s="1">
        <v>7</v>
      </c>
      <c r="AA6" s="1">
        <v>14</v>
      </c>
      <c r="AB6" s="1">
        <v>16</v>
      </c>
      <c r="AC6" s="1">
        <v>17</v>
      </c>
      <c r="AD6" s="1">
        <v>19</v>
      </c>
      <c r="AE6" s="1">
        <v>25</v>
      </c>
      <c r="AF6" s="1">
        <f t="shared" si="5"/>
        <v>26</v>
      </c>
    </row>
    <row r="7" spans="1:32" x14ac:dyDescent="0.2">
      <c r="A7" s="21" t="s">
        <v>81</v>
      </c>
      <c r="B7" s="12">
        <v>34</v>
      </c>
      <c r="C7" s="12">
        <v>23</v>
      </c>
      <c r="D7" s="16">
        <v>149</v>
      </c>
      <c r="E7" s="16">
        <v>130.66999999999999</v>
      </c>
      <c r="F7" s="15">
        <v>3.56</v>
      </c>
      <c r="G7" s="15">
        <v>1.4</v>
      </c>
      <c r="H7" s="12">
        <v>26</v>
      </c>
      <c r="I7" s="12">
        <v>137</v>
      </c>
      <c r="J7" s="12">
        <v>154</v>
      </c>
      <c r="K7" s="12">
        <v>184</v>
      </c>
      <c r="L7" s="12">
        <v>89</v>
      </c>
      <c r="M7" s="12">
        <v>118</v>
      </c>
      <c r="N7" s="12">
        <v>31</v>
      </c>
      <c r="O7" s="12">
        <v>17</v>
      </c>
      <c r="P7" s="13">
        <f t="shared" si="0"/>
        <v>1.0268456375838926</v>
      </c>
      <c r="Q7" s="1">
        <f t="shared" si="1"/>
        <v>3</v>
      </c>
      <c r="R7" s="1">
        <f t="shared" si="2"/>
        <v>6</v>
      </c>
      <c r="S7" s="1" t="s">
        <v>31</v>
      </c>
      <c r="T7" s="1"/>
      <c r="U7" s="12" t="s">
        <v>69</v>
      </c>
      <c r="V7" s="12" t="s">
        <v>32</v>
      </c>
      <c r="W7" s="12" t="s">
        <v>42</v>
      </c>
      <c r="X7" s="12">
        <f t="shared" si="3"/>
        <v>16</v>
      </c>
      <c r="Y7" s="1">
        <v>3</v>
      </c>
      <c r="Z7" s="1">
        <v>9</v>
      </c>
      <c r="AA7" s="1">
        <v>12</v>
      </c>
      <c r="AB7" s="1">
        <v>16</v>
      </c>
      <c r="AC7" s="1">
        <v>18</v>
      </c>
      <c r="AD7" s="1">
        <v>20</v>
      </c>
      <c r="AE7" s="1">
        <v>23</v>
      </c>
      <c r="AF7" s="1">
        <f t="shared" si="5"/>
        <v>24</v>
      </c>
    </row>
    <row r="8" spans="1:32" x14ac:dyDescent="0.2">
      <c r="A8" s="2" t="s">
        <v>273</v>
      </c>
      <c r="B8" s="6">
        <v>24</v>
      </c>
      <c r="C8" s="6">
        <v>24</v>
      </c>
      <c r="D8" s="17">
        <v>154.33000000000001</v>
      </c>
      <c r="E8" s="17">
        <v>154.33000000000001</v>
      </c>
      <c r="F8" s="14">
        <v>3.27</v>
      </c>
      <c r="G8" s="14">
        <v>1.1399999999999999</v>
      </c>
      <c r="H8" s="6">
        <v>33</v>
      </c>
      <c r="I8" s="6">
        <v>117</v>
      </c>
      <c r="J8" s="6">
        <v>143</v>
      </c>
      <c r="K8" s="6">
        <v>217</v>
      </c>
      <c r="L8" s="6">
        <v>44</v>
      </c>
      <c r="M8" s="6">
        <v>89</v>
      </c>
      <c r="N8" s="6">
        <v>32</v>
      </c>
      <c r="O8" s="6">
        <v>17</v>
      </c>
      <c r="P8" s="13">
        <f t="shared" si="0"/>
        <v>0.99138210328516807</v>
      </c>
      <c r="Q8" s="1">
        <f t="shared" ref="Q8:Q18" si="6">IF(G8&lt;=1.1,6,IF(G8&lt;=1.2,5,IF(G8&lt;=1.3,4,IF(G8&lt;=1.4,3,IF(G8&lt;=1.5,2,1)))))</f>
        <v>5</v>
      </c>
      <c r="R8" s="1">
        <f t="shared" si="2"/>
        <v>6</v>
      </c>
      <c r="S8" s="1" t="s">
        <v>31</v>
      </c>
      <c r="T8" s="1"/>
      <c r="U8" s="2" t="s">
        <v>69</v>
      </c>
      <c r="V8" s="2" t="s">
        <v>32</v>
      </c>
      <c r="W8" s="2" t="s">
        <v>33</v>
      </c>
      <c r="X8" s="6">
        <v>16</v>
      </c>
      <c r="Y8" s="6">
        <v>3</v>
      </c>
      <c r="Z8" s="6">
        <v>7</v>
      </c>
      <c r="AA8" s="6">
        <v>10</v>
      </c>
      <c r="AB8" s="6">
        <v>16</v>
      </c>
      <c r="AC8" s="6">
        <v>17</v>
      </c>
      <c r="AD8" s="6">
        <v>19</v>
      </c>
      <c r="AE8" s="6">
        <v>24</v>
      </c>
      <c r="AF8" s="1">
        <f t="shared" si="5"/>
        <v>25</v>
      </c>
    </row>
    <row r="9" spans="1:32" x14ac:dyDescent="0.2">
      <c r="A9" s="21" t="s">
        <v>86</v>
      </c>
      <c r="B9" s="12">
        <v>70</v>
      </c>
      <c r="C9" s="12">
        <v>70</v>
      </c>
      <c r="D9" s="16">
        <v>63</v>
      </c>
      <c r="E9" s="16">
        <v>63</v>
      </c>
      <c r="F9" s="15">
        <v>2.29</v>
      </c>
      <c r="G9" s="15">
        <v>1.22</v>
      </c>
      <c r="H9" s="12">
        <v>5</v>
      </c>
      <c r="I9" s="12">
        <v>54</v>
      </c>
      <c r="J9" s="12">
        <v>85</v>
      </c>
      <c r="K9" s="12">
        <v>52</v>
      </c>
      <c r="L9" s="12">
        <v>28</v>
      </c>
      <c r="M9" s="12">
        <v>42</v>
      </c>
      <c r="N9" s="12">
        <v>7</v>
      </c>
      <c r="O9" s="12">
        <v>5</v>
      </c>
      <c r="P9" s="13">
        <f t="shared" si="0"/>
        <v>0.71428571428571419</v>
      </c>
      <c r="Q9" s="1">
        <f t="shared" si="6"/>
        <v>4</v>
      </c>
      <c r="R9" s="1">
        <f t="shared" si="2"/>
        <v>1</v>
      </c>
      <c r="S9" s="1" t="s">
        <v>31</v>
      </c>
      <c r="T9" s="1">
        <v>190</v>
      </c>
      <c r="U9" s="12" t="s">
        <v>85</v>
      </c>
      <c r="V9" s="12" t="s">
        <v>32</v>
      </c>
      <c r="W9" s="12" t="s">
        <v>33</v>
      </c>
      <c r="X9" s="12">
        <f t="shared" ref="X9:X17" si="7">IF(F9&lt;1.25, 19, IF(F9&lt;2, 18, IF(F9&lt;3, 17, IF(F9&lt;4.5, 16, IF(F9&lt;6, 15, 14)))))</f>
        <v>17</v>
      </c>
      <c r="Y9" s="1">
        <v>1</v>
      </c>
      <c r="Z9" s="1">
        <v>6</v>
      </c>
      <c r="AA9" s="1">
        <v>12</v>
      </c>
      <c r="AB9" s="1">
        <v>17</v>
      </c>
      <c r="AC9" s="1">
        <v>18</v>
      </c>
      <c r="AD9" s="1">
        <v>20</v>
      </c>
      <c r="AE9" s="1">
        <v>25</v>
      </c>
      <c r="AF9" s="1">
        <f t="shared" si="5"/>
        <v>26</v>
      </c>
    </row>
    <row r="10" spans="1:32" x14ac:dyDescent="0.2">
      <c r="A10" s="21" t="s">
        <v>87</v>
      </c>
      <c r="B10" s="12">
        <v>45</v>
      </c>
      <c r="C10" s="12">
        <v>45</v>
      </c>
      <c r="D10" s="16">
        <v>36</v>
      </c>
      <c r="E10" s="16">
        <v>36</v>
      </c>
      <c r="F10" s="15">
        <v>4.5</v>
      </c>
      <c r="G10" s="15">
        <v>1.53</v>
      </c>
      <c r="H10" s="12">
        <v>3</v>
      </c>
      <c r="I10" s="12">
        <v>36</v>
      </c>
      <c r="J10" s="12">
        <v>44</v>
      </c>
      <c r="K10" s="12">
        <v>43</v>
      </c>
      <c r="L10" s="12">
        <v>19</v>
      </c>
      <c r="M10" s="12">
        <v>27</v>
      </c>
      <c r="N10" s="12">
        <v>11</v>
      </c>
      <c r="O10" s="12">
        <v>3</v>
      </c>
      <c r="P10" s="13">
        <f t="shared" si="0"/>
        <v>0.75</v>
      </c>
      <c r="Q10" s="1">
        <f t="shared" si="6"/>
        <v>1</v>
      </c>
      <c r="R10" s="1">
        <f t="shared" si="2"/>
        <v>1</v>
      </c>
      <c r="S10" s="1" t="s">
        <v>31</v>
      </c>
      <c r="T10" s="1">
        <v>30</v>
      </c>
      <c r="U10" s="12" t="s">
        <v>85</v>
      </c>
      <c r="V10" s="12" t="s">
        <v>32</v>
      </c>
      <c r="W10" s="12" t="s">
        <v>33</v>
      </c>
      <c r="X10" s="12">
        <f t="shared" si="7"/>
        <v>15</v>
      </c>
      <c r="Y10" s="1">
        <v>2</v>
      </c>
      <c r="Z10" s="1">
        <v>7</v>
      </c>
      <c r="AA10" s="1">
        <v>11</v>
      </c>
      <c r="AB10" s="1">
        <v>15</v>
      </c>
      <c r="AC10" s="1">
        <v>16</v>
      </c>
      <c r="AD10" s="1">
        <v>19</v>
      </c>
      <c r="AE10" s="1">
        <v>25</v>
      </c>
      <c r="AF10" s="1">
        <f t="shared" si="5"/>
        <v>26</v>
      </c>
    </row>
    <row r="11" spans="1:32" x14ac:dyDescent="0.2">
      <c r="A11" s="21" t="s">
        <v>84</v>
      </c>
      <c r="B11" s="12">
        <v>63</v>
      </c>
      <c r="C11" s="12">
        <v>63</v>
      </c>
      <c r="D11" s="16">
        <v>53</v>
      </c>
      <c r="E11" s="16">
        <v>53</v>
      </c>
      <c r="F11" s="15">
        <v>3.74</v>
      </c>
      <c r="G11" s="15">
        <v>1.32</v>
      </c>
      <c r="H11" s="12">
        <v>10</v>
      </c>
      <c r="I11" s="12">
        <v>52</v>
      </c>
      <c r="J11" s="12">
        <v>34</v>
      </c>
      <c r="K11" s="12">
        <v>80</v>
      </c>
      <c r="L11" s="12">
        <v>34</v>
      </c>
      <c r="M11" s="12">
        <v>21</v>
      </c>
      <c r="N11" s="12">
        <v>13</v>
      </c>
      <c r="O11" s="12">
        <v>7</v>
      </c>
      <c r="P11" s="13">
        <f t="shared" si="0"/>
        <v>1.1886792452830188</v>
      </c>
      <c r="Q11" s="1">
        <f t="shared" si="6"/>
        <v>3</v>
      </c>
      <c r="R11" s="1">
        <f t="shared" si="2"/>
        <v>1</v>
      </c>
      <c r="S11" s="1" t="s">
        <v>31</v>
      </c>
      <c r="T11" s="1"/>
      <c r="U11" s="12" t="s">
        <v>85</v>
      </c>
      <c r="V11" s="12" t="s">
        <v>32</v>
      </c>
      <c r="W11" s="12" t="s">
        <v>33</v>
      </c>
      <c r="X11" s="12">
        <f t="shared" si="7"/>
        <v>16</v>
      </c>
      <c r="Y11" s="1">
        <v>2</v>
      </c>
      <c r="Z11" s="1">
        <v>7</v>
      </c>
      <c r="AA11" s="1">
        <v>10</v>
      </c>
      <c r="AB11" s="1">
        <v>16</v>
      </c>
      <c r="AC11" s="1">
        <v>18</v>
      </c>
      <c r="AD11" s="1">
        <v>19</v>
      </c>
      <c r="AE11" s="1">
        <v>22</v>
      </c>
      <c r="AF11" s="1">
        <f t="shared" si="5"/>
        <v>23</v>
      </c>
    </row>
    <row r="12" spans="1:32" x14ac:dyDescent="0.2">
      <c r="A12" s="21" t="s">
        <v>89</v>
      </c>
      <c r="B12" s="12">
        <v>10</v>
      </c>
      <c r="C12" s="12">
        <v>10</v>
      </c>
      <c r="D12" s="16">
        <v>5.3</v>
      </c>
      <c r="E12" s="16">
        <v>5.3</v>
      </c>
      <c r="F12" s="15">
        <v>6.75</v>
      </c>
      <c r="G12" s="15">
        <v>2.7</v>
      </c>
      <c r="H12" s="12">
        <v>0</v>
      </c>
      <c r="I12" s="12">
        <v>5</v>
      </c>
      <c r="J12" s="12">
        <v>7</v>
      </c>
      <c r="K12" s="12">
        <v>4</v>
      </c>
      <c r="L12" s="12">
        <v>9</v>
      </c>
      <c r="M12" s="12">
        <v>2</v>
      </c>
      <c r="N12" s="12">
        <v>1</v>
      </c>
      <c r="O12" s="12">
        <v>1</v>
      </c>
      <c r="P12" s="13">
        <f t="shared" si="0"/>
        <v>1.6981132075471699</v>
      </c>
      <c r="Q12" s="1">
        <f t="shared" si="6"/>
        <v>1</v>
      </c>
      <c r="R12" s="1">
        <f t="shared" si="2"/>
        <v>1</v>
      </c>
      <c r="S12" s="1" t="s">
        <v>31</v>
      </c>
      <c r="T12" s="1">
        <v>10</v>
      </c>
      <c r="U12" s="12" t="s">
        <v>85</v>
      </c>
      <c r="V12" s="12" t="s">
        <v>32</v>
      </c>
      <c r="W12" s="12" t="s">
        <v>42</v>
      </c>
      <c r="X12" s="12">
        <f t="shared" si="7"/>
        <v>14</v>
      </c>
      <c r="Y12" s="1">
        <v>0</v>
      </c>
      <c r="Z12" s="1">
        <f>ROUND($X12*I12/($H12+$I12+$J12+$K12), 0)</f>
        <v>4</v>
      </c>
      <c r="AA12" s="1">
        <v>10</v>
      </c>
      <c r="AB12" s="1">
        <v>14</v>
      </c>
      <c r="AC12" s="1">
        <v>17</v>
      </c>
      <c r="AD12" s="1">
        <v>19</v>
      </c>
      <c r="AE12" s="1">
        <v>20</v>
      </c>
      <c r="AF12" s="1">
        <f t="shared" si="5"/>
        <v>21</v>
      </c>
    </row>
    <row r="13" spans="1:32" x14ac:dyDescent="0.2">
      <c r="A13" s="21" t="s">
        <v>78</v>
      </c>
      <c r="B13" s="12">
        <v>7</v>
      </c>
      <c r="C13" s="12">
        <v>7</v>
      </c>
      <c r="D13" s="16">
        <v>38.67</v>
      </c>
      <c r="E13" s="16">
        <v>38.67</v>
      </c>
      <c r="F13" s="15">
        <v>5.12</v>
      </c>
      <c r="G13" s="15">
        <v>1.37</v>
      </c>
      <c r="H13" s="12">
        <v>6</v>
      </c>
      <c r="I13" s="12">
        <v>36</v>
      </c>
      <c r="J13" s="12">
        <v>52</v>
      </c>
      <c r="K13" s="12">
        <v>41</v>
      </c>
      <c r="L13" s="12">
        <v>19</v>
      </c>
      <c r="M13" s="12">
        <v>22</v>
      </c>
      <c r="N13" s="12">
        <v>8</v>
      </c>
      <c r="O13" s="12">
        <v>7</v>
      </c>
      <c r="P13" s="13">
        <f t="shared" si="0"/>
        <v>1.6291698991466252</v>
      </c>
      <c r="Q13" s="1">
        <f t="shared" si="6"/>
        <v>3</v>
      </c>
      <c r="R13" s="1">
        <f t="shared" si="2"/>
        <v>6</v>
      </c>
      <c r="S13" s="1" t="s">
        <v>31</v>
      </c>
      <c r="T13" s="1"/>
      <c r="U13" s="12" t="s">
        <v>69</v>
      </c>
      <c r="V13" s="12" t="s">
        <v>32</v>
      </c>
      <c r="W13" s="12" t="s">
        <v>42</v>
      </c>
      <c r="X13" s="12">
        <f t="shared" si="7"/>
        <v>15</v>
      </c>
      <c r="Y13" s="1">
        <v>3</v>
      </c>
      <c r="Z13" s="1">
        <v>8</v>
      </c>
      <c r="AA13" s="1">
        <v>12</v>
      </c>
      <c r="AB13" s="1">
        <v>15</v>
      </c>
      <c r="AC13" s="1">
        <v>16</v>
      </c>
      <c r="AD13" s="1">
        <v>18</v>
      </c>
      <c r="AE13" s="1">
        <v>20</v>
      </c>
      <c r="AF13" s="1">
        <f t="shared" si="5"/>
        <v>21</v>
      </c>
    </row>
    <row r="14" spans="1:32" x14ac:dyDescent="0.2">
      <c r="A14" s="21" t="s">
        <v>103</v>
      </c>
      <c r="B14" s="12">
        <v>71</v>
      </c>
      <c r="C14" s="12">
        <v>71</v>
      </c>
      <c r="D14" s="16">
        <v>65</v>
      </c>
      <c r="E14" s="16">
        <v>65</v>
      </c>
      <c r="F14" s="15">
        <v>3.74</v>
      </c>
      <c r="G14" s="15">
        <v>1.18</v>
      </c>
      <c r="H14" s="12">
        <v>5</v>
      </c>
      <c r="I14" s="12">
        <v>80</v>
      </c>
      <c r="J14" s="12">
        <v>65</v>
      </c>
      <c r="K14" s="12">
        <v>62</v>
      </c>
      <c r="L14" s="12">
        <v>34</v>
      </c>
      <c r="M14" s="12">
        <v>30</v>
      </c>
      <c r="N14" s="12">
        <v>13</v>
      </c>
      <c r="O14" s="12">
        <v>5</v>
      </c>
      <c r="P14" s="13">
        <f t="shared" si="0"/>
        <v>0.69230769230769229</v>
      </c>
      <c r="Q14" s="1">
        <f t="shared" si="6"/>
        <v>5</v>
      </c>
      <c r="R14" s="1">
        <f t="shared" si="2"/>
        <v>1</v>
      </c>
      <c r="S14" s="1" t="s">
        <v>49</v>
      </c>
      <c r="T14" s="1"/>
      <c r="U14" s="12" t="s">
        <v>85</v>
      </c>
      <c r="V14" s="12" t="s">
        <v>32</v>
      </c>
      <c r="W14" s="12" t="s">
        <v>42</v>
      </c>
      <c r="X14" s="12">
        <f t="shared" si="7"/>
        <v>16</v>
      </c>
      <c r="Y14" s="1">
        <v>1</v>
      </c>
      <c r="Z14" s="1">
        <v>8</v>
      </c>
      <c r="AA14" s="1">
        <v>12</v>
      </c>
      <c r="AB14" s="1">
        <v>16</v>
      </c>
      <c r="AC14" s="1">
        <v>17</v>
      </c>
      <c r="AD14" s="1">
        <v>19</v>
      </c>
      <c r="AE14" s="1">
        <v>26</v>
      </c>
      <c r="AF14" s="1">
        <f t="shared" si="5"/>
        <v>27</v>
      </c>
    </row>
    <row r="15" spans="1:32" x14ac:dyDescent="0.2">
      <c r="A15" s="21" t="s">
        <v>102</v>
      </c>
      <c r="B15" s="12">
        <v>46</v>
      </c>
      <c r="C15" s="12">
        <v>46</v>
      </c>
      <c r="D15" s="16">
        <v>55.7</v>
      </c>
      <c r="E15" s="16">
        <v>55.7</v>
      </c>
      <c r="F15" s="15">
        <v>4.2</v>
      </c>
      <c r="G15" s="15">
        <v>1.19</v>
      </c>
      <c r="H15" s="12">
        <v>5</v>
      </c>
      <c r="I15" s="12">
        <v>79</v>
      </c>
      <c r="J15" s="12">
        <v>53</v>
      </c>
      <c r="K15" s="12">
        <v>41</v>
      </c>
      <c r="L15" s="12">
        <v>26</v>
      </c>
      <c r="M15" s="12">
        <v>34</v>
      </c>
      <c r="N15" s="12">
        <v>6</v>
      </c>
      <c r="O15" s="12">
        <v>2</v>
      </c>
      <c r="P15" s="13">
        <f t="shared" si="0"/>
        <v>0.32315978456014366</v>
      </c>
      <c r="Q15" s="1">
        <f t="shared" si="6"/>
        <v>5</v>
      </c>
      <c r="R15" s="1">
        <f t="shared" si="2"/>
        <v>1</v>
      </c>
      <c r="S15" s="1" t="s">
        <v>49</v>
      </c>
      <c r="T15" s="1"/>
      <c r="U15" s="12" t="s">
        <v>85</v>
      </c>
      <c r="V15" s="12" t="s">
        <v>32</v>
      </c>
      <c r="W15" s="12" t="s">
        <v>33</v>
      </c>
      <c r="X15" s="12">
        <f t="shared" si="7"/>
        <v>16</v>
      </c>
      <c r="Y15" s="1">
        <v>1</v>
      </c>
      <c r="Z15" s="1">
        <v>9</v>
      </c>
      <c r="AA15" s="1">
        <v>13</v>
      </c>
      <c r="AB15" s="1">
        <v>16</v>
      </c>
      <c r="AC15" s="1">
        <v>18</v>
      </c>
      <c r="AD15" s="1">
        <v>21</v>
      </c>
      <c r="AE15" s="1">
        <v>27</v>
      </c>
      <c r="AF15" s="1">
        <f t="shared" si="5"/>
        <v>28</v>
      </c>
    </row>
    <row r="16" spans="1:32" x14ac:dyDescent="0.2">
      <c r="A16" s="21" t="s">
        <v>104</v>
      </c>
      <c r="B16" s="12">
        <v>16</v>
      </c>
      <c r="C16" s="12">
        <v>16</v>
      </c>
      <c r="D16" s="16">
        <v>18</v>
      </c>
      <c r="E16" s="16">
        <v>18</v>
      </c>
      <c r="F16" s="15">
        <v>3.1</v>
      </c>
      <c r="G16" s="15">
        <v>1.1399999999999999</v>
      </c>
      <c r="O16" s="12">
        <v>2</v>
      </c>
      <c r="P16" s="13">
        <f t="shared" si="0"/>
        <v>1</v>
      </c>
      <c r="Q16" s="1">
        <f t="shared" si="6"/>
        <v>5</v>
      </c>
      <c r="R16" s="1">
        <f t="shared" si="2"/>
        <v>1</v>
      </c>
      <c r="S16" s="1" t="s">
        <v>49</v>
      </c>
      <c r="T16" s="1"/>
      <c r="U16" s="12" t="s">
        <v>85</v>
      </c>
      <c r="V16" s="12" t="s">
        <v>32</v>
      </c>
      <c r="W16" s="12" t="s">
        <v>33</v>
      </c>
      <c r="X16" s="12">
        <f t="shared" si="7"/>
        <v>16</v>
      </c>
      <c r="Y16" s="1">
        <v>1</v>
      </c>
      <c r="Z16" s="1">
        <v>7</v>
      </c>
      <c r="AA16" s="1">
        <v>13</v>
      </c>
      <c r="AB16" s="1">
        <v>16</v>
      </c>
      <c r="AC16" s="1">
        <v>17</v>
      </c>
      <c r="AD16" s="1">
        <v>19</v>
      </c>
      <c r="AE16" s="1">
        <v>23</v>
      </c>
      <c r="AF16" s="1">
        <f t="shared" si="5"/>
        <v>24</v>
      </c>
    </row>
    <row r="17" spans="1:32" x14ac:dyDescent="0.2">
      <c r="A17" s="21" t="s">
        <v>99</v>
      </c>
      <c r="B17" s="12">
        <v>14</v>
      </c>
      <c r="C17" s="12">
        <v>13</v>
      </c>
      <c r="D17" s="16">
        <v>72.3</v>
      </c>
      <c r="E17" s="16">
        <v>70.7</v>
      </c>
      <c r="F17" s="15">
        <v>4.9800000000000004</v>
      </c>
      <c r="G17" s="15">
        <v>1.45</v>
      </c>
      <c r="H17" s="12">
        <v>6</v>
      </c>
      <c r="I17" s="12">
        <v>57</v>
      </c>
      <c r="J17" s="12">
        <v>99</v>
      </c>
      <c r="K17" s="12">
        <v>84</v>
      </c>
      <c r="L17" s="12">
        <v>29</v>
      </c>
      <c r="M17" s="12">
        <v>56</v>
      </c>
      <c r="N17" s="12">
        <v>11</v>
      </c>
      <c r="O17" s="12">
        <v>12</v>
      </c>
      <c r="P17" s="13">
        <f t="shared" si="0"/>
        <v>1.4937759336099585</v>
      </c>
      <c r="Q17" s="1">
        <f t="shared" si="6"/>
        <v>2</v>
      </c>
      <c r="R17" s="1">
        <f t="shared" si="2"/>
        <v>5</v>
      </c>
      <c r="S17" s="1" t="s">
        <v>49</v>
      </c>
      <c r="T17" s="1">
        <v>20</v>
      </c>
      <c r="U17" s="12" t="s">
        <v>69</v>
      </c>
      <c r="V17" s="12" t="s">
        <v>32</v>
      </c>
      <c r="W17" s="12" t="s">
        <v>33</v>
      </c>
      <c r="X17" s="12">
        <f t="shared" si="7"/>
        <v>15</v>
      </c>
      <c r="Y17" s="1">
        <v>1</v>
      </c>
      <c r="Z17" s="1">
        <v>5</v>
      </c>
      <c r="AA17" s="1">
        <v>11</v>
      </c>
      <c r="AB17" s="1">
        <v>15</v>
      </c>
      <c r="AC17" s="1">
        <v>17</v>
      </c>
      <c r="AD17" s="1">
        <v>19</v>
      </c>
      <c r="AE17" s="1">
        <v>21</v>
      </c>
      <c r="AF17" s="1">
        <f t="shared" si="5"/>
        <v>22</v>
      </c>
    </row>
    <row r="18" spans="1:32" x14ac:dyDescent="0.2">
      <c r="A18" s="2" t="s">
        <v>70</v>
      </c>
      <c r="B18" s="6">
        <v>31</v>
      </c>
      <c r="C18" s="6">
        <v>31</v>
      </c>
      <c r="D18" s="17">
        <v>204.33</v>
      </c>
      <c r="E18" s="17">
        <v>204.33</v>
      </c>
      <c r="F18" s="14">
        <v>3.04</v>
      </c>
      <c r="G18" s="14">
        <v>1.1299999999999999</v>
      </c>
      <c r="H18" s="6">
        <v>13</v>
      </c>
      <c r="I18" s="6">
        <v>216</v>
      </c>
      <c r="J18" s="6">
        <v>283</v>
      </c>
      <c r="K18" s="6">
        <v>150</v>
      </c>
      <c r="L18" s="6">
        <v>46</v>
      </c>
      <c r="M18" s="6">
        <v>130</v>
      </c>
      <c r="N18" s="6">
        <v>37</v>
      </c>
      <c r="O18" s="6">
        <v>15</v>
      </c>
      <c r="P18" s="13">
        <f t="shared" si="0"/>
        <v>0.66069593304947871</v>
      </c>
      <c r="Q18" s="1">
        <f t="shared" si="6"/>
        <v>5</v>
      </c>
      <c r="R18" s="1">
        <f t="shared" si="2"/>
        <v>7</v>
      </c>
      <c r="S18" s="1" t="s">
        <v>49</v>
      </c>
      <c r="T18" s="1"/>
      <c r="U18" s="2" t="s">
        <v>69</v>
      </c>
      <c r="V18" s="2" t="s">
        <v>44</v>
      </c>
      <c r="W18" s="2" t="s">
        <v>33</v>
      </c>
      <c r="X18" s="6">
        <v>16</v>
      </c>
      <c r="Y18" s="6">
        <v>1</v>
      </c>
      <c r="Z18" s="6">
        <v>9</v>
      </c>
      <c r="AA18" s="6">
        <v>13</v>
      </c>
      <c r="AB18" s="6">
        <v>16</v>
      </c>
      <c r="AC18" s="6">
        <v>18</v>
      </c>
      <c r="AD18" s="6">
        <v>22</v>
      </c>
      <c r="AE18" s="6">
        <v>26</v>
      </c>
      <c r="AF18" s="1">
        <f t="shared" si="5"/>
        <v>27</v>
      </c>
    </row>
    <row r="19" spans="1:32" x14ac:dyDescent="0.2">
      <c r="A19" s="21" t="s">
        <v>98</v>
      </c>
      <c r="B19" s="12">
        <v>68</v>
      </c>
      <c r="C19" s="12">
        <v>68</v>
      </c>
      <c r="D19" s="16">
        <v>66.7</v>
      </c>
      <c r="E19" s="16">
        <v>66.7</v>
      </c>
      <c r="F19" s="15">
        <v>3.38</v>
      </c>
      <c r="G19" s="15">
        <v>1.34</v>
      </c>
      <c r="H19" s="12">
        <v>6</v>
      </c>
      <c r="I19" s="12">
        <v>82</v>
      </c>
      <c r="J19" s="12">
        <v>86</v>
      </c>
      <c r="K19" s="12">
        <v>42</v>
      </c>
      <c r="L19" s="12">
        <v>40</v>
      </c>
      <c r="M19" s="12">
        <v>32</v>
      </c>
      <c r="N19" s="12">
        <v>17</v>
      </c>
      <c r="O19" s="12">
        <v>3</v>
      </c>
      <c r="P19" s="13">
        <f t="shared" si="0"/>
        <v>0.40479760119940028</v>
      </c>
      <c r="Q19" s="1">
        <f>IF(G19&lt;=1.1,6,IF(G19&lt;=1.2,5,IF(G19&lt;=1.3,4,IF(G19&lt;=1.4,3,IF(G19&lt;=1.5,2,1)))))</f>
        <v>3</v>
      </c>
      <c r="R19" s="1">
        <f t="shared" si="2"/>
        <v>1</v>
      </c>
      <c r="S19" s="1" t="s">
        <v>49</v>
      </c>
      <c r="T19" s="1"/>
      <c r="U19" s="12" t="s">
        <v>82</v>
      </c>
      <c r="V19" s="12" t="s">
        <v>32</v>
      </c>
      <c r="W19" s="12" t="s">
        <v>33</v>
      </c>
      <c r="X19" s="12">
        <f>IF(F19&lt;1.25, 19, IF(F19&lt;2, 18, IF(F19&lt;3, 17, IF(F19&lt;4.5, 16, IF(F19&lt;6, 15, 14)))))</f>
        <v>16</v>
      </c>
      <c r="Y19" s="1">
        <v>1</v>
      </c>
      <c r="Z19" s="1">
        <v>7</v>
      </c>
      <c r="AA19" s="1">
        <v>13</v>
      </c>
      <c r="AB19" s="1">
        <v>16</v>
      </c>
      <c r="AC19" s="1">
        <v>17</v>
      </c>
      <c r="AD19" s="1">
        <v>19</v>
      </c>
      <c r="AE19" s="1">
        <v>27</v>
      </c>
      <c r="AF19" s="1">
        <f t="shared" si="5"/>
        <v>28</v>
      </c>
    </row>
    <row r="20" spans="1:32" x14ac:dyDescent="0.2">
      <c r="A20" s="21" t="s">
        <v>97</v>
      </c>
      <c r="B20" s="12">
        <v>33</v>
      </c>
      <c r="C20" s="12">
        <v>33</v>
      </c>
      <c r="D20" s="16">
        <v>219.7</v>
      </c>
      <c r="E20" s="16">
        <v>219.7</v>
      </c>
      <c r="F20" s="15">
        <v>2.66</v>
      </c>
      <c r="G20" s="15">
        <v>1.01</v>
      </c>
      <c r="H20" s="12">
        <v>21</v>
      </c>
      <c r="I20" s="12">
        <v>185</v>
      </c>
      <c r="J20" s="12">
        <v>305</v>
      </c>
      <c r="K20" s="12">
        <v>211</v>
      </c>
      <c r="L20" s="12">
        <v>48</v>
      </c>
      <c r="M20" s="12">
        <v>110</v>
      </c>
      <c r="N20" s="12">
        <v>40</v>
      </c>
      <c r="O20" s="12">
        <v>25</v>
      </c>
      <c r="P20" s="13">
        <f t="shared" si="0"/>
        <v>1.0241238051888939</v>
      </c>
      <c r="Q20" s="1">
        <f>IF(G20&lt;=1.1,6,IF(G20&lt;=1.2,5,IF(G20&lt;=1.3,4,IF(G20&lt;=1.4,3,IF(G20&lt;=1.5,2,1)))))</f>
        <v>6</v>
      </c>
      <c r="R20" s="1">
        <f t="shared" si="2"/>
        <v>7</v>
      </c>
      <c r="S20" s="1" t="s">
        <v>49</v>
      </c>
      <c r="T20" s="1"/>
      <c r="U20" s="12" t="s">
        <v>69</v>
      </c>
      <c r="V20" s="12" t="s">
        <v>32</v>
      </c>
      <c r="W20" s="12" t="s">
        <v>33</v>
      </c>
      <c r="X20" s="12">
        <f>IF(F20&lt;1.25, 19, IF(F20&lt;2, 18, IF(F20&lt;3, 17, IF(F20&lt;4.5, 16, IF(F20&lt;6, 15, 14)))))</f>
        <v>17</v>
      </c>
      <c r="Y20" s="1">
        <v>1</v>
      </c>
      <c r="Z20" s="1">
        <v>5</v>
      </c>
      <c r="AA20" s="1">
        <v>12</v>
      </c>
      <c r="AB20" s="1">
        <v>17</v>
      </c>
      <c r="AC20" s="1">
        <v>17</v>
      </c>
      <c r="AD20" s="1">
        <v>18</v>
      </c>
      <c r="AE20" s="1">
        <v>23</v>
      </c>
      <c r="AF20" s="1">
        <f t="shared" si="5"/>
        <v>24</v>
      </c>
    </row>
    <row r="21" spans="1:32" x14ac:dyDescent="0.2">
      <c r="A21" s="21" t="s">
        <v>96</v>
      </c>
      <c r="B21" s="12">
        <v>4</v>
      </c>
      <c r="C21" s="12">
        <v>4</v>
      </c>
      <c r="D21" s="16">
        <v>24</v>
      </c>
      <c r="E21" s="16">
        <v>24</v>
      </c>
      <c r="F21" s="15">
        <v>1.5</v>
      </c>
      <c r="G21" s="15">
        <v>0.92</v>
      </c>
      <c r="H21" s="12">
        <v>1</v>
      </c>
      <c r="I21" s="12">
        <v>21</v>
      </c>
      <c r="J21" s="12">
        <v>39</v>
      </c>
      <c r="K21" s="12">
        <v>16</v>
      </c>
      <c r="L21" s="12">
        <v>7</v>
      </c>
      <c r="M21" s="12">
        <v>8</v>
      </c>
      <c r="N21" s="12">
        <v>5</v>
      </c>
      <c r="O21" s="12">
        <v>2</v>
      </c>
      <c r="P21" s="13">
        <f t="shared" si="0"/>
        <v>0.75</v>
      </c>
      <c r="Q21" s="1">
        <v>5</v>
      </c>
      <c r="R21" s="1">
        <f t="shared" si="2"/>
        <v>6</v>
      </c>
      <c r="S21" s="1" t="s">
        <v>49</v>
      </c>
      <c r="T21" s="1"/>
      <c r="U21" s="12" t="s">
        <v>69</v>
      </c>
      <c r="V21" s="12" t="s">
        <v>32</v>
      </c>
      <c r="W21" s="12" t="s">
        <v>42</v>
      </c>
      <c r="X21" s="12">
        <v>17</v>
      </c>
      <c r="Y21" s="1">
        <v>0</v>
      </c>
      <c r="Z21" s="1">
        <v>6</v>
      </c>
      <c r="AA21" s="1">
        <v>13</v>
      </c>
      <c r="AB21" s="1">
        <v>17</v>
      </c>
      <c r="AC21" s="1">
        <v>18</v>
      </c>
      <c r="AD21" s="1">
        <v>19</v>
      </c>
      <c r="AE21" s="1">
        <v>25</v>
      </c>
      <c r="AF21" s="1">
        <f t="shared" si="5"/>
        <v>26</v>
      </c>
    </row>
    <row r="22" spans="1:32" x14ac:dyDescent="0.2">
      <c r="A22" s="21" t="s">
        <v>95</v>
      </c>
      <c r="B22" s="12">
        <v>22</v>
      </c>
      <c r="C22" s="12">
        <v>22</v>
      </c>
      <c r="D22" s="16">
        <v>130</v>
      </c>
      <c r="E22" s="16">
        <v>130</v>
      </c>
      <c r="F22" s="15">
        <v>3.78</v>
      </c>
      <c r="G22" s="15">
        <v>1.45</v>
      </c>
      <c r="H22" s="12">
        <v>53</v>
      </c>
      <c r="I22" s="12">
        <v>121</v>
      </c>
      <c r="J22" s="12">
        <v>135</v>
      </c>
      <c r="K22" s="12">
        <v>80</v>
      </c>
      <c r="L22" s="12">
        <v>55</v>
      </c>
      <c r="M22" s="12">
        <f>103-N22</f>
        <v>79.741935483870975</v>
      </c>
      <c r="N22" s="12">
        <f>7/31*103</f>
        <v>23.258064516129032</v>
      </c>
      <c r="O22" s="12">
        <v>9</v>
      </c>
      <c r="P22" s="13">
        <f t="shared" si="0"/>
        <v>0.62307692307692308</v>
      </c>
      <c r="Q22" s="1">
        <f>IF(G22&lt;=1.1,6,IF(G22&lt;=1.2,5,IF(G22&lt;=1.3,4,IF(G22&lt;=1.4,3,IF(G22&lt;=1.5,2,1)))))</f>
        <v>2</v>
      </c>
      <c r="R22" s="1">
        <f t="shared" si="2"/>
        <v>6</v>
      </c>
      <c r="S22" s="1" t="s">
        <v>49</v>
      </c>
      <c r="T22" s="1"/>
      <c r="U22" s="12" t="s">
        <v>69</v>
      </c>
      <c r="V22" s="12" t="s">
        <v>32</v>
      </c>
      <c r="W22" s="12" t="s">
        <v>42</v>
      </c>
      <c r="X22" s="12">
        <f>IF(F22&lt;1.25, 19, IF(F22&lt;2, 18, IF(F22&lt;3, 17, IF(F22&lt;4.5, 16, IF(F22&lt;6, 15, 14)))))</f>
        <v>16</v>
      </c>
      <c r="Y22" s="1">
        <v>4</v>
      </c>
      <c r="Z22" s="1">
        <v>9</v>
      </c>
      <c r="AA22" s="1">
        <v>14</v>
      </c>
      <c r="AB22" s="1">
        <v>16</v>
      </c>
      <c r="AC22" s="1">
        <v>17</v>
      </c>
      <c r="AD22" s="1">
        <v>18</v>
      </c>
      <c r="AE22" s="1">
        <v>26</v>
      </c>
      <c r="AF22" s="1">
        <f t="shared" si="5"/>
        <v>27</v>
      </c>
    </row>
    <row r="23" spans="1:32" x14ac:dyDescent="0.2">
      <c r="A23" s="21" t="s">
        <v>100</v>
      </c>
      <c r="B23" s="12">
        <v>59</v>
      </c>
      <c r="C23" s="12">
        <v>59</v>
      </c>
      <c r="D23" s="16">
        <v>59</v>
      </c>
      <c r="E23" s="16">
        <v>59</v>
      </c>
      <c r="F23" s="15">
        <v>4.12</v>
      </c>
      <c r="G23" s="15">
        <v>1.32</v>
      </c>
      <c r="H23" s="12">
        <v>1</v>
      </c>
      <c r="I23" s="12">
        <v>45</v>
      </c>
      <c r="J23" s="12">
        <v>73</v>
      </c>
      <c r="K23" s="12">
        <v>57</v>
      </c>
      <c r="L23" s="12">
        <v>39</v>
      </c>
      <c r="M23" s="12">
        <v>35</v>
      </c>
      <c r="N23" s="12">
        <v>7</v>
      </c>
      <c r="O23" s="12">
        <v>2</v>
      </c>
      <c r="P23" s="13">
        <f t="shared" si="0"/>
        <v>0.30508474576271188</v>
      </c>
      <c r="Q23" s="1">
        <f>IF(G23&lt;=1.1,6,IF(G23&lt;=1.2,5,IF(G23&lt;=1.3,4,IF(G23&lt;=1.4,3,IF(G23&lt;=1.5,2,1)))))</f>
        <v>3</v>
      </c>
      <c r="R23" s="1">
        <f t="shared" si="2"/>
        <v>1</v>
      </c>
      <c r="S23" s="1" t="s">
        <v>49</v>
      </c>
      <c r="T23" s="1"/>
      <c r="U23" s="12" t="s">
        <v>85</v>
      </c>
      <c r="V23" s="12" t="s">
        <v>32</v>
      </c>
      <c r="W23" s="12" t="s">
        <v>33</v>
      </c>
      <c r="X23" s="12">
        <f>IF(F23&lt;1.25, 19, IF(F23&lt;2, 18, IF(F23&lt;3, 17, IF(F23&lt;4.5, 16, IF(F23&lt;6, 15, 14)))))</f>
        <v>16</v>
      </c>
      <c r="Y23" s="1">
        <v>0</v>
      </c>
      <c r="Z23" s="1">
        <v>4</v>
      </c>
      <c r="AA23" s="1">
        <v>11</v>
      </c>
      <c r="AB23" s="1">
        <v>16</v>
      </c>
      <c r="AC23" s="1">
        <v>18</v>
      </c>
      <c r="AD23" s="1">
        <v>21</v>
      </c>
      <c r="AE23" s="1">
        <v>27</v>
      </c>
      <c r="AF23" s="1">
        <f t="shared" si="5"/>
        <v>28</v>
      </c>
    </row>
    <row r="24" spans="1:32" x14ac:dyDescent="0.2">
      <c r="A24" s="21" t="s">
        <v>101</v>
      </c>
      <c r="B24" s="12">
        <v>63</v>
      </c>
      <c r="C24" s="12">
        <v>63</v>
      </c>
      <c r="D24" s="16">
        <v>68</v>
      </c>
      <c r="E24" s="16">
        <v>68</v>
      </c>
      <c r="F24" s="15">
        <v>2.91</v>
      </c>
      <c r="G24" s="15">
        <v>1.31</v>
      </c>
      <c r="H24" s="12">
        <v>7</v>
      </c>
      <c r="I24" s="12">
        <v>71</v>
      </c>
      <c r="J24" s="12">
        <v>93</v>
      </c>
      <c r="K24" s="12">
        <v>47</v>
      </c>
      <c r="L24" s="12">
        <v>51</v>
      </c>
      <c r="M24" s="12">
        <v>34</v>
      </c>
      <c r="N24" s="12">
        <v>9</v>
      </c>
      <c r="O24" s="12">
        <v>5</v>
      </c>
      <c r="P24" s="13">
        <f t="shared" si="0"/>
        <v>0.66176470588235292</v>
      </c>
      <c r="Q24" s="1">
        <f>IF(G24&lt;=1.1,6,IF(G24&lt;=1.2,5,IF(G24&lt;=1.3,4,IF(G24&lt;=1.4,3,IF(G24&lt;=1.5,2,1)))))</f>
        <v>3</v>
      </c>
      <c r="R24" s="1">
        <f t="shared" si="2"/>
        <v>1</v>
      </c>
      <c r="S24" s="1" t="s">
        <v>49</v>
      </c>
      <c r="T24" s="1"/>
      <c r="U24" s="12" t="s">
        <v>85</v>
      </c>
      <c r="V24" s="12" t="s">
        <v>32</v>
      </c>
      <c r="W24" s="12" t="s">
        <v>33</v>
      </c>
      <c r="X24" s="12">
        <f>IF(F24&lt;1.25, 19, IF(F24&lt;2, 18, IF(F24&lt;3, 17, IF(F24&lt;4.5, 16, IF(F24&lt;6, 15, 14)))))</f>
        <v>17</v>
      </c>
      <c r="Y24" s="1">
        <v>1</v>
      </c>
      <c r="Z24" s="1">
        <v>8</v>
      </c>
      <c r="AA24" s="1">
        <v>13</v>
      </c>
      <c r="AB24" s="1">
        <v>17</v>
      </c>
      <c r="AC24" s="1">
        <v>19</v>
      </c>
      <c r="AD24" s="1">
        <v>20</v>
      </c>
      <c r="AE24" s="1">
        <v>26</v>
      </c>
      <c r="AF24" s="1">
        <f t="shared" si="5"/>
        <v>27</v>
      </c>
    </row>
    <row r="25" spans="1:32" x14ac:dyDescent="0.2">
      <c r="A25" s="21" t="s">
        <v>119</v>
      </c>
      <c r="B25" s="12">
        <v>31</v>
      </c>
      <c r="C25" s="12">
        <v>22</v>
      </c>
      <c r="D25" s="16">
        <v>153.69999999999999</v>
      </c>
      <c r="E25" s="16">
        <v>132.30000000000001</v>
      </c>
      <c r="F25" s="15">
        <v>5.15</v>
      </c>
      <c r="G25" s="15">
        <v>1.54</v>
      </c>
      <c r="H25" s="12">
        <v>8</v>
      </c>
      <c r="I25" s="12">
        <v>123</v>
      </c>
      <c r="J25" s="12">
        <v>277</v>
      </c>
      <c r="K25" s="12">
        <v>115</v>
      </c>
      <c r="L25" s="12">
        <v>62</v>
      </c>
      <c r="M25" s="12">
        <v>129</v>
      </c>
      <c r="N25" s="12">
        <v>30</v>
      </c>
      <c r="O25" s="12">
        <v>20</v>
      </c>
      <c r="P25" s="13">
        <f t="shared" ref="P25:P37" si="8">O25/D25*9</f>
        <v>1.1711125569290828</v>
      </c>
      <c r="Q25" s="1">
        <f t="shared" ref="Q25:Q37" si="9">IF(G25&lt;=1.1,6,IF(G25&lt;=1.2,5,IF(G25&lt;=1.3,4,IF(G25&lt;=1.4,3,IF(G25&lt;=1.5,2,1)))))</f>
        <v>1</v>
      </c>
      <c r="R25" s="1">
        <f t="shared" ref="R25:R37" si="10">ROUND(E25/C25, 0)</f>
        <v>6</v>
      </c>
      <c r="S25" s="1" t="s">
        <v>117</v>
      </c>
      <c r="T25" s="1">
        <v>20</v>
      </c>
      <c r="U25" s="12" t="s">
        <v>69</v>
      </c>
      <c r="V25" s="12" t="s">
        <v>32</v>
      </c>
      <c r="W25" s="12" t="s">
        <v>42</v>
      </c>
      <c r="X25" s="12">
        <f t="shared" ref="X25:X37" si="11">IF(F25&lt;1.25, 19, IF(F25&lt;2, 18, IF(F25&lt;3, 17, IF(F25&lt;4.5, 16, IF(F25&lt;6, 15, 14)))))</f>
        <v>15</v>
      </c>
      <c r="Y25" s="1">
        <v>0</v>
      </c>
      <c r="Z25" s="1">
        <v>4</v>
      </c>
      <c r="AA25" s="1">
        <v>12</v>
      </c>
      <c r="AB25" s="1">
        <v>15</v>
      </c>
      <c r="AC25" s="1">
        <v>16</v>
      </c>
      <c r="AD25" s="1">
        <v>19</v>
      </c>
      <c r="AE25" s="1">
        <v>22</v>
      </c>
      <c r="AF25" s="1">
        <f t="shared" si="5"/>
        <v>23</v>
      </c>
    </row>
    <row r="26" spans="1:32" x14ac:dyDescent="0.2">
      <c r="A26" s="21" t="s">
        <v>120</v>
      </c>
      <c r="B26" s="12">
        <v>10</v>
      </c>
      <c r="C26" s="12">
        <v>10</v>
      </c>
      <c r="D26" s="16">
        <v>60</v>
      </c>
      <c r="E26" s="16">
        <v>60</v>
      </c>
      <c r="F26" s="15">
        <v>1.95</v>
      </c>
      <c r="G26" s="15">
        <v>1.35</v>
      </c>
      <c r="H26" s="12">
        <v>2</v>
      </c>
      <c r="I26" s="12">
        <v>33</v>
      </c>
      <c r="J26" s="12">
        <v>96</v>
      </c>
      <c r="K26" s="12">
        <v>43</v>
      </c>
      <c r="L26" s="12">
        <v>35</v>
      </c>
      <c r="M26" s="12">
        <v>34</v>
      </c>
      <c r="N26" s="12">
        <v>4</v>
      </c>
      <c r="O26" s="12">
        <v>3</v>
      </c>
      <c r="P26" s="13">
        <f t="shared" si="8"/>
        <v>0.45</v>
      </c>
      <c r="Q26" s="1">
        <f t="shared" si="9"/>
        <v>3</v>
      </c>
      <c r="R26" s="1">
        <f t="shared" si="10"/>
        <v>6</v>
      </c>
      <c r="S26" s="1" t="s">
        <v>117</v>
      </c>
      <c r="T26" s="1"/>
      <c r="U26" s="12" t="s">
        <v>69</v>
      </c>
      <c r="V26" s="12" t="s">
        <v>32</v>
      </c>
      <c r="W26" s="12" t="s">
        <v>33</v>
      </c>
      <c r="X26" s="12">
        <f t="shared" si="11"/>
        <v>18</v>
      </c>
      <c r="Y26" s="1">
        <v>1</v>
      </c>
      <c r="Z26" s="1">
        <v>4</v>
      </c>
      <c r="AA26" s="1">
        <v>14</v>
      </c>
      <c r="AB26" s="1">
        <v>18</v>
      </c>
      <c r="AC26" s="1">
        <v>19</v>
      </c>
      <c r="AD26" s="1">
        <v>22</v>
      </c>
      <c r="AE26" s="1">
        <v>27</v>
      </c>
      <c r="AF26" s="1">
        <f t="shared" si="5"/>
        <v>28</v>
      </c>
    </row>
    <row r="27" spans="1:32" x14ac:dyDescent="0.2">
      <c r="A27" s="21" t="s">
        <v>121</v>
      </c>
      <c r="B27" s="12">
        <v>13</v>
      </c>
      <c r="C27" s="12">
        <v>10</v>
      </c>
      <c r="D27" s="16">
        <v>71.7</v>
      </c>
      <c r="E27" s="16">
        <v>64.3</v>
      </c>
      <c r="F27" s="15">
        <v>2.76</v>
      </c>
      <c r="G27" s="15">
        <v>1.1000000000000001</v>
      </c>
      <c r="H27" s="12">
        <v>10</v>
      </c>
      <c r="I27" s="12">
        <v>45</v>
      </c>
      <c r="J27" s="12">
        <v>83</v>
      </c>
      <c r="K27" s="12">
        <v>99</v>
      </c>
      <c r="L27" s="12">
        <v>14</v>
      </c>
      <c r="M27" s="12">
        <v>41</v>
      </c>
      <c r="N27" s="12">
        <v>17</v>
      </c>
      <c r="O27" s="12">
        <v>7</v>
      </c>
      <c r="P27" s="13">
        <f t="shared" si="8"/>
        <v>0.87866108786610875</v>
      </c>
      <c r="Q27" s="1">
        <v>5</v>
      </c>
      <c r="R27" s="1">
        <f t="shared" si="10"/>
        <v>6</v>
      </c>
      <c r="S27" s="1" t="s">
        <v>117</v>
      </c>
      <c r="T27" s="1"/>
      <c r="U27" s="12" t="s">
        <v>69</v>
      </c>
      <c r="V27" s="12" t="s">
        <v>32</v>
      </c>
      <c r="W27" s="12" t="s">
        <v>42</v>
      </c>
      <c r="X27" s="12">
        <f t="shared" si="11"/>
        <v>17</v>
      </c>
      <c r="Y27" s="1">
        <v>2</v>
      </c>
      <c r="Z27" s="1">
        <v>6</v>
      </c>
      <c r="AA27" s="1">
        <v>11</v>
      </c>
      <c r="AB27" s="1">
        <v>17</v>
      </c>
      <c r="AC27" s="1">
        <v>18</v>
      </c>
      <c r="AD27" s="1">
        <v>20</v>
      </c>
      <c r="AE27" s="1">
        <v>24</v>
      </c>
      <c r="AF27" s="1">
        <f t="shared" si="5"/>
        <v>25</v>
      </c>
    </row>
    <row r="28" spans="1:32" x14ac:dyDescent="0.2">
      <c r="A28" s="21" t="s">
        <v>122</v>
      </c>
      <c r="B28" s="12">
        <v>30</v>
      </c>
      <c r="C28" s="12">
        <v>30</v>
      </c>
      <c r="D28" s="16">
        <v>181.7</v>
      </c>
      <c r="E28" s="16">
        <v>181.7</v>
      </c>
      <c r="F28" s="15">
        <v>3.86</v>
      </c>
      <c r="G28" s="15">
        <v>1.18</v>
      </c>
      <c r="H28" s="12">
        <v>15</v>
      </c>
      <c r="I28" s="12">
        <v>132</v>
      </c>
      <c r="J28" s="12">
        <v>271</v>
      </c>
      <c r="K28" s="12">
        <v>172</v>
      </c>
      <c r="L28" s="12">
        <v>64</v>
      </c>
      <c r="M28" s="12">
        <v>105</v>
      </c>
      <c r="N28" s="12">
        <v>33</v>
      </c>
      <c r="O28" s="12">
        <v>19</v>
      </c>
      <c r="P28" s="13">
        <f t="shared" si="8"/>
        <v>0.94111172261970288</v>
      </c>
      <c r="Q28" s="1">
        <f t="shared" si="9"/>
        <v>5</v>
      </c>
      <c r="R28" s="1">
        <f t="shared" si="10"/>
        <v>6</v>
      </c>
      <c r="S28" s="1" t="s">
        <v>117</v>
      </c>
      <c r="T28" s="1"/>
      <c r="U28" s="12" t="s">
        <v>69</v>
      </c>
      <c r="V28" s="12" t="s">
        <v>32</v>
      </c>
      <c r="W28" s="12" t="s">
        <v>33</v>
      </c>
      <c r="X28" s="12">
        <f t="shared" si="11"/>
        <v>16</v>
      </c>
      <c r="Y28" s="1">
        <v>1</v>
      </c>
      <c r="Z28" s="1">
        <v>5</v>
      </c>
      <c r="AA28" s="1">
        <v>11</v>
      </c>
      <c r="AB28" s="1">
        <v>16</v>
      </c>
      <c r="AC28" s="1">
        <v>17</v>
      </c>
      <c r="AD28" s="1">
        <v>19</v>
      </c>
      <c r="AE28" s="1">
        <v>24</v>
      </c>
      <c r="AF28" s="1">
        <f t="shared" si="5"/>
        <v>25</v>
      </c>
    </row>
    <row r="29" spans="1:32" x14ac:dyDescent="0.2">
      <c r="A29" s="21" t="s">
        <v>123</v>
      </c>
      <c r="B29" s="12">
        <v>18</v>
      </c>
      <c r="C29" s="12">
        <v>14</v>
      </c>
      <c r="D29" s="16">
        <v>83.3</v>
      </c>
      <c r="E29" s="16">
        <v>75.7</v>
      </c>
      <c r="F29" s="15">
        <v>5.18</v>
      </c>
      <c r="G29" s="15">
        <v>1.38</v>
      </c>
      <c r="H29" s="12">
        <v>11</v>
      </c>
      <c r="I29" s="12">
        <v>77</v>
      </c>
      <c r="J29" s="12">
        <v>91</v>
      </c>
      <c r="K29" s="12">
        <v>110</v>
      </c>
      <c r="L29" s="12">
        <v>41</v>
      </c>
      <c r="M29" s="12">
        <v>42</v>
      </c>
      <c r="N29" s="12">
        <v>18</v>
      </c>
      <c r="O29" s="12">
        <v>15</v>
      </c>
      <c r="P29" s="13">
        <f t="shared" si="8"/>
        <v>1.6206482593037217</v>
      </c>
      <c r="Q29" s="1">
        <f t="shared" si="9"/>
        <v>3</v>
      </c>
      <c r="R29" s="1">
        <f t="shared" si="10"/>
        <v>5</v>
      </c>
      <c r="S29" s="1" t="s">
        <v>117</v>
      </c>
      <c r="T29" s="1"/>
      <c r="U29" s="12" t="s">
        <v>69</v>
      </c>
      <c r="V29" s="12" t="s">
        <v>32</v>
      </c>
      <c r="W29" s="12" t="s">
        <v>33</v>
      </c>
      <c r="X29" s="12">
        <f t="shared" si="11"/>
        <v>15</v>
      </c>
      <c r="Y29" s="1">
        <v>2</v>
      </c>
      <c r="Z29" s="1">
        <v>6</v>
      </c>
      <c r="AA29" s="1">
        <v>10</v>
      </c>
      <c r="AB29" s="1">
        <v>15</v>
      </c>
      <c r="AC29" s="1">
        <v>17</v>
      </c>
      <c r="AD29" s="1">
        <v>19</v>
      </c>
      <c r="AE29" s="1">
        <v>20</v>
      </c>
      <c r="AF29" s="1">
        <f t="shared" si="5"/>
        <v>21</v>
      </c>
    </row>
    <row r="30" spans="1:32" x14ac:dyDescent="0.2">
      <c r="A30" s="21" t="s">
        <v>277</v>
      </c>
      <c r="B30" s="12">
        <v>66</v>
      </c>
      <c r="C30" s="12">
        <v>66</v>
      </c>
      <c r="D30" s="16">
        <v>62</v>
      </c>
      <c r="E30" s="16">
        <v>62</v>
      </c>
      <c r="F30" s="15">
        <v>2.61</v>
      </c>
      <c r="G30" s="15">
        <v>1.23</v>
      </c>
      <c r="H30" s="12">
        <v>3</v>
      </c>
      <c r="I30" s="12">
        <v>49</v>
      </c>
      <c r="J30" s="12">
        <v>112</v>
      </c>
      <c r="K30" s="12">
        <v>35</v>
      </c>
      <c r="L30" s="12">
        <v>28</v>
      </c>
      <c r="M30" s="12">
        <v>45</v>
      </c>
      <c r="N30" s="12">
        <v>7</v>
      </c>
      <c r="O30" s="12">
        <v>4</v>
      </c>
      <c r="P30" s="13">
        <f t="shared" si="8"/>
        <v>0.58064516129032251</v>
      </c>
      <c r="Q30" s="1">
        <f t="shared" si="9"/>
        <v>4</v>
      </c>
      <c r="R30" s="1">
        <f t="shared" si="10"/>
        <v>1</v>
      </c>
      <c r="S30" s="1" t="s">
        <v>117</v>
      </c>
      <c r="T30" s="1"/>
      <c r="U30" s="12" t="s">
        <v>82</v>
      </c>
      <c r="V30" s="12" t="s">
        <v>32</v>
      </c>
      <c r="W30" s="12" t="s">
        <v>33</v>
      </c>
      <c r="X30" s="12">
        <f t="shared" si="11"/>
        <v>17</v>
      </c>
      <c r="Y30" s="1">
        <v>0</v>
      </c>
      <c r="Z30" s="1">
        <v>4</v>
      </c>
      <c r="AA30" s="1">
        <v>14</v>
      </c>
      <c r="AB30" s="1">
        <v>17</v>
      </c>
      <c r="AC30" s="1">
        <v>18</v>
      </c>
      <c r="AD30" s="1">
        <v>22</v>
      </c>
      <c r="AE30" s="1">
        <v>26</v>
      </c>
      <c r="AF30" s="1">
        <f t="shared" si="5"/>
        <v>27</v>
      </c>
    </row>
    <row r="31" spans="1:32" x14ac:dyDescent="0.2">
      <c r="A31" s="21" t="s">
        <v>124</v>
      </c>
      <c r="B31" s="12">
        <v>41</v>
      </c>
      <c r="C31" s="12">
        <v>41</v>
      </c>
      <c r="D31" s="16">
        <v>38</v>
      </c>
      <c r="E31" s="16">
        <v>38</v>
      </c>
      <c r="F31" s="15">
        <v>4.97</v>
      </c>
      <c r="G31" s="15">
        <v>1.29</v>
      </c>
      <c r="H31" s="12">
        <v>8</v>
      </c>
      <c r="I31" s="12">
        <v>40</v>
      </c>
      <c r="J31" s="12">
        <v>37</v>
      </c>
      <c r="K31" s="12">
        <v>51</v>
      </c>
      <c r="L31" s="12">
        <v>22</v>
      </c>
      <c r="M31" s="12">
        <v>12</v>
      </c>
      <c r="N31" s="12">
        <v>10</v>
      </c>
      <c r="O31" s="12">
        <v>8</v>
      </c>
      <c r="P31" s="13">
        <f t="shared" si="8"/>
        <v>1.8947368421052631</v>
      </c>
      <c r="Q31" s="1">
        <f t="shared" si="9"/>
        <v>4</v>
      </c>
      <c r="R31" s="1">
        <f t="shared" si="10"/>
        <v>1</v>
      </c>
      <c r="S31" s="1" t="s">
        <v>117</v>
      </c>
      <c r="T31" s="1"/>
      <c r="U31" s="12" t="s">
        <v>85</v>
      </c>
      <c r="V31" s="12" t="s">
        <v>32</v>
      </c>
      <c r="W31" s="12" t="s">
        <v>33</v>
      </c>
      <c r="X31" s="12">
        <f t="shared" si="11"/>
        <v>15</v>
      </c>
      <c r="Y31" s="1">
        <v>2</v>
      </c>
      <c r="Z31" s="1">
        <v>7</v>
      </c>
      <c r="AA31" s="1">
        <v>10</v>
      </c>
      <c r="AB31" s="1">
        <v>15</v>
      </c>
      <c r="AC31" s="1">
        <v>17</v>
      </c>
      <c r="AD31" s="1">
        <v>18</v>
      </c>
      <c r="AE31" s="1">
        <v>20</v>
      </c>
      <c r="AF31" s="1">
        <f t="shared" si="5"/>
        <v>21</v>
      </c>
    </row>
    <row r="32" spans="1:32" x14ac:dyDescent="0.2">
      <c r="A32" s="21" t="s">
        <v>125</v>
      </c>
      <c r="B32" s="12">
        <v>37</v>
      </c>
      <c r="C32" s="12">
        <v>12</v>
      </c>
      <c r="D32" s="16">
        <v>169.3</v>
      </c>
      <c r="E32" s="16">
        <v>30.2</v>
      </c>
      <c r="F32" s="15">
        <v>4.57</v>
      </c>
      <c r="G32" s="15">
        <v>1.39</v>
      </c>
      <c r="H32" s="12">
        <v>15</v>
      </c>
      <c r="I32" s="12">
        <v>107</v>
      </c>
      <c r="J32" s="12">
        <v>260</v>
      </c>
      <c r="K32" s="12">
        <v>175</v>
      </c>
      <c r="L32" s="12">
        <v>61</v>
      </c>
      <c r="M32" s="12">
        <v>118</v>
      </c>
      <c r="N32" s="12">
        <v>36</v>
      </c>
      <c r="O32" s="12">
        <v>23</v>
      </c>
      <c r="P32" s="13">
        <f t="shared" si="8"/>
        <v>1.2226816302421737</v>
      </c>
      <c r="Q32" s="1">
        <f t="shared" si="9"/>
        <v>3</v>
      </c>
      <c r="R32" s="1">
        <v>2</v>
      </c>
      <c r="S32" s="1" t="s">
        <v>117</v>
      </c>
      <c r="T32" s="1"/>
      <c r="U32" s="12" t="s">
        <v>85</v>
      </c>
      <c r="V32" s="12" t="s">
        <v>32</v>
      </c>
      <c r="W32" s="12" t="s">
        <v>33</v>
      </c>
      <c r="X32" s="12">
        <f t="shared" si="11"/>
        <v>15</v>
      </c>
      <c r="Y32" s="1">
        <v>2</v>
      </c>
      <c r="Z32" s="1">
        <v>5</v>
      </c>
      <c r="AA32" s="1">
        <v>11</v>
      </c>
      <c r="AB32" s="1">
        <v>15</v>
      </c>
      <c r="AC32" s="1">
        <v>16</v>
      </c>
      <c r="AD32" s="1">
        <v>19</v>
      </c>
      <c r="AE32" s="1">
        <v>22</v>
      </c>
      <c r="AF32" s="1">
        <f t="shared" si="5"/>
        <v>23</v>
      </c>
    </row>
    <row r="33" spans="1:32" x14ac:dyDescent="0.2">
      <c r="A33" s="21" t="s">
        <v>126</v>
      </c>
      <c r="B33" s="12">
        <v>24</v>
      </c>
      <c r="C33" s="12">
        <v>24</v>
      </c>
      <c r="D33" s="16">
        <v>42</v>
      </c>
      <c r="E33" s="16">
        <v>42</v>
      </c>
      <c r="F33" s="15">
        <v>5.36</v>
      </c>
      <c r="G33" s="15">
        <v>1.69</v>
      </c>
      <c r="H33" s="12">
        <v>3</v>
      </c>
      <c r="I33" s="12">
        <v>31</v>
      </c>
      <c r="J33" s="12">
        <v>63</v>
      </c>
      <c r="K33" s="12">
        <v>39</v>
      </c>
      <c r="L33" s="12">
        <v>24</v>
      </c>
      <c r="M33" s="12">
        <v>34</v>
      </c>
      <c r="N33" s="12">
        <v>10</v>
      </c>
      <c r="O33" s="12">
        <v>4</v>
      </c>
      <c r="P33" s="13">
        <f t="shared" si="8"/>
        <v>0.8571428571428571</v>
      </c>
      <c r="Q33" s="1">
        <f t="shared" si="9"/>
        <v>1</v>
      </c>
      <c r="R33" s="1">
        <f t="shared" si="10"/>
        <v>2</v>
      </c>
      <c r="S33" s="1" t="s">
        <v>117</v>
      </c>
      <c r="T33" s="1"/>
      <c r="U33" s="12" t="s">
        <v>85</v>
      </c>
      <c r="V33" s="12" t="s">
        <v>32</v>
      </c>
      <c r="W33" s="12" t="s">
        <v>33</v>
      </c>
      <c r="X33" s="12">
        <f t="shared" si="11"/>
        <v>15</v>
      </c>
      <c r="Y33" s="1">
        <v>1</v>
      </c>
      <c r="Z33" s="1">
        <v>5</v>
      </c>
      <c r="AA33" s="1">
        <v>11</v>
      </c>
      <c r="AB33" s="1">
        <v>15</v>
      </c>
      <c r="AC33" s="1">
        <v>17</v>
      </c>
      <c r="AD33" s="1">
        <v>19</v>
      </c>
      <c r="AE33" s="1">
        <v>24</v>
      </c>
      <c r="AF33" s="1">
        <f t="shared" si="5"/>
        <v>25</v>
      </c>
    </row>
    <row r="34" spans="1:32" x14ac:dyDescent="0.2">
      <c r="A34" s="21" t="s">
        <v>127</v>
      </c>
      <c r="B34" s="12">
        <v>29</v>
      </c>
      <c r="C34" s="12">
        <v>29</v>
      </c>
      <c r="D34" s="16">
        <v>35.33</v>
      </c>
      <c r="E34" s="16">
        <v>35.33</v>
      </c>
      <c r="F34" s="15">
        <v>4.84</v>
      </c>
      <c r="G34" s="15">
        <v>1.33</v>
      </c>
      <c r="H34" s="12">
        <v>1</v>
      </c>
      <c r="I34" s="12">
        <v>37</v>
      </c>
      <c r="J34" s="12">
        <v>45</v>
      </c>
      <c r="K34" s="12">
        <v>38</v>
      </c>
      <c r="L34" s="12">
        <v>15</v>
      </c>
      <c r="M34" s="12">
        <v>21</v>
      </c>
      <c r="N34" s="12">
        <v>10</v>
      </c>
      <c r="O34" s="12">
        <v>4</v>
      </c>
      <c r="P34" s="13">
        <f t="shared" si="8"/>
        <v>1.0189640532125672</v>
      </c>
      <c r="Q34" s="1">
        <f t="shared" si="9"/>
        <v>3</v>
      </c>
      <c r="R34" s="1">
        <f t="shared" si="10"/>
        <v>1</v>
      </c>
      <c r="S34" s="1" t="s">
        <v>117</v>
      </c>
      <c r="T34" s="1"/>
      <c r="U34" s="12" t="s">
        <v>85</v>
      </c>
      <c r="V34" s="12" t="s">
        <v>32</v>
      </c>
      <c r="W34" s="12" t="s">
        <v>42</v>
      </c>
      <c r="X34" s="12">
        <f t="shared" si="11"/>
        <v>15</v>
      </c>
      <c r="Y34" s="1">
        <v>0</v>
      </c>
      <c r="Z34" s="1">
        <f t="shared" ref="Z34" si="12">ROUND($X34*I34/($H34+$I34+$J34+$K34), 0)</f>
        <v>5</v>
      </c>
      <c r="AA34" s="1">
        <v>10</v>
      </c>
      <c r="AB34" s="1">
        <v>15</v>
      </c>
      <c r="AC34" s="1">
        <v>17</v>
      </c>
      <c r="AD34" s="1">
        <v>19</v>
      </c>
      <c r="AE34" s="1">
        <v>23</v>
      </c>
      <c r="AF34" s="1">
        <f t="shared" si="5"/>
        <v>24</v>
      </c>
    </row>
    <row r="35" spans="1:32" x14ac:dyDescent="0.2">
      <c r="A35" s="21" t="s">
        <v>128</v>
      </c>
      <c r="B35" s="12">
        <v>56</v>
      </c>
      <c r="C35" s="12">
        <v>56</v>
      </c>
      <c r="D35" s="16">
        <v>37.700000000000003</v>
      </c>
      <c r="E35" s="16">
        <v>37.700000000000003</v>
      </c>
      <c r="F35" s="15">
        <v>4.78</v>
      </c>
      <c r="G35" s="15">
        <v>1.51</v>
      </c>
      <c r="H35" s="12">
        <v>10</v>
      </c>
      <c r="I35" s="12">
        <v>42</v>
      </c>
      <c r="J35" s="12">
        <v>27</v>
      </c>
      <c r="K35" s="12">
        <v>60</v>
      </c>
      <c r="L35" s="12">
        <v>27</v>
      </c>
      <c r="M35" s="12">
        <v>19</v>
      </c>
      <c r="N35" s="12">
        <v>10</v>
      </c>
      <c r="O35" s="12">
        <v>6</v>
      </c>
      <c r="P35" s="13">
        <f t="shared" si="8"/>
        <v>1.4323607427055702</v>
      </c>
      <c r="Q35" s="1">
        <f t="shared" si="9"/>
        <v>1</v>
      </c>
      <c r="R35" s="1">
        <f t="shared" si="10"/>
        <v>1</v>
      </c>
      <c r="S35" s="1" t="s">
        <v>117</v>
      </c>
      <c r="T35" s="1"/>
      <c r="U35" s="12" t="s">
        <v>85</v>
      </c>
      <c r="V35" s="12" t="s">
        <v>32</v>
      </c>
      <c r="W35" s="12" t="s">
        <v>42</v>
      </c>
      <c r="X35" s="12">
        <f t="shared" si="11"/>
        <v>15</v>
      </c>
      <c r="Y35" s="1">
        <v>2</v>
      </c>
      <c r="Z35" s="1">
        <v>8</v>
      </c>
      <c r="AA35" s="1">
        <v>10</v>
      </c>
      <c r="AB35" s="1">
        <v>15</v>
      </c>
      <c r="AC35" s="1">
        <v>17</v>
      </c>
      <c r="AD35" s="1">
        <v>19</v>
      </c>
      <c r="AE35" s="1">
        <v>21</v>
      </c>
      <c r="AF35" s="1">
        <f t="shared" si="5"/>
        <v>22</v>
      </c>
    </row>
    <row r="36" spans="1:32" x14ac:dyDescent="0.2">
      <c r="A36" s="21" t="s">
        <v>174</v>
      </c>
      <c r="B36" s="12">
        <v>29</v>
      </c>
      <c r="C36" s="12">
        <v>29</v>
      </c>
      <c r="D36" s="16">
        <v>158</v>
      </c>
      <c r="E36" s="16">
        <v>158</v>
      </c>
      <c r="F36" s="15">
        <v>4.04</v>
      </c>
      <c r="G36" s="15">
        <v>1.32</v>
      </c>
      <c r="H36" s="12">
        <v>11</v>
      </c>
      <c r="I36" s="12">
        <v>162</v>
      </c>
      <c r="J36" s="12">
        <v>186</v>
      </c>
      <c r="K36" s="12">
        <v>164</v>
      </c>
      <c r="L36" s="12">
        <v>53</v>
      </c>
      <c r="M36" s="12">
        <v>106</v>
      </c>
      <c r="N36" s="12">
        <v>34</v>
      </c>
      <c r="O36" s="12">
        <v>19</v>
      </c>
      <c r="P36" s="13">
        <f t="shared" si="8"/>
        <v>1.0822784810126582</v>
      </c>
      <c r="Q36" s="1">
        <f t="shared" si="9"/>
        <v>3</v>
      </c>
      <c r="R36" s="1">
        <f t="shared" si="10"/>
        <v>5</v>
      </c>
      <c r="S36" s="1" t="s">
        <v>129</v>
      </c>
      <c r="T36" s="1"/>
      <c r="U36" s="12" t="s">
        <v>69</v>
      </c>
      <c r="V36" s="12" t="s">
        <v>32</v>
      </c>
      <c r="W36" s="12" t="s">
        <v>42</v>
      </c>
      <c r="X36" s="12">
        <f t="shared" si="11"/>
        <v>16</v>
      </c>
      <c r="Y36" s="1">
        <v>1</v>
      </c>
      <c r="Z36" s="1">
        <v>7</v>
      </c>
      <c r="AA36" s="1">
        <v>12</v>
      </c>
      <c r="AB36" s="1">
        <v>16</v>
      </c>
      <c r="AC36" s="1">
        <v>17</v>
      </c>
      <c r="AD36" s="1">
        <v>19</v>
      </c>
      <c r="AE36" s="1">
        <v>23</v>
      </c>
      <c r="AF36" s="1">
        <f t="shared" si="5"/>
        <v>24</v>
      </c>
    </row>
    <row r="37" spans="1:32" x14ac:dyDescent="0.2">
      <c r="A37" s="21" t="s">
        <v>175</v>
      </c>
      <c r="B37" s="12">
        <v>12</v>
      </c>
      <c r="C37" s="12">
        <v>10</v>
      </c>
      <c r="D37" s="16">
        <v>64</v>
      </c>
      <c r="E37" s="16">
        <v>60</v>
      </c>
      <c r="F37" s="15">
        <v>2.67</v>
      </c>
      <c r="G37" s="15">
        <v>1.1100000000000001</v>
      </c>
      <c r="H37" s="12">
        <v>2</v>
      </c>
      <c r="I37" s="12">
        <v>67</v>
      </c>
      <c r="J37" s="12">
        <v>92</v>
      </c>
      <c r="K37" s="12">
        <v>48</v>
      </c>
      <c r="L37" s="12">
        <v>20</v>
      </c>
      <c r="M37" s="12">
        <v>39</v>
      </c>
      <c r="N37" s="12">
        <v>8</v>
      </c>
      <c r="O37" s="12">
        <v>4</v>
      </c>
      <c r="P37" s="13">
        <f t="shared" si="8"/>
        <v>0.5625</v>
      </c>
      <c r="Q37" s="1">
        <f t="shared" si="9"/>
        <v>5</v>
      </c>
      <c r="R37" s="1">
        <f t="shared" si="10"/>
        <v>6</v>
      </c>
      <c r="S37" s="1" t="s">
        <v>129</v>
      </c>
      <c r="T37" s="1"/>
      <c r="U37" s="12" t="s">
        <v>69</v>
      </c>
      <c r="V37" s="12" t="s">
        <v>44</v>
      </c>
      <c r="W37" s="12" t="s">
        <v>33</v>
      </c>
      <c r="X37" s="12">
        <f t="shared" si="11"/>
        <v>17</v>
      </c>
      <c r="Y37" s="1">
        <v>0</v>
      </c>
      <c r="Z37" s="1">
        <v>7</v>
      </c>
      <c r="AA37" s="1">
        <v>13</v>
      </c>
      <c r="AB37" s="1">
        <v>17</v>
      </c>
      <c r="AC37" s="1">
        <v>18</v>
      </c>
      <c r="AD37" s="1">
        <v>21</v>
      </c>
      <c r="AE37" s="1">
        <v>26</v>
      </c>
      <c r="AF37" s="1">
        <f t="shared" si="5"/>
        <v>27</v>
      </c>
    </row>
    <row r="38" spans="1:32" x14ac:dyDescent="0.2">
      <c r="A38" s="21" t="s">
        <v>176</v>
      </c>
      <c r="B38" s="12">
        <v>35</v>
      </c>
      <c r="C38" s="12">
        <v>35</v>
      </c>
      <c r="D38" s="16">
        <v>57.3</v>
      </c>
      <c r="E38" s="16">
        <v>57.3</v>
      </c>
      <c r="F38" s="15">
        <v>3.92</v>
      </c>
      <c r="G38" s="15">
        <v>1.22</v>
      </c>
      <c r="H38" s="12">
        <v>6</v>
      </c>
      <c r="I38" s="12">
        <v>55</v>
      </c>
      <c r="J38" s="12">
        <v>70</v>
      </c>
      <c r="K38" s="12">
        <v>63</v>
      </c>
      <c r="L38" s="12">
        <v>27</v>
      </c>
      <c r="M38" s="12">
        <v>38</v>
      </c>
      <c r="N38" s="12">
        <v>8</v>
      </c>
      <c r="O38" s="12">
        <v>3</v>
      </c>
      <c r="P38" s="13">
        <f t="shared" ref="P38:P46" si="13">O38/D38*9</f>
        <v>0.47120418848167539</v>
      </c>
      <c r="Q38" s="1">
        <f t="shared" ref="Q38:Q46" si="14">IF(G38&lt;=1.1,6,IF(G38&lt;=1.2,5,IF(G38&lt;=1.3,4,IF(G38&lt;=1.4,3,IF(G38&lt;=1.5,2,1)))))</f>
        <v>4</v>
      </c>
      <c r="R38" s="1">
        <v>6</v>
      </c>
      <c r="S38" s="1" t="s">
        <v>129</v>
      </c>
      <c r="U38" s="12" t="s">
        <v>69</v>
      </c>
      <c r="V38" s="12" t="s">
        <v>32</v>
      </c>
      <c r="W38" s="12" t="s">
        <v>33</v>
      </c>
      <c r="X38" s="12">
        <f t="shared" ref="X38:X47" si="15">IF(F38&lt;1.25, 19, IF(F38&lt;2, 18, IF(F38&lt;3, 17, IF(F38&lt;4.5, 16, IF(F38&lt;6, 15, 14)))))</f>
        <v>16</v>
      </c>
      <c r="Y38" s="1">
        <v>1</v>
      </c>
      <c r="Z38" s="1">
        <v>6</v>
      </c>
      <c r="AA38" s="1">
        <v>11</v>
      </c>
      <c r="AB38" s="1">
        <v>16</v>
      </c>
      <c r="AC38" s="1">
        <v>17</v>
      </c>
      <c r="AD38" s="1">
        <v>20</v>
      </c>
      <c r="AE38" s="1">
        <v>27</v>
      </c>
      <c r="AF38" s="1">
        <f t="shared" ref="AF38:AF47" si="16">IF(P38&lt;0.5,28,IF(P38&lt;0.7,27,IF(P38&lt;0.8,26,IF(P38&lt;1,25,IF(P38&lt;1.1,24,IF(P38&lt;1.25,23,IF(P38&lt;1.5,22,IF(P38&lt;1.75,21,IF(P38&lt;2,21,20)))))))))</f>
        <v>28</v>
      </c>
    </row>
    <row r="39" spans="1:32" x14ac:dyDescent="0.2">
      <c r="A39" s="21" t="s">
        <v>177</v>
      </c>
      <c r="B39" s="12">
        <v>28</v>
      </c>
      <c r="C39" s="12">
        <v>26</v>
      </c>
      <c r="D39" s="16">
        <v>156.30000000000001</v>
      </c>
      <c r="E39" s="16">
        <v>153.30000000000001</v>
      </c>
      <c r="F39" s="15">
        <v>4.1399999999999997</v>
      </c>
      <c r="G39" s="15">
        <v>1.27</v>
      </c>
      <c r="H39" s="12">
        <v>18</v>
      </c>
      <c r="I39" s="12">
        <v>126</v>
      </c>
      <c r="J39" s="12">
        <v>174</v>
      </c>
      <c r="K39" s="12">
        <v>221</v>
      </c>
      <c r="L39" s="12">
        <v>43</v>
      </c>
      <c r="M39" s="12">
        <v>101</v>
      </c>
      <c r="N39" s="12">
        <v>32</v>
      </c>
      <c r="O39" s="12">
        <v>25</v>
      </c>
      <c r="P39" s="13">
        <f t="shared" si="13"/>
        <v>1.4395393474088292</v>
      </c>
      <c r="Q39" s="1">
        <f t="shared" si="14"/>
        <v>4</v>
      </c>
      <c r="R39" s="1">
        <f t="shared" ref="R39:R46" si="17">ROUND(E39/C39, 0)</f>
        <v>6</v>
      </c>
      <c r="S39" s="1" t="s">
        <v>129</v>
      </c>
      <c r="U39" s="12" t="s">
        <v>69</v>
      </c>
      <c r="V39" s="12" t="s">
        <v>32</v>
      </c>
      <c r="W39" s="12" t="s">
        <v>42</v>
      </c>
      <c r="X39" s="12">
        <f t="shared" si="15"/>
        <v>16</v>
      </c>
      <c r="Y39" s="1">
        <v>2</v>
      </c>
      <c r="Z39" s="1">
        <v>7</v>
      </c>
      <c r="AA39" s="1">
        <v>10</v>
      </c>
      <c r="AB39" s="1">
        <v>16</v>
      </c>
      <c r="AC39" s="1">
        <v>17</v>
      </c>
      <c r="AD39" s="1">
        <v>19</v>
      </c>
      <c r="AE39" s="1">
        <v>21</v>
      </c>
      <c r="AF39" s="1">
        <f t="shared" si="16"/>
        <v>22</v>
      </c>
    </row>
    <row r="40" spans="1:32" x14ac:dyDescent="0.2">
      <c r="A40" s="21" t="s">
        <v>278</v>
      </c>
      <c r="B40" s="12">
        <v>27</v>
      </c>
      <c r="C40" s="12">
        <v>27</v>
      </c>
      <c r="D40" s="16">
        <v>152.30000000000001</v>
      </c>
      <c r="E40" s="16">
        <v>152.30000000000001</v>
      </c>
      <c r="F40" s="15">
        <v>3.96</v>
      </c>
      <c r="G40" s="15">
        <v>1.24</v>
      </c>
      <c r="H40" s="12">
        <v>25</v>
      </c>
      <c r="I40" s="12">
        <v>124</v>
      </c>
      <c r="J40" s="12">
        <v>162</v>
      </c>
      <c r="K40" s="12">
        <v>194</v>
      </c>
      <c r="L40" s="12">
        <v>64</v>
      </c>
      <c r="M40" s="12">
        <v>93</v>
      </c>
      <c r="N40" s="12">
        <v>23</v>
      </c>
      <c r="O40" s="12">
        <v>16</v>
      </c>
      <c r="P40" s="13">
        <f t="shared" si="13"/>
        <v>0.94550229809586339</v>
      </c>
      <c r="Q40" s="1">
        <f t="shared" si="14"/>
        <v>4</v>
      </c>
      <c r="R40" s="1">
        <f t="shared" si="17"/>
        <v>6</v>
      </c>
      <c r="S40" s="1" t="s">
        <v>129</v>
      </c>
      <c r="U40" s="12" t="s">
        <v>69</v>
      </c>
      <c r="V40" s="12" t="s">
        <v>32</v>
      </c>
      <c r="W40" s="12" t="s">
        <v>33</v>
      </c>
      <c r="X40" s="12">
        <f t="shared" si="15"/>
        <v>16</v>
      </c>
      <c r="Y40" s="1">
        <v>3</v>
      </c>
      <c r="Z40" s="1">
        <v>8</v>
      </c>
      <c r="AA40" s="1">
        <v>11</v>
      </c>
      <c r="AB40" s="1">
        <v>16</v>
      </c>
      <c r="AC40" s="1">
        <v>17</v>
      </c>
      <c r="AD40" s="1">
        <v>19</v>
      </c>
      <c r="AE40" s="1">
        <v>24</v>
      </c>
      <c r="AF40" s="1">
        <f t="shared" si="16"/>
        <v>25</v>
      </c>
    </row>
    <row r="41" spans="1:32" x14ac:dyDescent="0.2">
      <c r="A41" s="21" t="s">
        <v>178</v>
      </c>
      <c r="B41" s="12">
        <v>70</v>
      </c>
      <c r="C41" s="12">
        <v>70</v>
      </c>
      <c r="D41" s="16">
        <v>69</v>
      </c>
      <c r="E41" s="16">
        <v>69</v>
      </c>
      <c r="F41" s="15">
        <v>3.13</v>
      </c>
      <c r="G41" s="15">
        <v>0.96</v>
      </c>
      <c r="H41" s="12">
        <v>14</v>
      </c>
      <c r="I41" s="12">
        <v>60</v>
      </c>
      <c r="J41" s="12">
        <v>61</v>
      </c>
      <c r="K41" s="12">
        <v>87</v>
      </c>
      <c r="L41" s="12">
        <v>16</v>
      </c>
      <c r="M41" s="12">
        <v>37</v>
      </c>
      <c r="N41" s="12">
        <v>11</v>
      </c>
      <c r="O41" s="12">
        <v>4</v>
      </c>
      <c r="P41" s="13">
        <f t="shared" si="13"/>
        <v>0.52173913043478259</v>
      </c>
      <c r="Q41" s="1">
        <f t="shared" si="14"/>
        <v>6</v>
      </c>
      <c r="R41" s="1">
        <f t="shared" si="17"/>
        <v>1</v>
      </c>
      <c r="S41" s="1" t="s">
        <v>129</v>
      </c>
      <c r="U41" s="12" t="s">
        <v>82</v>
      </c>
      <c r="V41" s="12" t="s">
        <v>32</v>
      </c>
      <c r="W41" s="12" t="s">
        <v>42</v>
      </c>
      <c r="X41" s="12">
        <f t="shared" si="15"/>
        <v>16</v>
      </c>
      <c r="Y41" s="1">
        <v>3</v>
      </c>
      <c r="Z41" s="1">
        <v>7</v>
      </c>
      <c r="AA41" s="1">
        <v>11</v>
      </c>
      <c r="AB41" s="1">
        <v>16</v>
      </c>
      <c r="AC41" s="1">
        <v>17</v>
      </c>
      <c r="AD41" s="1">
        <v>19</v>
      </c>
      <c r="AE41" s="1">
        <v>26</v>
      </c>
      <c r="AF41" s="1">
        <f t="shared" si="16"/>
        <v>27</v>
      </c>
    </row>
    <row r="42" spans="1:32" x14ac:dyDescent="0.2">
      <c r="A42" s="21" t="s">
        <v>179</v>
      </c>
      <c r="B42" s="12">
        <v>73</v>
      </c>
      <c r="C42" s="12">
        <v>73</v>
      </c>
      <c r="D42" s="16">
        <v>66.3</v>
      </c>
      <c r="E42" s="16">
        <v>66.3</v>
      </c>
      <c r="F42" s="15">
        <v>2.71</v>
      </c>
      <c r="G42" s="15">
        <v>1.01</v>
      </c>
      <c r="H42" s="12">
        <v>5</v>
      </c>
      <c r="I42" s="12">
        <v>64</v>
      </c>
      <c r="J42" s="12">
        <v>80</v>
      </c>
      <c r="K42" s="12">
        <v>61</v>
      </c>
      <c r="L42" s="12">
        <v>24</v>
      </c>
      <c r="M42" s="12">
        <v>34</v>
      </c>
      <c r="N42" s="12">
        <v>9</v>
      </c>
      <c r="O42" s="12">
        <v>3</v>
      </c>
      <c r="P42" s="13">
        <f t="shared" si="13"/>
        <v>0.40723981900452488</v>
      </c>
      <c r="Q42" s="1">
        <f t="shared" si="14"/>
        <v>6</v>
      </c>
      <c r="R42" s="1">
        <f t="shared" si="17"/>
        <v>1</v>
      </c>
      <c r="S42" s="1" t="s">
        <v>129</v>
      </c>
      <c r="T42" s="12">
        <v>250</v>
      </c>
      <c r="U42" s="12" t="s">
        <v>85</v>
      </c>
      <c r="V42" s="12" t="s">
        <v>44</v>
      </c>
      <c r="W42" s="12" t="s">
        <v>33</v>
      </c>
      <c r="X42" s="12">
        <f t="shared" si="15"/>
        <v>17</v>
      </c>
      <c r="Y42" s="1">
        <v>1</v>
      </c>
      <c r="Z42" s="1">
        <v>7</v>
      </c>
      <c r="AA42" s="1">
        <v>12</v>
      </c>
      <c r="AB42" s="1">
        <v>17</v>
      </c>
      <c r="AC42" s="1">
        <v>18</v>
      </c>
      <c r="AD42" s="1">
        <v>20</v>
      </c>
      <c r="AE42" s="1">
        <v>27</v>
      </c>
      <c r="AF42" s="1">
        <f t="shared" si="16"/>
        <v>28</v>
      </c>
    </row>
    <row r="43" spans="1:32" x14ac:dyDescent="0.2">
      <c r="A43" s="21" t="s">
        <v>180</v>
      </c>
      <c r="B43" s="12">
        <v>39</v>
      </c>
      <c r="C43" s="12">
        <v>39</v>
      </c>
      <c r="D43" s="16">
        <v>37.700000000000003</v>
      </c>
      <c r="E43" s="16">
        <v>37.700000000000003</v>
      </c>
      <c r="F43" s="15">
        <v>3.35</v>
      </c>
      <c r="G43" s="15">
        <v>1.38</v>
      </c>
      <c r="H43" s="12">
        <v>9</v>
      </c>
      <c r="I43" s="12">
        <v>32</v>
      </c>
      <c r="J43" s="12">
        <v>48</v>
      </c>
      <c r="K43" s="12">
        <v>48</v>
      </c>
      <c r="L43" s="12">
        <v>11</v>
      </c>
      <c r="M43" s="12">
        <v>33</v>
      </c>
      <c r="N43" s="12">
        <v>6</v>
      </c>
      <c r="O43" s="12">
        <v>3</v>
      </c>
      <c r="P43" s="13">
        <f t="shared" si="13"/>
        <v>0.71618037135278512</v>
      </c>
      <c r="Q43" s="1">
        <f t="shared" si="14"/>
        <v>3</v>
      </c>
      <c r="R43" s="1">
        <f t="shared" si="17"/>
        <v>1</v>
      </c>
      <c r="S43" s="1" t="s">
        <v>129</v>
      </c>
      <c r="U43" s="12" t="s">
        <v>85</v>
      </c>
      <c r="V43" s="12" t="s">
        <v>32</v>
      </c>
      <c r="W43" s="12" t="s">
        <v>42</v>
      </c>
      <c r="X43" s="12">
        <f t="shared" si="15"/>
        <v>16</v>
      </c>
      <c r="Y43" s="1">
        <v>1</v>
      </c>
      <c r="Z43" s="1">
        <v>6</v>
      </c>
      <c r="AA43" s="1">
        <v>11</v>
      </c>
      <c r="AB43" s="1">
        <v>16</v>
      </c>
      <c r="AC43" s="1">
        <v>17</v>
      </c>
      <c r="AD43" s="1">
        <v>20</v>
      </c>
      <c r="AE43" s="1">
        <v>25</v>
      </c>
      <c r="AF43" s="1">
        <f t="shared" si="16"/>
        <v>26</v>
      </c>
    </row>
    <row r="44" spans="1:32" x14ac:dyDescent="0.2">
      <c r="A44" s="21" t="s">
        <v>181</v>
      </c>
      <c r="B44" s="12">
        <v>33</v>
      </c>
      <c r="C44" s="12">
        <v>33</v>
      </c>
      <c r="D44" s="16">
        <v>39</v>
      </c>
      <c r="E44" s="16">
        <v>39</v>
      </c>
      <c r="F44" s="15">
        <v>1.38</v>
      </c>
      <c r="G44" s="15">
        <v>1.23</v>
      </c>
      <c r="H44" s="12">
        <v>2</v>
      </c>
      <c r="I44" s="12">
        <v>27</v>
      </c>
      <c r="J44" s="12">
        <v>70</v>
      </c>
      <c r="K44" s="12">
        <v>30</v>
      </c>
      <c r="L44" s="12">
        <v>7</v>
      </c>
      <c r="M44" s="12">
        <v>37</v>
      </c>
      <c r="N44" s="12">
        <v>5</v>
      </c>
      <c r="O44" s="12">
        <v>0</v>
      </c>
      <c r="P44" s="13">
        <f t="shared" si="13"/>
        <v>0</v>
      </c>
      <c r="Q44" s="1">
        <f t="shared" si="14"/>
        <v>4</v>
      </c>
      <c r="R44" s="1">
        <f t="shared" si="17"/>
        <v>1</v>
      </c>
      <c r="S44" s="1" t="s">
        <v>129</v>
      </c>
      <c r="T44" s="12">
        <v>200</v>
      </c>
      <c r="U44" s="12" t="s">
        <v>85</v>
      </c>
      <c r="V44" s="12" t="s">
        <v>32</v>
      </c>
      <c r="W44" s="12" t="s">
        <v>33</v>
      </c>
      <c r="X44" s="12">
        <f t="shared" si="15"/>
        <v>18</v>
      </c>
      <c r="Y44" s="1">
        <v>0</v>
      </c>
      <c r="Z44" s="1">
        <v>5</v>
      </c>
      <c r="AA44" s="1">
        <v>14</v>
      </c>
      <c r="AB44" s="1">
        <v>18</v>
      </c>
      <c r="AC44" s="1">
        <v>18</v>
      </c>
      <c r="AD44" s="1">
        <v>21</v>
      </c>
      <c r="AE44" s="1">
        <v>27</v>
      </c>
      <c r="AF44" s="1">
        <f t="shared" si="16"/>
        <v>28</v>
      </c>
    </row>
    <row r="45" spans="1:32" x14ac:dyDescent="0.2">
      <c r="A45" s="21" t="s">
        <v>182</v>
      </c>
      <c r="B45" s="12">
        <v>74</v>
      </c>
      <c r="C45" s="12">
        <v>74</v>
      </c>
      <c r="D45" s="16">
        <v>70.3</v>
      </c>
      <c r="E45" s="16">
        <v>70.3</v>
      </c>
      <c r="F45" s="15">
        <v>2.94</v>
      </c>
      <c r="G45" s="15">
        <v>1.28</v>
      </c>
      <c r="H45" s="12">
        <v>2</v>
      </c>
      <c r="I45" s="12">
        <v>56</v>
      </c>
      <c r="J45" s="12">
        <v>119</v>
      </c>
      <c r="K45" s="12">
        <v>44</v>
      </c>
      <c r="L45" s="12">
        <v>29</v>
      </c>
      <c r="M45" s="12">
        <v>58</v>
      </c>
      <c r="N45" s="12">
        <v>9</v>
      </c>
      <c r="O45" s="12">
        <v>5</v>
      </c>
      <c r="P45" s="13">
        <f t="shared" si="13"/>
        <v>0.64011379800853485</v>
      </c>
      <c r="Q45" s="1">
        <f t="shared" si="14"/>
        <v>4</v>
      </c>
      <c r="R45" s="1">
        <f t="shared" si="17"/>
        <v>1</v>
      </c>
      <c r="S45" s="1" t="s">
        <v>129</v>
      </c>
      <c r="U45" s="12" t="s">
        <v>85</v>
      </c>
      <c r="V45" s="12" t="s">
        <v>32</v>
      </c>
      <c r="W45" s="12" t="s">
        <v>33</v>
      </c>
      <c r="X45" s="12">
        <f t="shared" si="15"/>
        <v>17</v>
      </c>
      <c r="Y45" s="1">
        <v>0</v>
      </c>
      <c r="Z45" s="1">
        <v>5</v>
      </c>
      <c r="AA45" s="1">
        <v>14</v>
      </c>
      <c r="AB45" s="1">
        <v>17</v>
      </c>
      <c r="AC45" s="1">
        <v>18</v>
      </c>
      <c r="AD45" s="1">
        <v>20</v>
      </c>
      <c r="AE45" s="1">
        <v>26</v>
      </c>
      <c r="AF45" s="1">
        <f t="shared" si="16"/>
        <v>27</v>
      </c>
    </row>
    <row r="46" spans="1:32" x14ac:dyDescent="0.2">
      <c r="A46" s="21" t="s">
        <v>183</v>
      </c>
      <c r="B46" s="12">
        <v>8</v>
      </c>
      <c r="C46" s="12">
        <v>4</v>
      </c>
      <c r="D46" s="16">
        <v>21.7</v>
      </c>
      <c r="E46" s="16">
        <v>5</v>
      </c>
      <c r="F46" s="15">
        <v>6.23</v>
      </c>
      <c r="G46" s="15">
        <v>2.0299999999999998</v>
      </c>
      <c r="H46" s="12">
        <v>0</v>
      </c>
      <c r="I46" s="12">
        <v>19</v>
      </c>
      <c r="J46" s="12">
        <v>33</v>
      </c>
      <c r="K46" s="12">
        <v>21</v>
      </c>
      <c r="L46" s="12">
        <v>21</v>
      </c>
      <c r="M46" s="12">
        <v>15</v>
      </c>
      <c r="N46" s="12">
        <v>6</v>
      </c>
      <c r="O46" s="12">
        <v>4</v>
      </c>
      <c r="P46" s="13">
        <f t="shared" si="13"/>
        <v>1.6589861751152075</v>
      </c>
      <c r="Q46" s="1">
        <f t="shared" si="14"/>
        <v>1</v>
      </c>
      <c r="R46" s="1">
        <f t="shared" si="17"/>
        <v>1</v>
      </c>
      <c r="S46" s="1" t="s">
        <v>129</v>
      </c>
      <c r="T46" s="12">
        <v>10</v>
      </c>
      <c r="U46" s="12" t="s">
        <v>85</v>
      </c>
      <c r="V46" s="12" t="s">
        <v>32</v>
      </c>
      <c r="W46" s="12" t="s">
        <v>42</v>
      </c>
      <c r="X46" s="12">
        <f t="shared" si="15"/>
        <v>14</v>
      </c>
      <c r="Y46" s="1">
        <v>0</v>
      </c>
      <c r="Z46" s="1">
        <v>4</v>
      </c>
      <c r="AA46" s="1">
        <v>10</v>
      </c>
      <c r="AB46" s="1">
        <v>14</v>
      </c>
      <c r="AC46" s="1">
        <v>17</v>
      </c>
      <c r="AD46" s="1">
        <v>19</v>
      </c>
      <c r="AE46" s="1">
        <v>20</v>
      </c>
      <c r="AF46" s="1">
        <f t="shared" si="16"/>
        <v>21</v>
      </c>
    </row>
    <row r="47" spans="1:32" x14ac:dyDescent="0.2">
      <c r="A47" s="21" t="s">
        <v>197</v>
      </c>
      <c r="B47" s="12">
        <v>34</v>
      </c>
      <c r="C47" s="12">
        <v>34</v>
      </c>
      <c r="D47" s="16">
        <v>224.7</v>
      </c>
      <c r="E47" s="16">
        <v>224.7</v>
      </c>
      <c r="F47" s="15">
        <v>4.21</v>
      </c>
      <c r="G47" s="15">
        <v>1.24</v>
      </c>
      <c r="H47" s="12">
        <v>37</v>
      </c>
      <c r="I47" s="12">
        <v>177</v>
      </c>
      <c r="J47" s="12">
        <v>275</v>
      </c>
      <c r="K47" s="12">
        <v>276</v>
      </c>
      <c r="L47" s="12">
        <v>78</v>
      </c>
      <c r="M47" s="12">
        <v>127</v>
      </c>
      <c r="N47" s="12">
        <v>42</v>
      </c>
      <c r="O47" s="12">
        <v>35</v>
      </c>
      <c r="P47" s="13">
        <f t="shared" ref="P47" si="18">O47/D47*9</f>
        <v>1.4018691588785048</v>
      </c>
      <c r="Q47" s="1">
        <f t="shared" ref="Q47" si="19">IF(G47&lt;=1.1,6,IF(G47&lt;=1.2,5,IF(G47&lt;=1.3,4,IF(G47&lt;=1.4,3,IF(G47&lt;=1.5,2,1)))))</f>
        <v>4</v>
      </c>
      <c r="R47" s="1">
        <f t="shared" ref="R47" si="20">ROUND(E47/C47, 0)</f>
        <v>7</v>
      </c>
      <c r="S47" s="1" t="s">
        <v>150</v>
      </c>
      <c r="T47" s="1"/>
      <c r="U47" s="12" t="s">
        <v>69</v>
      </c>
      <c r="V47" s="12" t="s">
        <v>32</v>
      </c>
      <c r="W47" s="12" t="s">
        <v>33</v>
      </c>
      <c r="X47" s="12">
        <f t="shared" si="15"/>
        <v>16</v>
      </c>
      <c r="Y47" s="1">
        <v>2</v>
      </c>
      <c r="Z47" s="1">
        <v>6</v>
      </c>
      <c r="AA47" s="1">
        <v>11</v>
      </c>
      <c r="AB47" s="1">
        <v>16</v>
      </c>
      <c r="AC47" s="1">
        <v>17</v>
      </c>
      <c r="AD47" s="1">
        <v>19</v>
      </c>
      <c r="AE47" s="1">
        <v>21</v>
      </c>
      <c r="AF47" s="1">
        <f t="shared" si="16"/>
        <v>22</v>
      </c>
    </row>
    <row r="48" spans="1:32" x14ac:dyDescent="0.2">
      <c r="A48" s="21" t="s">
        <v>198</v>
      </c>
      <c r="B48" s="12">
        <v>33</v>
      </c>
      <c r="C48" s="12">
        <v>33</v>
      </c>
      <c r="D48" s="16">
        <v>203.7</v>
      </c>
      <c r="E48" s="16">
        <v>203.7</v>
      </c>
      <c r="F48" s="15">
        <v>4.1500000000000004</v>
      </c>
      <c r="G48" s="15">
        <v>1.35</v>
      </c>
      <c r="H48" s="12">
        <v>18</v>
      </c>
      <c r="I48" s="12">
        <v>139</v>
      </c>
      <c r="J48" s="12">
        <v>302</v>
      </c>
      <c r="K48" s="12">
        <v>227</v>
      </c>
      <c r="L48" s="12">
        <v>63</v>
      </c>
      <c r="M48" s="12">
        <v>94</v>
      </c>
      <c r="N48" s="12">
        <v>50</v>
      </c>
      <c r="O48" s="12">
        <v>24</v>
      </c>
      <c r="P48" s="29">
        <f t="shared" ref="P48:P111" si="21">O48/D48*9</f>
        <v>1.0603829160530192</v>
      </c>
      <c r="Q48" s="30">
        <f t="shared" ref="Q48:Q111" si="22">IF(G48&lt;=1.1,6,IF(G48&lt;=1.2,5,IF(G48&lt;=1.3,4,IF(G48&lt;=1.4,3,IF(G48&lt;=1.5,2,1)))))</f>
        <v>3</v>
      </c>
      <c r="R48" s="30">
        <f t="shared" ref="R48:R111" si="23">ROUND(E48/C48, 0)</f>
        <v>6</v>
      </c>
      <c r="S48" s="1" t="s">
        <v>150</v>
      </c>
      <c r="T48" s="1"/>
      <c r="U48" s="12" t="s">
        <v>69</v>
      </c>
      <c r="V48" s="12" t="s">
        <v>32</v>
      </c>
      <c r="W48" s="12" t="s">
        <v>42</v>
      </c>
      <c r="X48" s="12">
        <f t="shared" ref="X48:X111" si="24">IF(F48&lt;1.25, 19, IF(F48&lt;2, 18, IF(F48&lt;3, 17, IF(F48&lt;4.5, 16, IF(F48&lt;6, 15, 14)))))</f>
        <v>16</v>
      </c>
      <c r="Y48" s="30">
        <v>1</v>
      </c>
      <c r="Z48" s="30">
        <v>4</v>
      </c>
      <c r="AA48" s="30">
        <v>11</v>
      </c>
      <c r="AB48" s="30">
        <v>16</v>
      </c>
      <c r="AC48" s="30">
        <v>17</v>
      </c>
      <c r="AD48" s="30">
        <v>19</v>
      </c>
      <c r="AE48" s="30">
        <v>23</v>
      </c>
      <c r="AF48" s="30">
        <f t="shared" ref="AF48:AF111" si="25">IF(P48&lt;0.5,28,IF(P48&lt;0.7,27,IF(P48&lt;0.8,26,IF(P48&lt;1,25,IF(P48&lt;1.1,24,IF(P48&lt;1.25,23,IF(P48&lt;1.5,22,IF(P48&lt;1.75,21,IF(P48&lt;2,21,20)))))))))</f>
        <v>24</v>
      </c>
    </row>
    <row r="49" spans="1:32" x14ac:dyDescent="0.2">
      <c r="A49" s="21" t="s">
        <v>199</v>
      </c>
      <c r="B49" s="12">
        <v>11</v>
      </c>
      <c r="C49" s="12">
        <v>11</v>
      </c>
      <c r="D49" s="16">
        <v>58.7</v>
      </c>
      <c r="E49" s="16">
        <v>58.7</v>
      </c>
      <c r="F49" s="15">
        <v>4.5999999999999996</v>
      </c>
      <c r="G49" s="15">
        <v>1.35</v>
      </c>
      <c r="H49" s="12">
        <v>3</v>
      </c>
      <c r="I49" s="12">
        <v>49</v>
      </c>
      <c r="J49" s="12">
        <v>79</v>
      </c>
      <c r="K49" s="12">
        <v>53</v>
      </c>
      <c r="L49" s="12">
        <v>25</v>
      </c>
      <c r="M49" s="12">
        <v>36</v>
      </c>
      <c r="N49" s="12">
        <v>14</v>
      </c>
      <c r="O49" s="12">
        <v>8</v>
      </c>
      <c r="P49" s="29">
        <f t="shared" si="21"/>
        <v>1.2265758091993186</v>
      </c>
      <c r="Q49" s="30">
        <f t="shared" si="22"/>
        <v>3</v>
      </c>
      <c r="R49" s="30">
        <f t="shared" si="23"/>
        <v>5</v>
      </c>
      <c r="S49" s="1" t="s">
        <v>150</v>
      </c>
      <c r="T49" s="1"/>
      <c r="U49" s="12" t="s">
        <v>69</v>
      </c>
      <c r="V49" s="12" t="s">
        <v>32</v>
      </c>
      <c r="W49" s="12" t="s">
        <v>33</v>
      </c>
      <c r="X49" s="12">
        <f t="shared" si="24"/>
        <v>15</v>
      </c>
      <c r="Y49" s="30">
        <v>0</v>
      </c>
      <c r="Z49" s="30">
        <v>6</v>
      </c>
      <c r="AA49" s="30">
        <v>11</v>
      </c>
      <c r="AB49" s="30">
        <v>15</v>
      </c>
      <c r="AC49" s="30">
        <v>17</v>
      </c>
      <c r="AD49" s="30">
        <v>19</v>
      </c>
      <c r="AE49" s="30">
        <v>22</v>
      </c>
      <c r="AF49" s="30">
        <f t="shared" si="25"/>
        <v>23</v>
      </c>
    </row>
    <row r="50" spans="1:32" x14ac:dyDescent="0.2">
      <c r="A50" s="21" t="s">
        <v>200</v>
      </c>
      <c r="B50" s="12">
        <v>18</v>
      </c>
      <c r="C50" s="12">
        <v>18</v>
      </c>
      <c r="D50" s="16">
        <v>92.7</v>
      </c>
      <c r="E50" s="16">
        <v>92.7</v>
      </c>
      <c r="F50" s="15">
        <v>4.5599999999999996</v>
      </c>
      <c r="G50" s="15">
        <v>1.47</v>
      </c>
      <c r="H50" s="12">
        <v>18</v>
      </c>
      <c r="I50" s="12">
        <v>77</v>
      </c>
      <c r="J50" s="12">
        <v>104</v>
      </c>
      <c r="K50" s="12">
        <v>130</v>
      </c>
      <c r="L50" s="12">
        <v>47</v>
      </c>
      <c r="M50" s="12">
        <v>58</v>
      </c>
      <c r="N50" s="12">
        <v>21</v>
      </c>
      <c r="O50" s="12">
        <v>10</v>
      </c>
      <c r="P50" s="29">
        <f t="shared" si="21"/>
        <v>0.97087378640776689</v>
      </c>
      <c r="Q50" s="30">
        <f t="shared" si="22"/>
        <v>2</v>
      </c>
      <c r="R50" s="30">
        <f t="shared" si="23"/>
        <v>5</v>
      </c>
      <c r="S50" s="1" t="s">
        <v>150</v>
      </c>
      <c r="T50" s="1"/>
      <c r="U50" s="12" t="s">
        <v>69</v>
      </c>
      <c r="V50" s="12" t="s">
        <v>32</v>
      </c>
      <c r="W50" s="12" t="s">
        <v>42</v>
      </c>
      <c r="X50" s="12">
        <f t="shared" si="24"/>
        <v>15</v>
      </c>
      <c r="Y50" s="30">
        <v>1</v>
      </c>
      <c r="Z50" s="30">
        <v>5</v>
      </c>
      <c r="AA50" s="30">
        <v>10</v>
      </c>
      <c r="AB50" s="30">
        <v>15</v>
      </c>
      <c r="AC50" s="30">
        <v>17</v>
      </c>
      <c r="AD50" s="30">
        <v>19</v>
      </c>
      <c r="AE50" s="30">
        <v>24</v>
      </c>
      <c r="AF50" s="30">
        <f t="shared" si="25"/>
        <v>25</v>
      </c>
    </row>
    <row r="51" spans="1:32" x14ac:dyDescent="0.2">
      <c r="A51" s="21" t="s">
        <v>201</v>
      </c>
      <c r="B51" s="12">
        <v>10</v>
      </c>
      <c r="C51" s="12">
        <v>10</v>
      </c>
      <c r="D51" s="16">
        <v>54.3</v>
      </c>
      <c r="E51" s="16">
        <v>54.3</v>
      </c>
      <c r="F51" s="15">
        <v>5.63</v>
      </c>
      <c r="G51" s="15">
        <v>1.49</v>
      </c>
      <c r="H51" s="12">
        <v>6</v>
      </c>
      <c r="I51" s="12">
        <v>42</v>
      </c>
      <c r="J51" s="12">
        <v>67</v>
      </c>
      <c r="K51" s="12">
        <v>77</v>
      </c>
      <c r="L51" s="12">
        <v>20</v>
      </c>
      <c r="M51" s="12">
        <v>32</v>
      </c>
      <c r="N51" s="12">
        <v>18</v>
      </c>
      <c r="O51" s="12">
        <v>12</v>
      </c>
      <c r="P51" s="29">
        <f t="shared" si="21"/>
        <v>1.9889502762430942</v>
      </c>
      <c r="Q51" s="30">
        <f t="shared" si="22"/>
        <v>2</v>
      </c>
      <c r="R51" s="30">
        <f t="shared" si="23"/>
        <v>5</v>
      </c>
      <c r="S51" s="1" t="s">
        <v>150</v>
      </c>
      <c r="T51" s="1"/>
      <c r="U51" s="12" t="s">
        <v>69</v>
      </c>
      <c r="V51" s="12" t="s">
        <v>32</v>
      </c>
      <c r="W51" s="12" t="s">
        <v>33</v>
      </c>
      <c r="X51" s="12">
        <f t="shared" si="24"/>
        <v>15</v>
      </c>
      <c r="Y51" s="30">
        <v>1</v>
      </c>
      <c r="Z51" s="30">
        <v>4</v>
      </c>
      <c r="AA51" s="30">
        <v>9</v>
      </c>
      <c r="AB51" s="30">
        <v>15</v>
      </c>
      <c r="AC51" s="30">
        <v>16</v>
      </c>
      <c r="AD51" s="30">
        <v>19</v>
      </c>
      <c r="AE51" s="30">
        <v>20</v>
      </c>
      <c r="AF51" s="30">
        <f t="shared" si="25"/>
        <v>21</v>
      </c>
    </row>
    <row r="52" spans="1:32" x14ac:dyDescent="0.2">
      <c r="A52" s="21" t="s">
        <v>206</v>
      </c>
      <c r="B52" s="12">
        <v>29</v>
      </c>
      <c r="C52" s="12">
        <v>29</v>
      </c>
      <c r="D52" s="16">
        <v>25.7</v>
      </c>
      <c r="E52" s="16">
        <v>25.7</v>
      </c>
      <c r="F52" s="15">
        <v>1.75</v>
      </c>
      <c r="G52" s="15">
        <v>0.57999999999999996</v>
      </c>
      <c r="H52" s="12">
        <v>2</v>
      </c>
      <c r="I52" s="12">
        <v>28</v>
      </c>
      <c r="J52" s="12">
        <v>29</v>
      </c>
      <c r="K52" s="12">
        <v>24</v>
      </c>
      <c r="L52" s="12">
        <v>6</v>
      </c>
      <c r="M52" s="12">
        <v>6</v>
      </c>
      <c r="N52" s="12">
        <v>3</v>
      </c>
      <c r="O52" s="12">
        <v>1</v>
      </c>
      <c r="P52" s="29">
        <f>O52/D52*9</f>
        <v>0.35019455252918286</v>
      </c>
      <c r="Q52" s="30">
        <f>IF(G52&lt;=1.1,6,IF(G52&lt;=1.2,5,IF(G52&lt;=1.3,4,IF(G52&lt;=1.4,3,IF(G52&lt;=1.5,2,1)))))</f>
        <v>6</v>
      </c>
      <c r="R52" s="30">
        <f>ROUND(E52/C52, 0)</f>
        <v>1</v>
      </c>
      <c r="S52" s="1" t="s">
        <v>150</v>
      </c>
      <c r="T52" s="1">
        <v>280</v>
      </c>
      <c r="U52" s="12" t="s">
        <v>82</v>
      </c>
      <c r="V52" s="12" t="s">
        <v>44</v>
      </c>
      <c r="W52" s="12" t="s">
        <v>33</v>
      </c>
      <c r="X52" s="12">
        <f>IF(F52&lt;1.25, 19, IF(F52&lt;2, 18, IF(F52&lt;3, 17, IF(F52&lt;4.5, 16, IF(F52&lt;6, 15, 14)))))</f>
        <v>18</v>
      </c>
      <c r="Y52" s="30">
        <v>1</v>
      </c>
      <c r="Z52" s="30">
        <v>7</v>
      </c>
      <c r="AA52" s="30">
        <v>13</v>
      </c>
      <c r="AB52" s="30">
        <v>18</v>
      </c>
      <c r="AC52" s="30">
        <v>19</v>
      </c>
      <c r="AD52" s="30">
        <v>20</v>
      </c>
      <c r="AE52" s="30">
        <v>27</v>
      </c>
      <c r="AF52" s="30">
        <f>IF(P52&lt;0.5,28,IF(P52&lt;0.7,27,IF(P52&lt;0.8,26,IF(P52&lt;1,25,IF(P52&lt;1.1,24,IF(P52&lt;1.25,23,IF(P52&lt;1.5,22,IF(P52&lt;1.75,21,IF(P52&lt;2,21,20)))))))))</f>
        <v>28</v>
      </c>
    </row>
    <row r="53" spans="1:32" x14ac:dyDescent="0.2">
      <c r="A53" s="21" t="s">
        <v>203</v>
      </c>
      <c r="B53" s="12">
        <v>64</v>
      </c>
      <c r="C53" s="12">
        <v>64</v>
      </c>
      <c r="D53" s="16">
        <v>69.3</v>
      </c>
      <c r="E53" s="16">
        <v>69.3</v>
      </c>
      <c r="F53" s="15">
        <v>2.4700000000000002</v>
      </c>
      <c r="G53" s="15">
        <v>1.1399999999999999</v>
      </c>
      <c r="H53" s="12">
        <v>3</v>
      </c>
      <c r="I53" s="12">
        <v>53</v>
      </c>
      <c r="J53" s="12">
        <v>124</v>
      </c>
      <c r="K53" s="12">
        <v>47</v>
      </c>
      <c r="L53" s="12">
        <v>24</v>
      </c>
      <c r="M53" s="12">
        <v>51</v>
      </c>
      <c r="N53" s="12">
        <v>8</v>
      </c>
      <c r="O53" s="12">
        <v>5</v>
      </c>
      <c r="P53" s="29">
        <f t="shared" si="21"/>
        <v>0.64935064935064946</v>
      </c>
      <c r="Q53" s="30">
        <f t="shared" si="22"/>
        <v>5</v>
      </c>
      <c r="R53" s="30">
        <f t="shared" si="23"/>
        <v>1</v>
      </c>
      <c r="S53" s="1" t="s">
        <v>150</v>
      </c>
      <c r="T53" s="1">
        <v>200</v>
      </c>
      <c r="U53" s="12" t="s">
        <v>85</v>
      </c>
      <c r="V53" s="12" t="s">
        <v>32</v>
      </c>
      <c r="W53" s="12" t="s">
        <v>42</v>
      </c>
      <c r="X53" s="12">
        <f t="shared" si="24"/>
        <v>17</v>
      </c>
      <c r="Y53" s="30">
        <v>0</v>
      </c>
      <c r="Z53" s="30">
        <v>4</v>
      </c>
      <c r="AA53" s="30">
        <v>13</v>
      </c>
      <c r="AB53" s="30">
        <v>17</v>
      </c>
      <c r="AC53" s="30">
        <v>18</v>
      </c>
      <c r="AD53" s="30">
        <v>21</v>
      </c>
      <c r="AE53" s="30">
        <v>26</v>
      </c>
      <c r="AF53" s="30">
        <f t="shared" si="25"/>
        <v>27</v>
      </c>
    </row>
    <row r="54" spans="1:32" x14ac:dyDescent="0.2">
      <c r="A54" s="21" t="s">
        <v>204</v>
      </c>
      <c r="B54" s="12">
        <v>60</v>
      </c>
      <c r="C54" s="12">
        <v>60</v>
      </c>
      <c r="D54" s="16">
        <v>60.7</v>
      </c>
      <c r="E54" s="16">
        <v>60.7</v>
      </c>
      <c r="F54" s="15">
        <v>2.82</v>
      </c>
      <c r="G54" s="15">
        <v>1.1000000000000001</v>
      </c>
      <c r="H54" s="12">
        <v>5</v>
      </c>
      <c r="I54" s="12">
        <v>70</v>
      </c>
      <c r="J54" s="12">
        <v>77</v>
      </c>
      <c r="K54" s="12">
        <v>43</v>
      </c>
      <c r="L54" s="12">
        <v>29</v>
      </c>
      <c r="M54" s="12">
        <v>30</v>
      </c>
      <c r="N54" s="12">
        <v>8</v>
      </c>
      <c r="O54" s="12">
        <v>4</v>
      </c>
      <c r="P54" s="29">
        <f t="shared" si="21"/>
        <v>0.59308072487644148</v>
      </c>
      <c r="Q54" s="30">
        <f t="shared" si="22"/>
        <v>6</v>
      </c>
      <c r="R54" s="30">
        <f t="shared" si="23"/>
        <v>1</v>
      </c>
      <c r="S54" s="1" t="s">
        <v>150</v>
      </c>
      <c r="T54" s="1">
        <v>220</v>
      </c>
      <c r="U54" s="12" t="s">
        <v>85</v>
      </c>
      <c r="V54" s="12" t="s">
        <v>32</v>
      </c>
      <c r="W54" s="12" t="s">
        <v>42</v>
      </c>
      <c r="X54" s="12">
        <f t="shared" si="24"/>
        <v>17</v>
      </c>
      <c r="Y54" s="30">
        <v>0</v>
      </c>
      <c r="Z54" s="30">
        <v>6</v>
      </c>
      <c r="AA54" s="30">
        <v>13</v>
      </c>
      <c r="AB54" s="30">
        <v>17</v>
      </c>
      <c r="AC54" s="30">
        <v>18</v>
      </c>
      <c r="AD54" s="30">
        <v>19</v>
      </c>
      <c r="AE54" s="30">
        <v>26</v>
      </c>
      <c r="AF54" s="30">
        <f t="shared" si="25"/>
        <v>27</v>
      </c>
    </row>
    <row r="55" spans="1:32" x14ac:dyDescent="0.2">
      <c r="A55" s="21" t="s">
        <v>205</v>
      </c>
      <c r="B55" s="12">
        <v>25</v>
      </c>
      <c r="C55" s="12">
        <v>25</v>
      </c>
      <c r="D55" s="16">
        <v>25.7</v>
      </c>
      <c r="E55" s="16">
        <v>25.7</v>
      </c>
      <c r="F55" s="15">
        <v>2.4500000000000002</v>
      </c>
      <c r="G55" s="15">
        <v>1.21</v>
      </c>
      <c r="H55" s="12">
        <v>2</v>
      </c>
      <c r="I55" s="12">
        <v>26</v>
      </c>
      <c r="J55" s="12">
        <v>34</v>
      </c>
      <c r="K55" s="12">
        <v>29</v>
      </c>
      <c r="L55" s="12">
        <v>15</v>
      </c>
      <c r="M55" s="12">
        <v>10</v>
      </c>
      <c r="N55" s="12">
        <v>7</v>
      </c>
      <c r="O55" s="12">
        <v>2</v>
      </c>
      <c r="P55" s="29">
        <f t="shared" si="21"/>
        <v>0.70038910505836571</v>
      </c>
      <c r="Q55" s="30">
        <f t="shared" si="22"/>
        <v>4</v>
      </c>
      <c r="R55" s="30">
        <f t="shared" si="23"/>
        <v>1</v>
      </c>
      <c r="S55" s="1" t="s">
        <v>150</v>
      </c>
      <c r="T55" s="1"/>
      <c r="U55" s="12" t="s">
        <v>85</v>
      </c>
      <c r="V55" s="12" t="s">
        <v>32</v>
      </c>
      <c r="W55" s="12" t="s">
        <v>33</v>
      </c>
      <c r="X55" s="12">
        <f t="shared" si="24"/>
        <v>17</v>
      </c>
      <c r="Y55" s="30">
        <v>1</v>
      </c>
      <c r="Z55" s="30">
        <v>6</v>
      </c>
      <c r="AA55" s="30">
        <v>12</v>
      </c>
      <c r="AB55" s="30">
        <v>17</v>
      </c>
      <c r="AC55" s="30">
        <v>18</v>
      </c>
      <c r="AD55" s="30">
        <v>19</v>
      </c>
      <c r="AE55" s="30">
        <v>25</v>
      </c>
      <c r="AF55" s="30">
        <f t="shared" si="25"/>
        <v>26</v>
      </c>
    </row>
    <row r="56" spans="1:32" x14ac:dyDescent="0.2">
      <c r="A56" s="21" t="s">
        <v>202</v>
      </c>
      <c r="B56" s="12">
        <v>56</v>
      </c>
      <c r="C56" s="12">
        <v>56</v>
      </c>
      <c r="D56" s="16">
        <v>52.7</v>
      </c>
      <c r="E56" s="16">
        <v>52.7</v>
      </c>
      <c r="F56" s="15">
        <v>2.56</v>
      </c>
      <c r="G56" s="15">
        <v>0.99</v>
      </c>
      <c r="H56" s="12">
        <v>3</v>
      </c>
      <c r="I56" s="12">
        <v>50</v>
      </c>
      <c r="J56" s="12">
        <v>68</v>
      </c>
      <c r="K56" s="12">
        <v>42</v>
      </c>
      <c r="L56" s="12">
        <v>16</v>
      </c>
      <c r="M56" s="12">
        <v>27</v>
      </c>
      <c r="N56" s="12">
        <v>8</v>
      </c>
      <c r="O56" s="12">
        <v>3</v>
      </c>
      <c r="P56" s="29">
        <f>O56/D56*9</f>
        <v>0.51233396584440227</v>
      </c>
      <c r="Q56" s="30">
        <f>IF(G56&lt;=1.1,6,IF(G56&lt;=1.2,5,IF(G56&lt;=1.3,4,IF(G56&lt;=1.4,3,IF(G56&lt;=1.5,2,1)))))</f>
        <v>6</v>
      </c>
      <c r="R56" s="30">
        <f>ROUND(E56/C56, 0)</f>
        <v>1</v>
      </c>
      <c r="S56" s="1" t="s">
        <v>150</v>
      </c>
      <c r="T56" s="12">
        <v>250</v>
      </c>
      <c r="U56" s="12" t="s">
        <v>85</v>
      </c>
      <c r="V56" s="12" t="s">
        <v>44</v>
      </c>
      <c r="W56" s="12" t="s">
        <v>33</v>
      </c>
      <c r="X56" s="12">
        <f>IF(F56&lt;1.25, 19, IF(F56&lt;2, 18, IF(F56&lt;3, 17, IF(F56&lt;4.5, 16, IF(F56&lt;6, 15, 14)))))</f>
        <v>17</v>
      </c>
      <c r="Y56" s="30">
        <v>0</v>
      </c>
      <c r="Z56" s="30">
        <v>5</v>
      </c>
      <c r="AA56" s="30">
        <v>12</v>
      </c>
      <c r="AB56" s="30">
        <v>17</v>
      </c>
      <c r="AC56" s="30">
        <v>18</v>
      </c>
      <c r="AD56" s="30">
        <v>20</v>
      </c>
      <c r="AE56" s="30">
        <v>26</v>
      </c>
      <c r="AF56" s="30">
        <f>IF(P56&lt;0.5,28,IF(P56&lt;0.7,27,IF(P56&lt;0.8,26,IF(P56&lt;1,25,IF(P56&lt;1.1,24,IF(P56&lt;1.25,23,IF(P56&lt;1.5,22,IF(P56&lt;1.75,21,IF(P56&lt;2,21,20)))))))))</f>
        <v>27</v>
      </c>
    </row>
    <row r="57" spans="1:32" x14ac:dyDescent="0.2">
      <c r="A57" s="21" t="s">
        <v>207</v>
      </c>
      <c r="B57" s="12">
        <v>17</v>
      </c>
      <c r="C57" s="12">
        <v>3</v>
      </c>
      <c r="D57" s="16">
        <v>77</v>
      </c>
      <c r="E57" s="16">
        <v>7.7</v>
      </c>
      <c r="F57" s="15">
        <v>4.32</v>
      </c>
      <c r="G57" s="15">
        <v>1.21</v>
      </c>
      <c r="H57" s="12">
        <v>14</v>
      </c>
      <c r="I57" s="12">
        <v>76</v>
      </c>
      <c r="J57" s="12">
        <v>66</v>
      </c>
      <c r="K57" s="12">
        <v>110</v>
      </c>
      <c r="L57" s="12">
        <v>31</v>
      </c>
      <c r="M57" s="12">
        <v>36</v>
      </c>
      <c r="N57" s="12">
        <v>19</v>
      </c>
      <c r="O57" s="12">
        <v>13</v>
      </c>
      <c r="P57" s="29">
        <f t="shared" si="21"/>
        <v>1.5194805194805194</v>
      </c>
      <c r="Q57" s="30">
        <f t="shared" si="22"/>
        <v>4</v>
      </c>
      <c r="R57" s="30">
        <v>2</v>
      </c>
      <c r="S57" s="1" t="s">
        <v>150</v>
      </c>
      <c r="T57" s="1"/>
      <c r="U57" s="12" t="s">
        <v>85</v>
      </c>
      <c r="V57" s="12" t="s">
        <v>32</v>
      </c>
      <c r="W57" s="12" t="s">
        <v>33</v>
      </c>
      <c r="X57" s="12">
        <f t="shared" si="24"/>
        <v>16</v>
      </c>
      <c r="Y57" s="30">
        <f t="shared" ref="Y57:Y111" si="26">ROUND($X57*H57/($H57+$I57+$J57+$K57), 0)</f>
        <v>1</v>
      </c>
      <c r="Z57" s="30">
        <v>6</v>
      </c>
      <c r="AA57" s="30">
        <v>10</v>
      </c>
      <c r="AB57" s="30">
        <v>16</v>
      </c>
      <c r="AC57" s="30">
        <v>17</v>
      </c>
      <c r="AD57" s="30">
        <v>19</v>
      </c>
      <c r="AE57" s="30">
        <v>20</v>
      </c>
      <c r="AF57" s="30">
        <f t="shared" si="25"/>
        <v>21</v>
      </c>
    </row>
    <row r="58" spans="1:32" x14ac:dyDescent="0.2">
      <c r="A58" s="21" t="s">
        <v>293</v>
      </c>
      <c r="B58" s="12">
        <v>30</v>
      </c>
      <c r="C58" s="12">
        <v>30</v>
      </c>
      <c r="D58" s="16">
        <v>185.7</v>
      </c>
      <c r="E58" s="16">
        <v>185.7</v>
      </c>
      <c r="F58" s="15">
        <v>3.2</v>
      </c>
      <c r="G58" s="15">
        <v>1.17</v>
      </c>
      <c r="H58" s="12">
        <v>27</v>
      </c>
      <c r="I58" s="12">
        <v>170</v>
      </c>
      <c r="J58" s="12">
        <v>201</v>
      </c>
      <c r="K58" s="12">
        <v>218</v>
      </c>
      <c r="L58" s="12">
        <v>51</v>
      </c>
      <c r="M58" s="12">
        <f>173-29-6-22</f>
        <v>116</v>
      </c>
      <c r="N58" s="12">
        <v>29</v>
      </c>
      <c r="O58" s="12">
        <v>22</v>
      </c>
      <c r="P58" s="29">
        <f t="shared" ref="P58" si="27">O58/D58*9</f>
        <v>1.0662358642972538</v>
      </c>
      <c r="Q58" s="30">
        <f t="shared" ref="Q58" si="28">IF(G58&lt;=1.1,6,IF(G58&lt;=1.2,5,IF(G58&lt;=1.3,4,IF(G58&lt;=1.4,3,IF(G58&lt;=1.5,2,1)))))</f>
        <v>5</v>
      </c>
      <c r="R58" s="30">
        <f t="shared" ref="R58" si="29">ROUND(E58/C58, 0)</f>
        <v>6</v>
      </c>
      <c r="S58" s="12" t="s">
        <v>151</v>
      </c>
      <c r="U58" s="12" t="s">
        <v>69</v>
      </c>
      <c r="V58" s="12" t="s">
        <v>32</v>
      </c>
      <c r="W58" s="12" t="s">
        <v>33</v>
      </c>
      <c r="X58" s="12">
        <f t="shared" ref="X58" si="30">IF(F58&lt;1.25, 19, IF(F58&lt;2, 18, IF(F58&lt;3, 17, IF(F58&lt;4.5, 16, IF(F58&lt;6, 15, 14)))))</f>
        <v>16</v>
      </c>
      <c r="Y58" s="30">
        <v>2</v>
      </c>
      <c r="Z58" s="30">
        <v>7</v>
      </c>
      <c r="AA58" s="30">
        <v>11</v>
      </c>
      <c r="AB58" s="30">
        <v>16</v>
      </c>
      <c r="AC58" s="30">
        <v>17</v>
      </c>
      <c r="AD58" s="30">
        <v>19</v>
      </c>
      <c r="AE58" s="30">
        <v>23</v>
      </c>
      <c r="AF58" s="30">
        <f t="shared" ref="AF58" si="31">IF(P58&lt;0.5,28,IF(P58&lt;0.7,27,IF(P58&lt;0.8,26,IF(P58&lt;1,25,IF(P58&lt;1.1,24,IF(P58&lt;1.25,23,IF(P58&lt;1.5,22,IF(P58&lt;1.75,21,IF(P58&lt;2,21,20)))))))))</f>
        <v>24</v>
      </c>
    </row>
    <row r="59" spans="1:32" x14ac:dyDescent="0.2">
      <c r="A59" s="21" t="s">
        <v>294</v>
      </c>
      <c r="B59" s="12">
        <v>26</v>
      </c>
      <c r="C59" s="12">
        <v>26</v>
      </c>
      <c r="D59" s="16">
        <v>143.30000000000001</v>
      </c>
      <c r="E59" s="16">
        <v>143.30000000000001</v>
      </c>
      <c r="F59" s="15">
        <v>5.4</v>
      </c>
      <c r="G59" s="15">
        <v>1.35</v>
      </c>
      <c r="H59" s="12">
        <v>13</v>
      </c>
      <c r="I59" s="12">
        <v>113</v>
      </c>
      <c r="J59" s="12">
        <v>166</v>
      </c>
      <c r="K59" s="12">
        <v>204</v>
      </c>
      <c r="L59" s="12">
        <v>45</v>
      </c>
      <c r="M59" s="12">
        <f>153-30-6-26</f>
        <v>91</v>
      </c>
      <c r="N59" s="12">
        <v>30</v>
      </c>
      <c r="O59" s="12">
        <v>26</v>
      </c>
      <c r="P59" s="29">
        <f t="shared" si="21"/>
        <v>1.632937892533147</v>
      </c>
      <c r="Q59" s="30">
        <f t="shared" si="22"/>
        <v>3</v>
      </c>
      <c r="R59" s="30">
        <f t="shared" si="23"/>
        <v>6</v>
      </c>
      <c r="S59" s="12" t="s">
        <v>151</v>
      </c>
      <c r="U59" s="12" t="s">
        <v>69</v>
      </c>
      <c r="V59" s="12" t="s">
        <v>32</v>
      </c>
      <c r="W59" s="12" t="s">
        <v>33</v>
      </c>
      <c r="X59" s="12">
        <f t="shared" si="24"/>
        <v>15</v>
      </c>
      <c r="Y59" s="30">
        <v>1</v>
      </c>
      <c r="Z59" s="30">
        <v>4</v>
      </c>
      <c r="AA59" s="30">
        <v>9</v>
      </c>
      <c r="AB59" s="30">
        <v>15</v>
      </c>
      <c r="AC59" s="30">
        <v>16</v>
      </c>
      <c r="AD59" s="30">
        <v>19</v>
      </c>
      <c r="AE59" s="30">
        <v>20</v>
      </c>
      <c r="AF59" s="30">
        <f t="shared" si="25"/>
        <v>21</v>
      </c>
    </row>
    <row r="60" spans="1:32" x14ac:dyDescent="0.2">
      <c r="A60" s="21" t="s">
        <v>295</v>
      </c>
      <c r="B60" s="12">
        <v>32</v>
      </c>
      <c r="C60" s="12">
        <v>32</v>
      </c>
      <c r="D60" s="16">
        <v>211</v>
      </c>
      <c r="E60" s="16">
        <v>211</v>
      </c>
      <c r="F60" s="15">
        <v>3.24</v>
      </c>
      <c r="G60" s="15">
        <v>1.1399999999999999</v>
      </c>
      <c r="H60" s="12">
        <v>18</v>
      </c>
      <c r="I60" s="12">
        <v>161</v>
      </c>
      <c r="J60" s="12">
        <v>294</v>
      </c>
      <c r="K60" s="12">
        <v>209</v>
      </c>
      <c r="L60" s="12">
        <v>60</v>
      </c>
      <c r="M60" s="12">
        <v>131</v>
      </c>
      <c r="N60" s="12">
        <v>31</v>
      </c>
      <c r="O60" s="12">
        <v>26</v>
      </c>
      <c r="P60" s="29">
        <f t="shared" si="21"/>
        <v>1.1090047393364928</v>
      </c>
      <c r="Q60" s="30">
        <f t="shared" si="22"/>
        <v>5</v>
      </c>
      <c r="R60" s="30">
        <f t="shared" si="23"/>
        <v>7</v>
      </c>
      <c r="S60" s="12" t="s">
        <v>151</v>
      </c>
      <c r="U60" s="12" t="s">
        <v>69</v>
      </c>
      <c r="V60" s="12" t="s">
        <v>32</v>
      </c>
      <c r="W60" s="12" t="s">
        <v>33</v>
      </c>
      <c r="X60" s="12">
        <f t="shared" si="24"/>
        <v>16</v>
      </c>
      <c r="Y60" s="30">
        <v>1</v>
      </c>
      <c r="Z60" s="30">
        <v>6</v>
      </c>
      <c r="AA60" s="30">
        <v>12</v>
      </c>
      <c r="AB60" s="30">
        <v>16</v>
      </c>
      <c r="AC60" s="30">
        <v>17</v>
      </c>
      <c r="AD60" s="30">
        <v>19</v>
      </c>
      <c r="AE60" s="30">
        <v>22</v>
      </c>
      <c r="AF60" s="30">
        <f t="shared" si="25"/>
        <v>23</v>
      </c>
    </row>
    <row r="61" spans="1:32" x14ac:dyDescent="0.2">
      <c r="A61" s="21" t="s">
        <v>296</v>
      </c>
      <c r="B61" s="12">
        <v>32</v>
      </c>
      <c r="C61" s="12">
        <v>32</v>
      </c>
      <c r="D61" s="16">
        <v>204.7</v>
      </c>
      <c r="E61" s="16">
        <v>204.7</v>
      </c>
      <c r="F61" s="15">
        <v>3.21</v>
      </c>
      <c r="G61" s="15">
        <v>1.0900000000000001</v>
      </c>
      <c r="H61" s="12">
        <v>26</v>
      </c>
      <c r="I61" s="12">
        <v>181</v>
      </c>
      <c r="J61" s="12">
        <v>204</v>
      </c>
      <c r="K61" s="12">
        <v>250</v>
      </c>
      <c r="L61" s="12">
        <v>53</v>
      </c>
      <c r="M61" s="12">
        <f>177-44-2-22</f>
        <v>109</v>
      </c>
      <c r="N61" s="12">
        <v>44</v>
      </c>
      <c r="O61" s="12">
        <v>22</v>
      </c>
      <c r="P61" s="29">
        <f t="shared" si="21"/>
        <v>0.96726917440156335</v>
      </c>
      <c r="Q61" s="30">
        <f t="shared" si="22"/>
        <v>6</v>
      </c>
      <c r="R61" s="30">
        <f t="shared" si="23"/>
        <v>6</v>
      </c>
      <c r="S61" s="12" t="s">
        <v>151</v>
      </c>
      <c r="U61" s="12" t="s">
        <v>69</v>
      </c>
      <c r="V61" s="12" t="s">
        <v>32</v>
      </c>
      <c r="W61" s="12" t="s">
        <v>42</v>
      </c>
      <c r="X61" s="12">
        <f t="shared" si="24"/>
        <v>16</v>
      </c>
      <c r="Y61" s="30">
        <v>2</v>
      </c>
      <c r="Z61" s="30">
        <v>7</v>
      </c>
      <c r="AA61" s="30">
        <v>11</v>
      </c>
      <c r="AB61" s="30">
        <v>16</v>
      </c>
      <c r="AC61" s="30">
        <v>17</v>
      </c>
      <c r="AD61" s="30">
        <v>19</v>
      </c>
      <c r="AE61" s="30">
        <v>24</v>
      </c>
      <c r="AF61" s="30">
        <f t="shared" si="25"/>
        <v>25</v>
      </c>
    </row>
    <row r="62" spans="1:32" x14ac:dyDescent="0.2">
      <c r="A62" s="21" t="s">
        <v>297</v>
      </c>
      <c r="B62" s="12">
        <v>31</v>
      </c>
      <c r="C62" s="12">
        <v>11</v>
      </c>
      <c r="D62" s="16">
        <v>77.7</v>
      </c>
      <c r="E62" s="16">
        <v>56</v>
      </c>
      <c r="F62" s="15">
        <v>3.13</v>
      </c>
      <c r="G62" s="15">
        <v>1.33</v>
      </c>
      <c r="H62" s="12">
        <v>7</v>
      </c>
      <c r="I62" s="12">
        <v>77</v>
      </c>
      <c r="J62" s="12">
        <v>106</v>
      </c>
      <c r="K62" s="12">
        <v>59</v>
      </c>
      <c r="L62" s="12">
        <v>32</v>
      </c>
      <c r="M62" s="12">
        <f>53+23-15-3</f>
        <v>58</v>
      </c>
      <c r="N62" s="12">
        <v>15</v>
      </c>
      <c r="O62" s="12">
        <v>3</v>
      </c>
      <c r="P62" s="29">
        <f t="shared" si="21"/>
        <v>0.34749034749034746</v>
      </c>
      <c r="Q62" s="30">
        <f t="shared" si="22"/>
        <v>3</v>
      </c>
      <c r="R62" s="30">
        <f t="shared" si="23"/>
        <v>5</v>
      </c>
      <c r="S62" s="12" t="s">
        <v>151</v>
      </c>
      <c r="U62" s="12" t="s">
        <v>69</v>
      </c>
      <c r="V62" s="12" t="s">
        <v>32</v>
      </c>
      <c r="W62" s="12" t="s">
        <v>42</v>
      </c>
      <c r="X62" s="12">
        <f t="shared" si="24"/>
        <v>16</v>
      </c>
      <c r="Y62" s="30">
        <f t="shared" si="26"/>
        <v>0</v>
      </c>
      <c r="Z62" s="30">
        <v>6</v>
      </c>
      <c r="AA62" s="30">
        <v>12</v>
      </c>
      <c r="AB62" s="30">
        <v>16</v>
      </c>
      <c r="AC62" s="30">
        <v>17</v>
      </c>
      <c r="AD62" s="30">
        <v>20</v>
      </c>
      <c r="AE62" s="30">
        <v>27</v>
      </c>
      <c r="AF62" s="30">
        <f t="shared" si="25"/>
        <v>28</v>
      </c>
    </row>
    <row r="63" spans="1:32" x14ac:dyDescent="0.2">
      <c r="A63" s="21" t="s">
        <v>298</v>
      </c>
      <c r="B63" s="12">
        <v>68</v>
      </c>
      <c r="C63" s="12">
        <v>68</v>
      </c>
      <c r="D63" s="16">
        <v>67</v>
      </c>
      <c r="E63" s="16">
        <v>67</v>
      </c>
      <c r="F63" s="15">
        <v>1.21</v>
      </c>
      <c r="G63" s="15">
        <v>0.88</v>
      </c>
      <c r="H63" s="12">
        <v>7</v>
      </c>
      <c r="I63" s="12">
        <v>98</v>
      </c>
      <c r="J63" s="12">
        <v>64</v>
      </c>
      <c r="K63" s="12">
        <v>39</v>
      </c>
      <c r="L63" s="12">
        <v>25</v>
      </c>
      <c r="M63" s="12">
        <v>28</v>
      </c>
      <c r="N63" s="12">
        <v>7</v>
      </c>
      <c r="O63" s="12">
        <v>4</v>
      </c>
      <c r="P63" s="29">
        <f t="shared" si="21"/>
        <v>0.53731343283582089</v>
      </c>
      <c r="Q63" s="30">
        <f t="shared" si="22"/>
        <v>6</v>
      </c>
      <c r="R63" s="30">
        <f t="shared" si="23"/>
        <v>1</v>
      </c>
      <c r="S63" s="12" t="s">
        <v>151</v>
      </c>
      <c r="T63" s="12">
        <v>400</v>
      </c>
      <c r="U63" s="12" t="s">
        <v>82</v>
      </c>
      <c r="V63" s="12" t="s">
        <v>44</v>
      </c>
      <c r="W63" s="12" t="s">
        <v>33</v>
      </c>
      <c r="X63" s="12">
        <f t="shared" si="24"/>
        <v>19</v>
      </c>
      <c r="Y63" s="30">
        <v>1</v>
      </c>
      <c r="Z63" s="30">
        <v>11</v>
      </c>
      <c r="AA63" s="30">
        <v>16</v>
      </c>
      <c r="AB63" s="30">
        <v>19</v>
      </c>
      <c r="AC63" s="30">
        <v>19</v>
      </c>
      <c r="AD63" s="30">
        <v>21</v>
      </c>
      <c r="AE63" s="30">
        <v>26</v>
      </c>
      <c r="AF63" s="30">
        <f t="shared" si="25"/>
        <v>27</v>
      </c>
    </row>
    <row r="64" spans="1:32" x14ac:dyDescent="0.2">
      <c r="A64" s="21" t="s">
        <v>299</v>
      </c>
      <c r="B64" s="12">
        <v>50</v>
      </c>
      <c r="C64" s="12">
        <v>50</v>
      </c>
      <c r="D64" s="16">
        <v>47</v>
      </c>
      <c r="E64" s="16">
        <v>47</v>
      </c>
      <c r="F64" s="15">
        <v>3.45</v>
      </c>
      <c r="G64" s="15">
        <v>1.1299999999999999</v>
      </c>
      <c r="H64" s="12">
        <v>8</v>
      </c>
      <c r="I64" s="12">
        <v>54</v>
      </c>
      <c r="J64" s="12">
        <v>38</v>
      </c>
      <c r="K64" s="12">
        <v>62</v>
      </c>
      <c r="L64" s="12">
        <v>19</v>
      </c>
      <c r="M64" s="12">
        <v>28</v>
      </c>
      <c r="N64" s="12">
        <v>5</v>
      </c>
      <c r="O64" s="12">
        <v>4</v>
      </c>
      <c r="P64" s="29">
        <f t="shared" si="21"/>
        <v>0.76595744680851063</v>
      </c>
      <c r="Q64" s="30">
        <f t="shared" si="22"/>
        <v>5</v>
      </c>
      <c r="R64" s="30">
        <f t="shared" si="23"/>
        <v>1</v>
      </c>
      <c r="S64" s="12" t="s">
        <v>151</v>
      </c>
      <c r="U64" s="12" t="s">
        <v>85</v>
      </c>
      <c r="V64" s="12" t="s">
        <v>32</v>
      </c>
      <c r="W64" s="12" t="s">
        <v>33</v>
      </c>
      <c r="X64" s="12">
        <f t="shared" si="24"/>
        <v>16</v>
      </c>
      <c r="Y64" s="30">
        <v>1</v>
      </c>
      <c r="Z64" s="30">
        <v>7</v>
      </c>
      <c r="AA64" s="30">
        <v>10</v>
      </c>
      <c r="AB64" s="30">
        <v>16</v>
      </c>
      <c r="AC64" s="30">
        <v>18</v>
      </c>
      <c r="AD64" s="30">
        <v>20</v>
      </c>
      <c r="AE64" s="30">
        <v>25</v>
      </c>
      <c r="AF64" s="30">
        <f t="shared" si="25"/>
        <v>26</v>
      </c>
    </row>
    <row r="65" spans="1:32" x14ac:dyDescent="0.2">
      <c r="A65" s="21" t="s">
        <v>300</v>
      </c>
      <c r="B65" s="12">
        <v>75</v>
      </c>
      <c r="C65" s="12">
        <v>75</v>
      </c>
      <c r="D65" s="16">
        <v>65</v>
      </c>
      <c r="E65" s="16">
        <v>65</v>
      </c>
      <c r="F65" s="15">
        <v>1.52</v>
      </c>
      <c r="G65" s="15">
        <v>0.95</v>
      </c>
      <c r="H65" s="12">
        <v>6</v>
      </c>
      <c r="I65" s="12">
        <v>38</v>
      </c>
      <c r="J65" s="12">
        <v>109</v>
      </c>
      <c r="K65" s="12">
        <v>45</v>
      </c>
      <c r="L65" s="12">
        <v>28</v>
      </c>
      <c r="M65" s="12">
        <v>32</v>
      </c>
      <c r="N65" s="12">
        <v>7</v>
      </c>
      <c r="O65" s="12">
        <v>1</v>
      </c>
      <c r="P65" s="29">
        <f t="shared" si="21"/>
        <v>0.13846153846153847</v>
      </c>
      <c r="Q65" s="30">
        <f t="shared" si="22"/>
        <v>6</v>
      </c>
      <c r="R65" s="30">
        <f t="shared" si="23"/>
        <v>1</v>
      </c>
      <c r="S65" s="12" t="s">
        <v>151</v>
      </c>
      <c r="T65" s="12">
        <v>280</v>
      </c>
      <c r="U65" s="12" t="s">
        <v>85</v>
      </c>
      <c r="V65" s="12" t="s">
        <v>44</v>
      </c>
      <c r="W65" s="12" t="s">
        <v>42</v>
      </c>
      <c r="X65" s="12">
        <f t="shared" si="24"/>
        <v>18</v>
      </c>
      <c r="Y65" s="30">
        <v>1</v>
      </c>
      <c r="Z65" s="30">
        <v>5</v>
      </c>
      <c r="AA65" s="30">
        <v>14</v>
      </c>
      <c r="AB65" s="30">
        <v>18</v>
      </c>
      <c r="AC65" s="30">
        <v>19</v>
      </c>
      <c r="AD65" s="30">
        <v>21</v>
      </c>
      <c r="AE65" s="30">
        <v>27</v>
      </c>
      <c r="AF65" s="30">
        <f t="shared" si="25"/>
        <v>28</v>
      </c>
    </row>
    <row r="66" spans="1:32" x14ac:dyDescent="0.2">
      <c r="A66" s="21" t="s">
        <v>301</v>
      </c>
      <c r="B66" s="12">
        <v>62</v>
      </c>
      <c r="C66" s="12">
        <v>62</v>
      </c>
      <c r="D66" s="16">
        <v>73.3</v>
      </c>
      <c r="E66" s="16">
        <v>73.3</v>
      </c>
      <c r="F66" s="15">
        <v>3.07</v>
      </c>
      <c r="G66" s="15">
        <v>1.27</v>
      </c>
      <c r="H66" s="12">
        <v>5</v>
      </c>
      <c r="I66" s="12">
        <v>43</v>
      </c>
      <c r="J66" s="12">
        <v>111</v>
      </c>
      <c r="K66" s="12">
        <v>67</v>
      </c>
      <c r="L66" s="12">
        <v>29</v>
      </c>
      <c r="M66" s="12">
        <v>50</v>
      </c>
      <c r="N66" s="12">
        <v>14</v>
      </c>
      <c r="O66" s="12">
        <v>3</v>
      </c>
      <c r="P66" s="29">
        <f t="shared" si="21"/>
        <v>0.3683492496589359</v>
      </c>
      <c r="Q66" s="30">
        <f t="shared" si="22"/>
        <v>4</v>
      </c>
      <c r="R66" s="30">
        <f t="shared" si="23"/>
        <v>1</v>
      </c>
      <c r="S66" s="12" t="s">
        <v>151</v>
      </c>
      <c r="U66" s="12" t="s">
        <v>85</v>
      </c>
      <c r="V66" s="12" t="s">
        <v>32</v>
      </c>
      <c r="W66" s="12" t="s">
        <v>33</v>
      </c>
      <c r="X66" s="12">
        <f t="shared" si="24"/>
        <v>16</v>
      </c>
      <c r="Y66" s="30">
        <v>0</v>
      </c>
      <c r="Z66" s="30">
        <v>4</v>
      </c>
      <c r="AA66" s="30">
        <v>11</v>
      </c>
      <c r="AB66" s="30">
        <v>16</v>
      </c>
      <c r="AC66" s="30">
        <v>17</v>
      </c>
      <c r="AD66" s="30">
        <v>19</v>
      </c>
      <c r="AE66" s="30">
        <v>27</v>
      </c>
      <c r="AF66" s="30">
        <f t="shared" si="25"/>
        <v>28</v>
      </c>
    </row>
    <row r="67" spans="1:32" x14ac:dyDescent="0.2">
      <c r="A67" s="21" t="s">
        <v>302</v>
      </c>
      <c r="B67" s="12">
        <v>56</v>
      </c>
      <c r="C67" s="12">
        <v>56</v>
      </c>
      <c r="D67" s="16">
        <v>65.7</v>
      </c>
      <c r="E67" s="16">
        <v>65.7</v>
      </c>
      <c r="F67" s="15">
        <v>1.78</v>
      </c>
      <c r="G67" s="15">
        <v>0.99</v>
      </c>
      <c r="H67" s="12">
        <v>8</v>
      </c>
      <c r="I67" s="12">
        <v>74</v>
      </c>
      <c r="J67" s="12">
        <v>60</v>
      </c>
      <c r="K67" s="12">
        <v>61</v>
      </c>
      <c r="L67" s="12">
        <v>26</v>
      </c>
      <c r="M67" s="12">
        <v>34</v>
      </c>
      <c r="N67" s="12">
        <v>6</v>
      </c>
      <c r="O67" s="12">
        <v>5</v>
      </c>
      <c r="P67" s="29">
        <f t="shared" si="21"/>
        <v>0.68493150684931503</v>
      </c>
      <c r="Q67" s="30">
        <f t="shared" si="22"/>
        <v>6</v>
      </c>
      <c r="R67" s="30">
        <f t="shared" si="23"/>
        <v>1</v>
      </c>
      <c r="S67" s="12" t="s">
        <v>151</v>
      </c>
      <c r="U67" s="12" t="s">
        <v>85</v>
      </c>
      <c r="V67" s="12" t="s">
        <v>32</v>
      </c>
      <c r="W67" s="12" t="s">
        <v>33</v>
      </c>
      <c r="X67" s="12">
        <f t="shared" si="24"/>
        <v>18</v>
      </c>
      <c r="Y67" s="30">
        <v>1</v>
      </c>
      <c r="Z67" s="30">
        <v>8</v>
      </c>
      <c r="AA67" s="30">
        <v>13</v>
      </c>
      <c r="AB67" s="30">
        <v>18</v>
      </c>
      <c r="AC67" s="30">
        <v>19</v>
      </c>
      <c r="AD67" s="30">
        <v>20</v>
      </c>
      <c r="AE67" s="30">
        <v>26</v>
      </c>
      <c r="AF67" s="30">
        <f t="shared" si="25"/>
        <v>27</v>
      </c>
    </row>
    <row r="68" spans="1:32" x14ac:dyDescent="0.2">
      <c r="A68" s="21" t="s">
        <v>303</v>
      </c>
      <c r="B68" s="12">
        <v>2</v>
      </c>
      <c r="C68" s="12">
        <v>2</v>
      </c>
      <c r="D68" s="16">
        <v>11</v>
      </c>
      <c r="E68" s="16">
        <v>11</v>
      </c>
      <c r="F68" s="15">
        <v>0.82</v>
      </c>
      <c r="G68" s="15">
        <v>1.0900000000000001</v>
      </c>
      <c r="H68" s="12">
        <v>0</v>
      </c>
      <c r="I68" s="12">
        <v>14</v>
      </c>
      <c r="J68" s="12">
        <v>19</v>
      </c>
      <c r="K68" s="12">
        <v>4</v>
      </c>
      <c r="L68" s="12">
        <v>1</v>
      </c>
      <c r="M68" s="12">
        <v>8</v>
      </c>
      <c r="N68" s="12">
        <v>3</v>
      </c>
      <c r="O68" s="12">
        <v>0</v>
      </c>
      <c r="P68" s="29">
        <f t="shared" si="21"/>
        <v>0</v>
      </c>
      <c r="Q68" s="30">
        <v>5</v>
      </c>
      <c r="R68" s="30">
        <v>2</v>
      </c>
      <c r="S68" s="12" t="s">
        <v>151</v>
      </c>
      <c r="U68" s="12" t="s">
        <v>85</v>
      </c>
      <c r="V68" s="12" t="s">
        <v>32</v>
      </c>
      <c r="W68" s="12" t="s">
        <v>33</v>
      </c>
      <c r="X68" s="12">
        <v>16</v>
      </c>
      <c r="Y68" s="30">
        <v>0</v>
      </c>
      <c r="Z68" s="30">
        <v>6</v>
      </c>
      <c r="AA68" s="30">
        <v>14</v>
      </c>
      <c r="AB68" s="30">
        <v>16</v>
      </c>
      <c r="AC68" s="30">
        <v>16</v>
      </c>
      <c r="AD68" s="30">
        <v>19</v>
      </c>
      <c r="AE68" s="30">
        <v>27</v>
      </c>
      <c r="AF68" s="30">
        <f t="shared" si="25"/>
        <v>28</v>
      </c>
    </row>
    <row r="69" spans="1:32" x14ac:dyDescent="0.2">
      <c r="A69" s="21" t="s">
        <v>327</v>
      </c>
      <c r="B69" s="12">
        <v>31</v>
      </c>
      <c r="C69" s="12">
        <v>31</v>
      </c>
      <c r="D69" s="16">
        <v>180.7</v>
      </c>
      <c r="E69" s="16">
        <v>180.7</v>
      </c>
      <c r="F69" s="15">
        <v>4.18</v>
      </c>
      <c r="G69" s="15">
        <v>1.36</v>
      </c>
      <c r="H69" s="12">
        <v>9</v>
      </c>
      <c r="I69" s="12">
        <v>144</v>
      </c>
      <c r="J69" s="12">
        <v>269</v>
      </c>
      <c r="K69" s="12">
        <v>151</v>
      </c>
      <c r="L69" s="12">
        <v>70</v>
      </c>
      <c r="M69" s="12">
        <f>101-52+79</f>
        <v>128</v>
      </c>
      <c r="N69" s="12">
        <v>30</v>
      </c>
      <c r="O69" s="12">
        <v>18</v>
      </c>
      <c r="P69" s="29">
        <f t="shared" si="21"/>
        <v>0.8965135583840621</v>
      </c>
      <c r="Q69" s="30">
        <f t="shared" si="22"/>
        <v>3</v>
      </c>
      <c r="R69" s="30">
        <f t="shared" si="23"/>
        <v>6</v>
      </c>
      <c r="S69" s="12" t="s">
        <v>152</v>
      </c>
      <c r="U69" s="12" t="s">
        <v>69</v>
      </c>
      <c r="V69" s="12" t="s">
        <v>32</v>
      </c>
      <c r="W69" s="12" t="s">
        <v>33</v>
      </c>
      <c r="X69" s="12">
        <f t="shared" si="24"/>
        <v>16</v>
      </c>
      <c r="Y69" s="30">
        <v>1</v>
      </c>
      <c r="Z69" s="30">
        <v>6</v>
      </c>
      <c r="AA69" s="30">
        <v>13</v>
      </c>
      <c r="AB69" s="30">
        <v>16</v>
      </c>
      <c r="AC69" s="30">
        <v>17</v>
      </c>
      <c r="AD69" s="30">
        <v>19</v>
      </c>
      <c r="AE69" s="30">
        <v>24</v>
      </c>
      <c r="AF69" s="30">
        <f t="shared" si="25"/>
        <v>25</v>
      </c>
    </row>
    <row r="70" spans="1:32" x14ac:dyDescent="0.2">
      <c r="A70" s="21" t="s">
        <v>328</v>
      </c>
      <c r="B70" s="12">
        <v>24</v>
      </c>
      <c r="C70" s="12">
        <v>24</v>
      </c>
      <c r="D70" s="16">
        <v>155.30000000000001</v>
      </c>
      <c r="E70" s="16">
        <v>155.30000000000001</v>
      </c>
      <c r="F70" s="15">
        <v>3.82</v>
      </c>
      <c r="G70" s="15">
        <v>1.24</v>
      </c>
      <c r="H70" s="12">
        <v>13</v>
      </c>
      <c r="I70" s="12">
        <v>136</v>
      </c>
      <c r="J70" s="12">
        <v>175</v>
      </c>
      <c r="K70" s="12">
        <v>173</v>
      </c>
      <c r="L70" s="12">
        <v>50</v>
      </c>
      <c r="M70" s="12">
        <f>86+64-29-1-20</f>
        <v>100</v>
      </c>
      <c r="N70" s="12">
        <v>29</v>
      </c>
      <c r="O70" s="12">
        <v>20</v>
      </c>
      <c r="P70" s="29">
        <f t="shared" si="21"/>
        <v>1.1590470057952349</v>
      </c>
      <c r="Q70" s="30">
        <f t="shared" si="22"/>
        <v>4</v>
      </c>
      <c r="R70" s="30">
        <f t="shared" si="23"/>
        <v>6</v>
      </c>
      <c r="S70" s="12" t="s">
        <v>152</v>
      </c>
      <c r="U70" s="12" t="s">
        <v>69</v>
      </c>
      <c r="V70" s="12" t="s">
        <v>32</v>
      </c>
      <c r="W70" s="12" t="s">
        <v>33</v>
      </c>
      <c r="X70" s="12">
        <f t="shared" si="24"/>
        <v>16</v>
      </c>
      <c r="Y70" s="30">
        <v>1</v>
      </c>
      <c r="Z70" s="30">
        <v>6</v>
      </c>
      <c r="AA70" s="30">
        <v>11</v>
      </c>
      <c r="AB70" s="30">
        <v>16</v>
      </c>
      <c r="AC70" s="30">
        <v>17</v>
      </c>
      <c r="AD70" s="30">
        <v>19</v>
      </c>
      <c r="AE70" s="30">
        <v>22</v>
      </c>
      <c r="AF70" s="30">
        <f t="shared" si="25"/>
        <v>23</v>
      </c>
    </row>
    <row r="71" spans="1:32" x14ac:dyDescent="0.2">
      <c r="A71" s="21" t="s">
        <v>329</v>
      </c>
      <c r="B71" s="12">
        <v>32</v>
      </c>
      <c r="C71" s="12">
        <v>32</v>
      </c>
      <c r="D71" s="16">
        <v>198.7</v>
      </c>
      <c r="E71" s="16">
        <v>198.7</v>
      </c>
      <c r="F71" s="15">
        <v>3.35</v>
      </c>
      <c r="G71" s="15">
        <v>1.17</v>
      </c>
      <c r="H71" s="12">
        <v>26</v>
      </c>
      <c r="I71" s="12">
        <v>125</v>
      </c>
      <c r="J71" s="12">
        <v>251</v>
      </c>
      <c r="K71" s="12">
        <v>240</v>
      </c>
      <c r="L71" s="12">
        <v>38</v>
      </c>
      <c r="M71" s="12">
        <f>91+105-17-14-14-13</f>
        <v>138</v>
      </c>
      <c r="N71" s="12">
        <v>31</v>
      </c>
      <c r="O71" s="12">
        <v>26</v>
      </c>
      <c r="P71" s="29">
        <f t="shared" si="21"/>
        <v>1.1776547559134376</v>
      </c>
      <c r="Q71" s="30">
        <f t="shared" si="22"/>
        <v>5</v>
      </c>
      <c r="R71" s="30">
        <f t="shared" si="23"/>
        <v>6</v>
      </c>
      <c r="S71" s="12" t="s">
        <v>152</v>
      </c>
      <c r="U71" s="12" t="s">
        <v>69</v>
      </c>
      <c r="V71" s="12" t="s">
        <v>32</v>
      </c>
      <c r="W71" s="12" t="s">
        <v>33</v>
      </c>
      <c r="X71" s="12">
        <f t="shared" si="24"/>
        <v>16</v>
      </c>
      <c r="Y71" s="30">
        <v>2</v>
      </c>
      <c r="Z71" s="30">
        <v>6</v>
      </c>
      <c r="AA71" s="30">
        <v>11</v>
      </c>
      <c r="AB71" s="30">
        <v>16</v>
      </c>
      <c r="AC71" s="30">
        <v>17</v>
      </c>
      <c r="AD71" s="30">
        <v>20</v>
      </c>
      <c r="AE71" s="30">
        <v>22</v>
      </c>
      <c r="AF71" s="30">
        <f t="shared" si="25"/>
        <v>23</v>
      </c>
    </row>
    <row r="72" spans="1:32" x14ac:dyDescent="0.2">
      <c r="A72" s="21" t="s">
        <v>330</v>
      </c>
      <c r="B72" s="12">
        <v>32</v>
      </c>
      <c r="C72" s="12">
        <v>32</v>
      </c>
      <c r="D72" s="16">
        <v>183.3</v>
      </c>
      <c r="E72" s="16">
        <v>183.3</v>
      </c>
      <c r="F72" s="15">
        <v>4.37</v>
      </c>
      <c r="G72" s="15">
        <v>1.42</v>
      </c>
      <c r="H72" s="12">
        <v>13</v>
      </c>
      <c r="I72" s="12">
        <v>129</v>
      </c>
      <c r="J72" s="12">
        <v>293</v>
      </c>
      <c r="K72" s="12">
        <v>159</v>
      </c>
      <c r="L72" s="12">
        <v>83</v>
      </c>
      <c r="M72" s="12">
        <f>90+97-26-20</f>
        <v>141</v>
      </c>
      <c r="N72" s="12">
        <v>26</v>
      </c>
      <c r="O72" s="12">
        <v>19</v>
      </c>
      <c r="P72" s="29">
        <f t="shared" si="21"/>
        <v>0.93289689034369883</v>
      </c>
      <c r="Q72" s="30">
        <f t="shared" si="22"/>
        <v>2</v>
      </c>
      <c r="R72" s="30">
        <f t="shared" si="23"/>
        <v>6</v>
      </c>
      <c r="S72" s="12" t="s">
        <v>152</v>
      </c>
      <c r="U72" s="12" t="s">
        <v>69</v>
      </c>
      <c r="V72" s="12" t="s">
        <v>32</v>
      </c>
      <c r="W72" s="12" t="s">
        <v>33</v>
      </c>
      <c r="X72" s="12">
        <f t="shared" si="24"/>
        <v>16</v>
      </c>
      <c r="Y72" s="30">
        <v>1</v>
      </c>
      <c r="Z72" s="30">
        <v>5</v>
      </c>
      <c r="AA72" s="30">
        <v>12</v>
      </c>
      <c r="AB72" s="30">
        <v>16</v>
      </c>
      <c r="AC72" s="30">
        <v>17</v>
      </c>
      <c r="AD72" s="30">
        <v>20</v>
      </c>
      <c r="AE72" s="30">
        <v>24</v>
      </c>
      <c r="AF72" s="30">
        <f t="shared" si="25"/>
        <v>25</v>
      </c>
    </row>
    <row r="73" spans="1:32" x14ac:dyDescent="0.2">
      <c r="A73" s="21" t="s">
        <v>331</v>
      </c>
      <c r="B73" s="12">
        <v>21</v>
      </c>
      <c r="C73" s="12">
        <v>21</v>
      </c>
      <c r="D73" s="16">
        <v>128</v>
      </c>
      <c r="E73" s="16">
        <v>128</v>
      </c>
      <c r="F73" s="15">
        <v>3.87</v>
      </c>
      <c r="G73" s="15">
        <v>1.08</v>
      </c>
      <c r="H73" s="12">
        <v>18</v>
      </c>
      <c r="I73" s="12">
        <v>118</v>
      </c>
      <c r="J73" s="12">
        <v>135</v>
      </c>
      <c r="K73" s="12">
        <v>159</v>
      </c>
      <c r="L73" s="12">
        <v>31</v>
      </c>
      <c r="M73" s="12">
        <f>47+62-16-3-19</f>
        <v>71</v>
      </c>
      <c r="N73" s="12">
        <v>16</v>
      </c>
      <c r="O73" s="12">
        <v>19</v>
      </c>
      <c r="P73" s="29">
        <f t="shared" si="21"/>
        <v>1.3359375</v>
      </c>
      <c r="Q73" s="30">
        <f t="shared" si="22"/>
        <v>6</v>
      </c>
      <c r="R73" s="30">
        <f t="shared" si="23"/>
        <v>6</v>
      </c>
      <c r="S73" s="12" t="s">
        <v>152</v>
      </c>
      <c r="U73" s="12" t="s">
        <v>69</v>
      </c>
      <c r="V73" s="12" t="s">
        <v>32</v>
      </c>
      <c r="W73" s="12" t="s">
        <v>33</v>
      </c>
      <c r="X73" s="12">
        <f t="shared" si="24"/>
        <v>16</v>
      </c>
      <c r="Y73" s="30">
        <v>2</v>
      </c>
      <c r="Z73" s="30">
        <v>7</v>
      </c>
      <c r="AA73" s="30">
        <v>11</v>
      </c>
      <c r="AB73" s="30">
        <v>16</v>
      </c>
      <c r="AC73" s="30">
        <v>17</v>
      </c>
      <c r="AD73" s="30">
        <v>19</v>
      </c>
      <c r="AE73" s="30">
        <v>21</v>
      </c>
      <c r="AF73" s="30">
        <f t="shared" si="25"/>
        <v>22</v>
      </c>
    </row>
    <row r="74" spans="1:32" x14ac:dyDescent="0.2">
      <c r="A74" s="21" t="s">
        <v>332</v>
      </c>
      <c r="B74" s="12">
        <v>48</v>
      </c>
      <c r="C74" s="12">
        <v>48</v>
      </c>
      <c r="D74" s="16">
        <v>46.7</v>
      </c>
      <c r="E74" s="16">
        <v>46.7</v>
      </c>
      <c r="F74" s="15">
        <v>2.7</v>
      </c>
      <c r="G74" s="15">
        <v>1.2</v>
      </c>
      <c r="H74" s="12">
        <v>4</v>
      </c>
      <c r="I74" s="12">
        <v>54</v>
      </c>
      <c r="J74" s="12">
        <v>43</v>
      </c>
      <c r="K74" s="12">
        <v>46</v>
      </c>
      <c r="L74" s="12">
        <v>19</v>
      </c>
      <c r="M74" s="12">
        <f>15+27-9-2-7</f>
        <v>24</v>
      </c>
      <c r="N74" s="12">
        <v>9</v>
      </c>
      <c r="O74" s="12">
        <v>7</v>
      </c>
      <c r="P74" s="29">
        <f t="shared" si="21"/>
        <v>1.3490364025695931</v>
      </c>
      <c r="Q74" s="30">
        <f t="shared" si="22"/>
        <v>5</v>
      </c>
      <c r="R74" s="30">
        <f t="shared" si="23"/>
        <v>1</v>
      </c>
      <c r="S74" s="12" t="s">
        <v>152</v>
      </c>
      <c r="U74" s="12" t="s">
        <v>82</v>
      </c>
      <c r="V74" s="12" t="s">
        <v>32</v>
      </c>
      <c r="W74" s="12" t="s">
        <v>33</v>
      </c>
      <c r="X74" s="12">
        <f t="shared" si="24"/>
        <v>17</v>
      </c>
      <c r="Y74" s="30">
        <v>0</v>
      </c>
      <c r="Z74" s="30">
        <v>7</v>
      </c>
      <c r="AA74" s="30">
        <v>12</v>
      </c>
      <c r="AB74" s="30">
        <v>17</v>
      </c>
      <c r="AC74" s="30">
        <v>18</v>
      </c>
      <c r="AD74" s="30">
        <v>19</v>
      </c>
      <c r="AE74" s="30">
        <v>21</v>
      </c>
      <c r="AF74" s="30">
        <f t="shared" si="25"/>
        <v>22</v>
      </c>
    </row>
    <row r="75" spans="1:32" x14ac:dyDescent="0.2">
      <c r="A75" s="21" t="s">
        <v>333</v>
      </c>
      <c r="B75" s="12">
        <v>19</v>
      </c>
      <c r="C75" s="12">
        <v>18</v>
      </c>
      <c r="D75" s="16">
        <v>33.1</v>
      </c>
      <c r="E75" s="16">
        <v>29.1</v>
      </c>
      <c r="F75" s="15">
        <v>3.24</v>
      </c>
      <c r="G75" s="15">
        <v>0.93</v>
      </c>
      <c r="H75" s="12">
        <v>4</v>
      </c>
      <c r="I75" s="12">
        <v>43</v>
      </c>
      <c r="J75" s="12">
        <v>34</v>
      </c>
      <c r="K75" s="12">
        <v>32</v>
      </c>
      <c r="L75" s="12">
        <v>8</v>
      </c>
      <c r="M75" s="12">
        <v>15</v>
      </c>
      <c r="N75" s="12">
        <v>2</v>
      </c>
      <c r="O75" s="12">
        <v>6</v>
      </c>
      <c r="P75" s="29">
        <f t="shared" si="21"/>
        <v>1.6314199395770392</v>
      </c>
      <c r="Q75" s="30">
        <f t="shared" si="22"/>
        <v>6</v>
      </c>
      <c r="R75" s="30">
        <f t="shared" si="23"/>
        <v>2</v>
      </c>
      <c r="S75" s="12" t="s">
        <v>152</v>
      </c>
      <c r="U75" s="12" t="s">
        <v>85</v>
      </c>
      <c r="V75" s="12" t="s">
        <v>32</v>
      </c>
      <c r="W75" s="12" t="s">
        <v>42</v>
      </c>
      <c r="X75" s="12">
        <f t="shared" si="24"/>
        <v>16</v>
      </c>
      <c r="Y75" s="30">
        <v>1</v>
      </c>
      <c r="Z75" s="30">
        <v>8</v>
      </c>
      <c r="AA75" s="30">
        <v>12</v>
      </c>
      <c r="AB75" s="30">
        <v>16</v>
      </c>
      <c r="AC75" s="30">
        <v>17</v>
      </c>
      <c r="AD75" s="30">
        <v>19</v>
      </c>
      <c r="AE75" s="30">
        <v>20</v>
      </c>
      <c r="AF75" s="30">
        <f t="shared" si="25"/>
        <v>21</v>
      </c>
    </row>
    <row r="76" spans="1:32" x14ac:dyDescent="0.2">
      <c r="A76" s="21" t="s">
        <v>323</v>
      </c>
      <c r="B76" s="12">
        <v>26</v>
      </c>
      <c r="C76" s="12">
        <v>25</v>
      </c>
      <c r="D76" s="16">
        <v>31.3</v>
      </c>
      <c r="E76" s="16">
        <v>31.3</v>
      </c>
      <c r="F76" s="15">
        <v>6.03</v>
      </c>
      <c r="G76" s="15">
        <v>1.53</v>
      </c>
      <c r="H76" s="12">
        <v>3</v>
      </c>
      <c r="I76" s="12">
        <v>18</v>
      </c>
      <c r="J76" s="12">
        <v>56</v>
      </c>
      <c r="K76" s="12">
        <v>32</v>
      </c>
      <c r="L76" s="12">
        <v>14</v>
      </c>
      <c r="M76" s="12">
        <f>23+16-9-3</f>
        <v>27</v>
      </c>
      <c r="N76" s="12">
        <v>9</v>
      </c>
      <c r="O76" s="12">
        <v>3</v>
      </c>
      <c r="P76" s="29">
        <f t="shared" si="21"/>
        <v>0.86261980830670926</v>
      </c>
      <c r="Q76" s="30">
        <f t="shared" si="22"/>
        <v>1</v>
      </c>
      <c r="R76" s="30">
        <f t="shared" si="23"/>
        <v>1</v>
      </c>
      <c r="S76" s="12" t="s">
        <v>152</v>
      </c>
      <c r="U76" s="12" t="s">
        <v>85</v>
      </c>
      <c r="V76" s="12" t="s">
        <v>32</v>
      </c>
      <c r="W76" s="12" t="s">
        <v>42</v>
      </c>
      <c r="X76" s="12">
        <f t="shared" si="24"/>
        <v>14</v>
      </c>
      <c r="Y76" s="30">
        <v>0</v>
      </c>
      <c r="Z76" s="30">
        <v>3</v>
      </c>
      <c r="AA76" s="30">
        <v>10</v>
      </c>
      <c r="AB76" s="30">
        <v>14</v>
      </c>
      <c r="AC76" s="30">
        <v>16</v>
      </c>
      <c r="AD76" s="30">
        <v>19</v>
      </c>
      <c r="AE76" s="30">
        <v>24</v>
      </c>
      <c r="AF76" s="30">
        <f t="shared" si="25"/>
        <v>25</v>
      </c>
    </row>
    <row r="77" spans="1:32" x14ac:dyDescent="0.2">
      <c r="A77" s="21" t="s">
        <v>334</v>
      </c>
      <c r="B77" s="12">
        <v>71</v>
      </c>
      <c r="C77" s="12">
        <v>71</v>
      </c>
      <c r="D77" s="16">
        <v>77</v>
      </c>
      <c r="E77" s="16">
        <v>77</v>
      </c>
      <c r="F77" s="15">
        <v>2.69</v>
      </c>
      <c r="G77" s="15">
        <v>1.06</v>
      </c>
      <c r="H77" s="12">
        <v>3</v>
      </c>
      <c r="I77" s="12">
        <v>58</v>
      </c>
      <c r="J77" s="12">
        <v>128</v>
      </c>
      <c r="K77" s="12">
        <v>41</v>
      </c>
      <c r="L77" s="12">
        <v>19</v>
      </c>
      <c r="M77" s="12">
        <v>54</v>
      </c>
      <c r="N77" s="12">
        <v>10</v>
      </c>
      <c r="O77" s="12">
        <v>2</v>
      </c>
      <c r="P77" s="29">
        <f t="shared" si="21"/>
        <v>0.23376623376623379</v>
      </c>
      <c r="Q77" s="30">
        <f t="shared" si="22"/>
        <v>6</v>
      </c>
      <c r="R77" s="30">
        <f t="shared" si="23"/>
        <v>1</v>
      </c>
      <c r="S77" s="12" t="s">
        <v>152</v>
      </c>
      <c r="U77" s="12" t="s">
        <v>85</v>
      </c>
      <c r="V77" s="12" t="s">
        <v>32</v>
      </c>
      <c r="W77" s="12" t="s">
        <v>33</v>
      </c>
      <c r="X77" s="12">
        <f t="shared" si="24"/>
        <v>17</v>
      </c>
      <c r="Y77" s="30">
        <v>0</v>
      </c>
      <c r="Z77" s="30">
        <v>5</v>
      </c>
      <c r="AA77" s="30">
        <v>14</v>
      </c>
      <c r="AB77" s="30">
        <v>17</v>
      </c>
      <c r="AC77" s="30">
        <v>18</v>
      </c>
      <c r="AD77" s="30">
        <v>21</v>
      </c>
      <c r="AE77" s="30">
        <v>27</v>
      </c>
      <c r="AF77" s="30">
        <f t="shared" si="25"/>
        <v>28</v>
      </c>
    </row>
    <row r="78" spans="1:32" x14ac:dyDescent="0.2">
      <c r="A78" s="21" t="s">
        <v>335</v>
      </c>
      <c r="B78" s="12">
        <v>27</v>
      </c>
      <c r="C78" s="12">
        <v>27</v>
      </c>
      <c r="D78" s="16">
        <v>27.7</v>
      </c>
      <c r="E78" s="16">
        <v>27.7</v>
      </c>
      <c r="F78" s="15">
        <v>3.9</v>
      </c>
      <c r="G78" s="15">
        <v>1.27</v>
      </c>
      <c r="H78" s="12">
        <v>3</v>
      </c>
      <c r="I78" s="12">
        <v>18</v>
      </c>
      <c r="J78" s="12">
        <v>38</v>
      </c>
      <c r="K78" s="12">
        <v>31</v>
      </c>
      <c r="L78" s="12">
        <v>11</v>
      </c>
      <c r="M78" s="12">
        <v>20</v>
      </c>
      <c r="N78" s="12">
        <v>6</v>
      </c>
      <c r="O78" s="12">
        <v>1</v>
      </c>
      <c r="P78" s="29">
        <f t="shared" si="21"/>
        <v>0.32490974729241878</v>
      </c>
      <c r="Q78" s="30">
        <f t="shared" si="22"/>
        <v>4</v>
      </c>
      <c r="R78" s="30">
        <f t="shared" si="23"/>
        <v>1</v>
      </c>
      <c r="S78" s="12" t="s">
        <v>152</v>
      </c>
      <c r="U78" s="12" t="s">
        <v>85</v>
      </c>
      <c r="V78" s="12" t="s">
        <v>32</v>
      </c>
      <c r="W78" s="12" t="s">
        <v>33</v>
      </c>
      <c r="X78" s="12">
        <f t="shared" si="24"/>
        <v>16</v>
      </c>
      <c r="Y78" s="30">
        <v>1</v>
      </c>
      <c r="Z78" s="30">
        <v>5</v>
      </c>
      <c r="AA78" s="30">
        <v>11</v>
      </c>
      <c r="AB78" s="30">
        <v>16</v>
      </c>
      <c r="AC78" s="30">
        <v>17</v>
      </c>
      <c r="AD78" s="30">
        <v>19</v>
      </c>
      <c r="AE78" s="30">
        <v>27</v>
      </c>
      <c r="AF78" s="30">
        <f t="shared" si="25"/>
        <v>28</v>
      </c>
    </row>
    <row r="79" spans="1:32" x14ac:dyDescent="0.2">
      <c r="A79" s="21" t="s">
        <v>336</v>
      </c>
      <c r="B79" s="12">
        <v>18</v>
      </c>
      <c r="C79" s="12">
        <v>11</v>
      </c>
      <c r="D79" s="16">
        <v>66.2</v>
      </c>
      <c r="E79" s="16">
        <v>23.2</v>
      </c>
      <c r="F79" s="15">
        <v>2.0299999999999998</v>
      </c>
      <c r="G79" s="15">
        <v>1.19</v>
      </c>
      <c r="H79" s="12">
        <v>7</v>
      </c>
      <c r="I79" s="12">
        <v>48</v>
      </c>
      <c r="J79" s="12">
        <v>68</v>
      </c>
      <c r="K79" s="12">
        <v>74</v>
      </c>
      <c r="L79" s="12">
        <v>31</v>
      </c>
      <c r="M79" s="12">
        <f>29+24-7-1</f>
        <v>45</v>
      </c>
      <c r="N79" s="12">
        <v>7</v>
      </c>
      <c r="O79" s="12">
        <v>1</v>
      </c>
      <c r="P79" s="29">
        <f t="shared" si="21"/>
        <v>0.13595166163141992</v>
      </c>
      <c r="Q79" s="30">
        <f t="shared" si="22"/>
        <v>5</v>
      </c>
      <c r="R79" s="30">
        <f t="shared" si="23"/>
        <v>2</v>
      </c>
      <c r="S79" s="12" t="s">
        <v>152</v>
      </c>
      <c r="U79" s="12" t="s">
        <v>85</v>
      </c>
      <c r="V79" s="12" t="s">
        <v>32</v>
      </c>
      <c r="W79" s="12" t="s">
        <v>33</v>
      </c>
      <c r="X79" s="12">
        <f t="shared" si="24"/>
        <v>17</v>
      </c>
      <c r="Y79" s="30">
        <v>1</v>
      </c>
      <c r="Z79" s="30">
        <v>6</v>
      </c>
      <c r="AA79" s="30">
        <v>11</v>
      </c>
      <c r="AB79" s="30">
        <v>17</v>
      </c>
      <c r="AC79" s="30">
        <v>18</v>
      </c>
      <c r="AD79" s="30">
        <v>20</v>
      </c>
      <c r="AE79" s="30">
        <v>27</v>
      </c>
      <c r="AF79" s="30">
        <f t="shared" si="25"/>
        <v>28</v>
      </c>
    </row>
    <row r="80" spans="1:32" x14ac:dyDescent="0.2">
      <c r="P80" s="29" t="e">
        <f t="shared" si="21"/>
        <v>#DIV/0!</v>
      </c>
      <c r="Q80" s="30">
        <f t="shared" si="22"/>
        <v>6</v>
      </c>
      <c r="R80" s="30" t="e">
        <f t="shared" si="23"/>
        <v>#DIV/0!</v>
      </c>
      <c r="X80" s="12">
        <f t="shared" si="24"/>
        <v>19</v>
      </c>
      <c r="Y80" s="30" t="e">
        <f t="shared" si="26"/>
        <v>#DIV/0!</v>
      </c>
      <c r="Z80" s="30" t="e">
        <f t="shared" ref="Z69:Z111" si="32">ROUND($X80*I80/($H80+$I80+$J80+$K80), 0)</f>
        <v>#DIV/0!</v>
      </c>
      <c r="AA80" s="30" t="e">
        <f t="shared" ref="AA69:AA111" si="33">ROUND($X80*J80/($H80+$I80+$J80+$K80), 0)</f>
        <v>#DIV/0!</v>
      </c>
      <c r="AB80" s="30" t="e">
        <f t="shared" ref="AB69:AB111" si="34">ROUND($X80*K80/($H80+$I80+$J80+$K80), 0)</f>
        <v>#DIV/0!</v>
      </c>
      <c r="AC80" s="30" t="e">
        <f t="shared" ref="AC69:AC110" si="35">ROUND(L80/($L80+$M80+$N80)*(20-$X80), 0)</f>
        <v>#DIV/0!</v>
      </c>
      <c r="AD80" s="30" t="e">
        <f t="shared" ref="AD69:AD110" si="36">ROUND(M80/($L80+$M80+$N80)*(20-$X80), 0)</f>
        <v>#DIV/0!</v>
      </c>
      <c r="AE80" s="30" t="e">
        <f t="shared" ref="AE69:AE110" si="37">ROUND(N80/($L80+$M80+$N80)*(20-$X80), 0)</f>
        <v>#DIV/0!</v>
      </c>
      <c r="AF80" s="30" t="e">
        <f t="shared" si="25"/>
        <v>#DIV/0!</v>
      </c>
    </row>
    <row r="81" spans="16:32" x14ac:dyDescent="0.2">
      <c r="P81" s="29" t="e">
        <f t="shared" si="21"/>
        <v>#DIV/0!</v>
      </c>
      <c r="Q81" s="30">
        <f t="shared" si="22"/>
        <v>6</v>
      </c>
      <c r="R81" s="30" t="e">
        <f t="shared" si="23"/>
        <v>#DIV/0!</v>
      </c>
      <c r="X81" s="12">
        <f t="shared" si="24"/>
        <v>19</v>
      </c>
      <c r="Y81" s="30" t="e">
        <f t="shared" si="26"/>
        <v>#DIV/0!</v>
      </c>
      <c r="Z81" s="30" t="e">
        <f t="shared" si="32"/>
        <v>#DIV/0!</v>
      </c>
      <c r="AA81" s="30" t="e">
        <f t="shared" si="33"/>
        <v>#DIV/0!</v>
      </c>
      <c r="AB81" s="30" t="e">
        <f t="shared" si="34"/>
        <v>#DIV/0!</v>
      </c>
      <c r="AC81" s="30" t="e">
        <f t="shared" si="35"/>
        <v>#DIV/0!</v>
      </c>
      <c r="AD81" s="30" t="e">
        <f t="shared" si="36"/>
        <v>#DIV/0!</v>
      </c>
      <c r="AE81" s="30" t="e">
        <f t="shared" si="37"/>
        <v>#DIV/0!</v>
      </c>
      <c r="AF81" s="30" t="e">
        <f t="shared" si="25"/>
        <v>#DIV/0!</v>
      </c>
    </row>
    <row r="82" spans="16:32" x14ac:dyDescent="0.2">
      <c r="P82" s="29" t="e">
        <f t="shared" si="21"/>
        <v>#DIV/0!</v>
      </c>
      <c r="Q82" s="30">
        <f t="shared" si="22"/>
        <v>6</v>
      </c>
      <c r="R82" s="30" t="e">
        <f t="shared" si="23"/>
        <v>#DIV/0!</v>
      </c>
      <c r="X82" s="12">
        <f t="shared" si="24"/>
        <v>19</v>
      </c>
      <c r="Y82" s="30" t="e">
        <f t="shared" si="26"/>
        <v>#DIV/0!</v>
      </c>
      <c r="Z82" s="30" t="e">
        <f t="shared" si="32"/>
        <v>#DIV/0!</v>
      </c>
      <c r="AA82" s="30" t="e">
        <f t="shared" si="33"/>
        <v>#DIV/0!</v>
      </c>
      <c r="AB82" s="30" t="e">
        <f t="shared" si="34"/>
        <v>#DIV/0!</v>
      </c>
      <c r="AC82" s="30" t="e">
        <f t="shared" si="35"/>
        <v>#DIV/0!</v>
      </c>
      <c r="AD82" s="30" t="e">
        <f t="shared" si="36"/>
        <v>#DIV/0!</v>
      </c>
      <c r="AE82" s="30" t="e">
        <f t="shared" si="37"/>
        <v>#DIV/0!</v>
      </c>
      <c r="AF82" s="30" t="e">
        <f t="shared" si="25"/>
        <v>#DIV/0!</v>
      </c>
    </row>
    <row r="83" spans="16:32" x14ac:dyDescent="0.2">
      <c r="P83" s="29" t="e">
        <f t="shared" si="21"/>
        <v>#DIV/0!</v>
      </c>
      <c r="Q83" s="30">
        <f t="shared" si="22"/>
        <v>6</v>
      </c>
      <c r="R83" s="30" t="e">
        <f t="shared" si="23"/>
        <v>#DIV/0!</v>
      </c>
      <c r="X83" s="12">
        <f t="shared" si="24"/>
        <v>19</v>
      </c>
      <c r="Y83" s="30" t="e">
        <f t="shared" si="26"/>
        <v>#DIV/0!</v>
      </c>
      <c r="Z83" s="30" t="e">
        <f t="shared" si="32"/>
        <v>#DIV/0!</v>
      </c>
      <c r="AA83" s="30" t="e">
        <f t="shared" si="33"/>
        <v>#DIV/0!</v>
      </c>
      <c r="AB83" s="30" t="e">
        <f t="shared" si="34"/>
        <v>#DIV/0!</v>
      </c>
      <c r="AC83" s="30" t="e">
        <f t="shared" si="35"/>
        <v>#DIV/0!</v>
      </c>
      <c r="AD83" s="30" t="e">
        <f t="shared" si="36"/>
        <v>#DIV/0!</v>
      </c>
      <c r="AE83" s="30" t="e">
        <f t="shared" si="37"/>
        <v>#DIV/0!</v>
      </c>
      <c r="AF83" s="30" t="e">
        <f t="shared" si="25"/>
        <v>#DIV/0!</v>
      </c>
    </row>
    <row r="84" spans="16:32" x14ac:dyDescent="0.2">
      <c r="P84" s="29" t="e">
        <f t="shared" si="21"/>
        <v>#DIV/0!</v>
      </c>
      <c r="Q84" s="30">
        <f t="shared" si="22"/>
        <v>6</v>
      </c>
      <c r="R84" s="30" t="e">
        <f t="shared" si="23"/>
        <v>#DIV/0!</v>
      </c>
      <c r="X84" s="12">
        <f t="shared" si="24"/>
        <v>19</v>
      </c>
      <c r="Y84" s="30" t="e">
        <f t="shared" si="26"/>
        <v>#DIV/0!</v>
      </c>
      <c r="Z84" s="30" t="e">
        <f t="shared" si="32"/>
        <v>#DIV/0!</v>
      </c>
      <c r="AA84" s="30" t="e">
        <f t="shared" si="33"/>
        <v>#DIV/0!</v>
      </c>
      <c r="AB84" s="30" t="e">
        <f t="shared" si="34"/>
        <v>#DIV/0!</v>
      </c>
      <c r="AC84" s="30" t="e">
        <f t="shared" si="35"/>
        <v>#DIV/0!</v>
      </c>
      <c r="AD84" s="30" t="e">
        <f t="shared" si="36"/>
        <v>#DIV/0!</v>
      </c>
      <c r="AE84" s="30" t="e">
        <f t="shared" si="37"/>
        <v>#DIV/0!</v>
      </c>
      <c r="AF84" s="30" t="e">
        <f t="shared" si="25"/>
        <v>#DIV/0!</v>
      </c>
    </row>
    <row r="85" spans="16:32" x14ac:dyDescent="0.2">
      <c r="P85" s="29" t="e">
        <f t="shared" si="21"/>
        <v>#DIV/0!</v>
      </c>
      <c r="Q85" s="30">
        <f t="shared" si="22"/>
        <v>6</v>
      </c>
      <c r="R85" s="30" t="e">
        <f t="shared" si="23"/>
        <v>#DIV/0!</v>
      </c>
      <c r="X85" s="12">
        <f t="shared" si="24"/>
        <v>19</v>
      </c>
      <c r="Y85" s="30" t="e">
        <f t="shared" si="26"/>
        <v>#DIV/0!</v>
      </c>
      <c r="Z85" s="30" t="e">
        <f t="shared" si="32"/>
        <v>#DIV/0!</v>
      </c>
      <c r="AA85" s="30" t="e">
        <f t="shared" si="33"/>
        <v>#DIV/0!</v>
      </c>
      <c r="AB85" s="30" t="e">
        <f t="shared" si="34"/>
        <v>#DIV/0!</v>
      </c>
      <c r="AC85" s="30" t="e">
        <f t="shared" si="35"/>
        <v>#DIV/0!</v>
      </c>
      <c r="AD85" s="30" t="e">
        <f t="shared" si="36"/>
        <v>#DIV/0!</v>
      </c>
      <c r="AE85" s="30" t="e">
        <f t="shared" si="37"/>
        <v>#DIV/0!</v>
      </c>
      <c r="AF85" s="30" t="e">
        <f t="shared" si="25"/>
        <v>#DIV/0!</v>
      </c>
    </row>
    <row r="86" spans="16:32" x14ac:dyDescent="0.2">
      <c r="P86" s="29" t="e">
        <f t="shared" si="21"/>
        <v>#DIV/0!</v>
      </c>
      <c r="Q86" s="30">
        <f t="shared" si="22"/>
        <v>6</v>
      </c>
      <c r="R86" s="30" t="e">
        <f t="shared" si="23"/>
        <v>#DIV/0!</v>
      </c>
      <c r="X86" s="12">
        <f t="shared" si="24"/>
        <v>19</v>
      </c>
      <c r="Y86" s="30" t="e">
        <f t="shared" si="26"/>
        <v>#DIV/0!</v>
      </c>
      <c r="Z86" s="30" t="e">
        <f t="shared" si="32"/>
        <v>#DIV/0!</v>
      </c>
      <c r="AA86" s="30" t="e">
        <f t="shared" si="33"/>
        <v>#DIV/0!</v>
      </c>
      <c r="AB86" s="30" t="e">
        <f t="shared" si="34"/>
        <v>#DIV/0!</v>
      </c>
      <c r="AC86" s="30" t="e">
        <f t="shared" si="35"/>
        <v>#DIV/0!</v>
      </c>
      <c r="AD86" s="30" t="e">
        <f t="shared" si="36"/>
        <v>#DIV/0!</v>
      </c>
      <c r="AE86" s="30" t="e">
        <f t="shared" si="37"/>
        <v>#DIV/0!</v>
      </c>
      <c r="AF86" s="30" t="e">
        <f t="shared" si="25"/>
        <v>#DIV/0!</v>
      </c>
    </row>
    <row r="87" spans="16:32" x14ac:dyDescent="0.2">
      <c r="P87" s="29" t="e">
        <f t="shared" si="21"/>
        <v>#DIV/0!</v>
      </c>
      <c r="Q87" s="30">
        <f t="shared" si="22"/>
        <v>6</v>
      </c>
      <c r="R87" s="30" t="e">
        <f t="shared" si="23"/>
        <v>#DIV/0!</v>
      </c>
      <c r="X87" s="12">
        <f t="shared" si="24"/>
        <v>19</v>
      </c>
      <c r="Y87" s="30" t="e">
        <f t="shared" si="26"/>
        <v>#DIV/0!</v>
      </c>
      <c r="Z87" s="30" t="e">
        <f t="shared" si="32"/>
        <v>#DIV/0!</v>
      </c>
      <c r="AA87" s="30" t="e">
        <f t="shared" si="33"/>
        <v>#DIV/0!</v>
      </c>
      <c r="AB87" s="30" t="e">
        <f t="shared" si="34"/>
        <v>#DIV/0!</v>
      </c>
      <c r="AC87" s="30" t="e">
        <f t="shared" si="35"/>
        <v>#DIV/0!</v>
      </c>
      <c r="AD87" s="30" t="e">
        <f t="shared" si="36"/>
        <v>#DIV/0!</v>
      </c>
      <c r="AE87" s="30" t="e">
        <f t="shared" si="37"/>
        <v>#DIV/0!</v>
      </c>
      <c r="AF87" s="30" t="e">
        <f t="shared" si="25"/>
        <v>#DIV/0!</v>
      </c>
    </row>
    <row r="88" spans="16:32" x14ac:dyDescent="0.2">
      <c r="P88" s="29" t="e">
        <f t="shared" si="21"/>
        <v>#DIV/0!</v>
      </c>
      <c r="Q88" s="30">
        <f t="shared" si="22"/>
        <v>6</v>
      </c>
      <c r="R88" s="30" t="e">
        <f t="shared" si="23"/>
        <v>#DIV/0!</v>
      </c>
      <c r="X88" s="12">
        <f t="shared" si="24"/>
        <v>19</v>
      </c>
      <c r="Y88" s="30" t="e">
        <f t="shared" si="26"/>
        <v>#DIV/0!</v>
      </c>
      <c r="Z88" s="30" t="e">
        <f t="shared" si="32"/>
        <v>#DIV/0!</v>
      </c>
      <c r="AA88" s="30" t="e">
        <f t="shared" si="33"/>
        <v>#DIV/0!</v>
      </c>
      <c r="AB88" s="30" t="e">
        <f t="shared" si="34"/>
        <v>#DIV/0!</v>
      </c>
      <c r="AC88" s="30" t="e">
        <f t="shared" si="35"/>
        <v>#DIV/0!</v>
      </c>
      <c r="AD88" s="30" t="e">
        <f t="shared" si="36"/>
        <v>#DIV/0!</v>
      </c>
      <c r="AE88" s="30" t="e">
        <f t="shared" si="37"/>
        <v>#DIV/0!</v>
      </c>
      <c r="AF88" s="30" t="e">
        <f t="shared" si="25"/>
        <v>#DIV/0!</v>
      </c>
    </row>
    <row r="89" spans="16:32" x14ac:dyDescent="0.2">
      <c r="P89" s="29" t="e">
        <f t="shared" si="21"/>
        <v>#DIV/0!</v>
      </c>
      <c r="Q89" s="30">
        <f t="shared" si="22"/>
        <v>6</v>
      </c>
      <c r="R89" s="30" t="e">
        <f t="shared" si="23"/>
        <v>#DIV/0!</v>
      </c>
      <c r="X89" s="12">
        <f t="shared" si="24"/>
        <v>19</v>
      </c>
      <c r="Y89" s="30" t="e">
        <f t="shared" si="26"/>
        <v>#DIV/0!</v>
      </c>
      <c r="Z89" s="30" t="e">
        <f t="shared" si="32"/>
        <v>#DIV/0!</v>
      </c>
      <c r="AA89" s="30" t="e">
        <f t="shared" si="33"/>
        <v>#DIV/0!</v>
      </c>
      <c r="AB89" s="30" t="e">
        <f t="shared" si="34"/>
        <v>#DIV/0!</v>
      </c>
      <c r="AC89" s="30" t="e">
        <f t="shared" si="35"/>
        <v>#DIV/0!</v>
      </c>
      <c r="AD89" s="30" t="e">
        <f t="shared" si="36"/>
        <v>#DIV/0!</v>
      </c>
      <c r="AE89" s="30" t="e">
        <f t="shared" si="37"/>
        <v>#DIV/0!</v>
      </c>
      <c r="AF89" s="30" t="e">
        <f t="shared" si="25"/>
        <v>#DIV/0!</v>
      </c>
    </row>
    <row r="90" spans="16:32" x14ac:dyDescent="0.2">
      <c r="P90" s="29" t="e">
        <f t="shared" si="21"/>
        <v>#DIV/0!</v>
      </c>
      <c r="Q90" s="30">
        <f t="shared" si="22"/>
        <v>6</v>
      </c>
      <c r="R90" s="30" t="e">
        <f t="shared" si="23"/>
        <v>#DIV/0!</v>
      </c>
      <c r="X90" s="12">
        <f t="shared" si="24"/>
        <v>19</v>
      </c>
      <c r="Y90" s="30" t="e">
        <f t="shared" si="26"/>
        <v>#DIV/0!</v>
      </c>
      <c r="Z90" s="30" t="e">
        <f t="shared" si="32"/>
        <v>#DIV/0!</v>
      </c>
      <c r="AA90" s="30" t="e">
        <f t="shared" si="33"/>
        <v>#DIV/0!</v>
      </c>
      <c r="AB90" s="30" t="e">
        <f t="shared" si="34"/>
        <v>#DIV/0!</v>
      </c>
      <c r="AC90" s="30" t="e">
        <f t="shared" si="35"/>
        <v>#DIV/0!</v>
      </c>
      <c r="AD90" s="30" t="e">
        <f t="shared" si="36"/>
        <v>#DIV/0!</v>
      </c>
      <c r="AE90" s="30" t="e">
        <f t="shared" si="37"/>
        <v>#DIV/0!</v>
      </c>
      <c r="AF90" s="30" t="e">
        <f t="shared" si="25"/>
        <v>#DIV/0!</v>
      </c>
    </row>
    <row r="91" spans="16:32" x14ac:dyDescent="0.2">
      <c r="P91" s="29" t="e">
        <f t="shared" si="21"/>
        <v>#DIV/0!</v>
      </c>
      <c r="Q91" s="30">
        <f t="shared" si="22"/>
        <v>6</v>
      </c>
      <c r="R91" s="30" t="e">
        <f t="shared" si="23"/>
        <v>#DIV/0!</v>
      </c>
      <c r="X91" s="12">
        <f t="shared" si="24"/>
        <v>19</v>
      </c>
      <c r="Y91" s="30" t="e">
        <f t="shared" si="26"/>
        <v>#DIV/0!</v>
      </c>
      <c r="Z91" s="30" t="e">
        <f t="shared" si="32"/>
        <v>#DIV/0!</v>
      </c>
      <c r="AA91" s="30" t="e">
        <f t="shared" si="33"/>
        <v>#DIV/0!</v>
      </c>
      <c r="AB91" s="30" t="e">
        <f t="shared" si="34"/>
        <v>#DIV/0!</v>
      </c>
      <c r="AC91" s="30" t="e">
        <f t="shared" si="35"/>
        <v>#DIV/0!</v>
      </c>
      <c r="AD91" s="30" t="e">
        <f t="shared" si="36"/>
        <v>#DIV/0!</v>
      </c>
      <c r="AE91" s="30" t="e">
        <f t="shared" si="37"/>
        <v>#DIV/0!</v>
      </c>
      <c r="AF91" s="30" t="e">
        <f t="shared" si="25"/>
        <v>#DIV/0!</v>
      </c>
    </row>
    <row r="92" spans="16:32" x14ac:dyDescent="0.2">
      <c r="P92" s="29" t="e">
        <f t="shared" si="21"/>
        <v>#DIV/0!</v>
      </c>
      <c r="Q92" s="30">
        <f t="shared" si="22"/>
        <v>6</v>
      </c>
      <c r="R92" s="30" t="e">
        <f t="shared" si="23"/>
        <v>#DIV/0!</v>
      </c>
      <c r="X92" s="12">
        <f t="shared" si="24"/>
        <v>19</v>
      </c>
      <c r="Y92" s="30" t="e">
        <f t="shared" si="26"/>
        <v>#DIV/0!</v>
      </c>
      <c r="Z92" s="30" t="e">
        <f t="shared" si="32"/>
        <v>#DIV/0!</v>
      </c>
      <c r="AA92" s="30" t="e">
        <f t="shared" si="33"/>
        <v>#DIV/0!</v>
      </c>
      <c r="AB92" s="30" t="e">
        <f t="shared" si="34"/>
        <v>#DIV/0!</v>
      </c>
      <c r="AC92" s="30" t="e">
        <f t="shared" si="35"/>
        <v>#DIV/0!</v>
      </c>
      <c r="AD92" s="30" t="e">
        <f t="shared" si="36"/>
        <v>#DIV/0!</v>
      </c>
      <c r="AE92" s="30" t="e">
        <f t="shared" si="37"/>
        <v>#DIV/0!</v>
      </c>
      <c r="AF92" s="30" t="e">
        <f t="shared" si="25"/>
        <v>#DIV/0!</v>
      </c>
    </row>
    <row r="93" spans="16:32" x14ac:dyDescent="0.2">
      <c r="P93" s="29" t="e">
        <f t="shared" si="21"/>
        <v>#DIV/0!</v>
      </c>
      <c r="Q93" s="30">
        <f t="shared" si="22"/>
        <v>6</v>
      </c>
      <c r="R93" s="30" t="e">
        <f t="shared" si="23"/>
        <v>#DIV/0!</v>
      </c>
      <c r="X93" s="12">
        <f t="shared" si="24"/>
        <v>19</v>
      </c>
      <c r="Y93" s="30" t="e">
        <f t="shared" si="26"/>
        <v>#DIV/0!</v>
      </c>
      <c r="Z93" s="30" t="e">
        <f t="shared" si="32"/>
        <v>#DIV/0!</v>
      </c>
      <c r="AA93" s="30" t="e">
        <f t="shared" si="33"/>
        <v>#DIV/0!</v>
      </c>
      <c r="AB93" s="30" t="e">
        <f t="shared" si="34"/>
        <v>#DIV/0!</v>
      </c>
      <c r="AC93" s="30" t="e">
        <f t="shared" si="35"/>
        <v>#DIV/0!</v>
      </c>
      <c r="AD93" s="30" t="e">
        <f t="shared" si="36"/>
        <v>#DIV/0!</v>
      </c>
      <c r="AE93" s="30" t="e">
        <f t="shared" si="37"/>
        <v>#DIV/0!</v>
      </c>
      <c r="AF93" s="30" t="e">
        <f t="shared" si="25"/>
        <v>#DIV/0!</v>
      </c>
    </row>
    <row r="94" spans="16:32" x14ac:dyDescent="0.2">
      <c r="P94" s="29" t="e">
        <f t="shared" si="21"/>
        <v>#DIV/0!</v>
      </c>
      <c r="Q94" s="30">
        <f t="shared" si="22"/>
        <v>6</v>
      </c>
      <c r="R94" s="30" t="e">
        <f t="shared" si="23"/>
        <v>#DIV/0!</v>
      </c>
      <c r="X94" s="12">
        <f t="shared" si="24"/>
        <v>19</v>
      </c>
      <c r="Y94" s="30" t="e">
        <f t="shared" si="26"/>
        <v>#DIV/0!</v>
      </c>
      <c r="Z94" s="30" t="e">
        <f t="shared" si="32"/>
        <v>#DIV/0!</v>
      </c>
      <c r="AA94" s="30" t="e">
        <f t="shared" si="33"/>
        <v>#DIV/0!</v>
      </c>
      <c r="AB94" s="30" t="e">
        <f t="shared" si="34"/>
        <v>#DIV/0!</v>
      </c>
      <c r="AC94" s="30" t="e">
        <f t="shared" si="35"/>
        <v>#DIV/0!</v>
      </c>
      <c r="AD94" s="30" t="e">
        <f t="shared" si="36"/>
        <v>#DIV/0!</v>
      </c>
      <c r="AE94" s="30" t="e">
        <f t="shared" si="37"/>
        <v>#DIV/0!</v>
      </c>
      <c r="AF94" s="30" t="e">
        <f t="shared" si="25"/>
        <v>#DIV/0!</v>
      </c>
    </row>
    <row r="95" spans="16:32" x14ac:dyDescent="0.2">
      <c r="P95" s="29" t="e">
        <f t="shared" si="21"/>
        <v>#DIV/0!</v>
      </c>
      <c r="Q95" s="30">
        <f t="shared" si="22"/>
        <v>6</v>
      </c>
      <c r="R95" s="30" t="e">
        <f t="shared" si="23"/>
        <v>#DIV/0!</v>
      </c>
      <c r="X95" s="12">
        <f t="shared" si="24"/>
        <v>19</v>
      </c>
      <c r="Y95" s="30" t="e">
        <f t="shared" si="26"/>
        <v>#DIV/0!</v>
      </c>
      <c r="Z95" s="30" t="e">
        <f t="shared" si="32"/>
        <v>#DIV/0!</v>
      </c>
      <c r="AA95" s="30" t="e">
        <f t="shared" si="33"/>
        <v>#DIV/0!</v>
      </c>
      <c r="AB95" s="30" t="e">
        <f t="shared" si="34"/>
        <v>#DIV/0!</v>
      </c>
      <c r="AC95" s="30" t="e">
        <f t="shared" si="35"/>
        <v>#DIV/0!</v>
      </c>
      <c r="AD95" s="30" t="e">
        <f t="shared" si="36"/>
        <v>#DIV/0!</v>
      </c>
      <c r="AE95" s="30" t="e">
        <f t="shared" si="37"/>
        <v>#DIV/0!</v>
      </c>
      <c r="AF95" s="30" t="e">
        <f t="shared" si="25"/>
        <v>#DIV/0!</v>
      </c>
    </row>
    <row r="96" spans="16:32" x14ac:dyDescent="0.2">
      <c r="P96" s="29" t="e">
        <f t="shared" si="21"/>
        <v>#DIV/0!</v>
      </c>
      <c r="Q96" s="30">
        <f t="shared" si="22"/>
        <v>6</v>
      </c>
      <c r="R96" s="30" t="e">
        <f t="shared" si="23"/>
        <v>#DIV/0!</v>
      </c>
      <c r="X96" s="12">
        <f t="shared" si="24"/>
        <v>19</v>
      </c>
      <c r="Y96" s="30" t="e">
        <f t="shared" si="26"/>
        <v>#DIV/0!</v>
      </c>
      <c r="Z96" s="30" t="e">
        <f t="shared" si="32"/>
        <v>#DIV/0!</v>
      </c>
      <c r="AA96" s="30" t="e">
        <f t="shared" si="33"/>
        <v>#DIV/0!</v>
      </c>
      <c r="AB96" s="30" t="e">
        <f t="shared" si="34"/>
        <v>#DIV/0!</v>
      </c>
      <c r="AC96" s="30" t="e">
        <f t="shared" si="35"/>
        <v>#DIV/0!</v>
      </c>
      <c r="AD96" s="30" t="e">
        <f t="shared" si="36"/>
        <v>#DIV/0!</v>
      </c>
      <c r="AE96" s="30" t="e">
        <f t="shared" si="37"/>
        <v>#DIV/0!</v>
      </c>
      <c r="AF96" s="30" t="e">
        <f t="shared" si="25"/>
        <v>#DIV/0!</v>
      </c>
    </row>
    <row r="97" spans="16:32" x14ac:dyDescent="0.2">
      <c r="P97" s="29" t="e">
        <f t="shared" si="21"/>
        <v>#DIV/0!</v>
      </c>
      <c r="Q97" s="30">
        <f t="shared" si="22"/>
        <v>6</v>
      </c>
      <c r="R97" s="30" t="e">
        <f t="shared" si="23"/>
        <v>#DIV/0!</v>
      </c>
      <c r="X97" s="12">
        <f t="shared" si="24"/>
        <v>19</v>
      </c>
      <c r="Y97" s="30" t="e">
        <f t="shared" si="26"/>
        <v>#DIV/0!</v>
      </c>
      <c r="Z97" s="30" t="e">
        <f t="shared" si="32"/>
        <v>#DIV/0!</v>
      </c>
      <c r="AA97" s="30" t="e">
        <f t="shared" si="33"/>
        <v>#DIV/0!</v>
      </c>
      <c r="AB97" s="30" t="e">
        <f t="shared" si="34"/>
        <v>#DIV/0!</v>
      </c>
      <c r="AC97" s="30" t="e">
        <f t="shared" si="35"/>
        <v>#DIV/0!</v>
      </c>
      <c r="AD97" s="30" t="e">
        <f t="shared" si="36"/>
        <v>#DIV/0!</v>
      </c>
      <c r="AE97" s="30" t="e">
        <f t="shared" si="37"/>
        <v>#DIV/0!</v>
      </c>
      <c r="AF97" s="30" t="e">
        <f t="shared" si="25"/>
        <v>#DIV/0!</v>
      </c>
    </row>
    <row r="98" spans="16:32" x14ac:dyDescent="0.2">
      <c r="P98" s="29" t="e">
        <f t="shared" si="21"/>
        <v>#DIV/0!</v>
      </c>
      <c r="Q98" s="30">
        <f t="shared" si="22"/>
        <v>6</v>
      </c>
      <c r="R98" s="30" t="e">
        <f t="shared" si="23"/>
        <v>#DIV/0!</v>
      </c>
      <c r="X98" s="12">
        <f t="shared" si="24"/>
        <v>19</v>
      </c>
      <c r="Y98" s="30" t="e">
        <f t="shared" si="26"/>
        <v>#DIV/0!</v>
      </c>
      <c r="Z98" s="30" t="e">
        <f t="shared" si="32"/>
        <v>#DIV/0!</v>
      </c>
      <c r="AA98" s="30" t="e">
        <f t="shared" si="33"/>
        <v>#DIV/0!</v>
      </c>
      <c r="AB98" s="30" t="e">
        <f t="shared" si="34"/>
        <v>#DIV/0!</v>
      </c>
      <c r="AC98" s="30" t="e">
        <f t="shared" si="35"/>
        <v>#DIV/0!</v>
      </c>
      <c r="AD98" s="30" t="e">
        <f t="shared" si="36"/>
        <v>#DIV/0!</v>
      </c>
      <c r="AE98" s="30" t="e">
        <f t="shared" si="37"/>
        <v>#DIV/0!</v>
      </c>
      <c r="AF98" s="30" t="e">
        <f t="shared" si="25"/>
        <v>#DIV/0!</v>
      </c>
    </row>
    <row r="99" spans="16:32" x14ac:dyDescent="0.2">
      <c r="P99" s="29" t="e">
        <f t="shared" si="21"/>
        <v>#DIV/0!</v>
      </c>
      <c r="Q99" s="30">
        <f t="shared" si="22"/>
        <v>6</v>
      </c>
      <c r="R99" s="30" t="e">
        <f t="shared" si="23"/>
        <v>#DIV/0!</v>
      </c>
      <c r="X99" s="12">
        <f t="shared" si="24"/>
        <v>19</v>
      </c>
      <c r="Y99" s="30" t="e">
        <f t="shared" si="26"/>
        <v>#DIV/0!</v>
      </c>
      <c r="Z99" s="30" t="e">
        <f t="shared" si="32"/>
        <v>#DIV/0!</v>
      </c>
      <c r="AA99" s="30" t="e">
        <f t="shared" si="33"/>
        <v>#DIV/0!</v>
      </c>
      <c r="AB99" s="30" t="e">
        <f t="shared" si="34"/>
        <v>#DIV/0!</v>
      </c>
      <c r="AC99" s="30" t="e">
        <f t="shared" si="35"/>
        <v>#DIV/0!</v>
      </c>
      <c r="AD99" s="30" t="e">
        <f t="shared" si="36"/>
        <v>#DIV/0!</v>
      </c>
      <c r="AE99" s="30" t="e">
        <f t="shared" si="37"/>
        <v>#DIV/0!</v>
      </c>
      <c r="AF99" s="30" t="e">
        <f t="shared" si="25"/>
        <v>#DIV/0!</v>
      </c>
    </row>
    <row r="100" spans="16:32" x14ac:dyDescent="0.2">
      <c r="P100" s="29" t="e">
        <f t="shared" si="21"/>
        <v>#DIV/0!</v>
      </c>
      <c r="Q100" s="30">
        <f t="shared" si="22"/>
        <v>6</v>
      </c>
      <c r="R100" s="30" t="e">
        <f t="shared" si="23"/>
        <v>#DIV/0!</v>
      </c>
      <c r="X100" s="12">
        <f t="shared" si="24"/>
        <v>19</v>
      </c>
      <c r="Y100" s="30" t="e">
        <f t="shared" si="26"/>
        <v>#DIV/0!</v>
      </c>
      <c r="Z100" s="30" t="e">
        <f t="shared" si="32"/>
        <v>#DIV/0!</v>
      </c>
      <c r="AA100" s="30" t="e">
        <f t="shared" si="33"/>
        <v>#DIV/0!</v>
      </c>
      <c r="AB100" s="30" t="e">
        <f t="shared" si="34"/>
        <v>#DIV/0!</v>
      </c>
      <c r="AC100" s="30" t="e">
        <f t="shared" si="35"/>
        <v>#DIV/0!</v>
      </c>
      <c r="AD100" s="30" t="e">
        <f t="shared" si="36"/>
        <v>#DIV/0!</v>
      </c>
      <c r="AE100" s="30" t="e">
        <f t="shared" si="37"/>
        <v>#DIV/0!</v>
      </c>
      <c r="AF100" s="30" t="e">
        <f t="shared" si="25"/>
        <v>#DIV/0!</v>
      </c>
    </row>
    <row r="101" spans="16:32" x14ac:dyDescent="0.2">
      <c r="P101" s="29" t="e">
        <f t="shared" si="21"/>
        <v>#DIV/0!</v>
      </c>
      <c r="Q101" s="30">
        <f t="shared" si="22"/>
        <v>6</v>
      </c>
      <c r="R101" s="30" t="e">
        <f t="shared" si="23"/>
        <v>#DIV/0!</v>
      </c>
      <c r="X101" s="12">
        <f t="shared" si="24"/>
        <v>19</v>
      </c>
      <c r="Y101" s="30" t="e">
        <f t="shared" si="26"/>
        <v>#DIV/0!</v>
      </c>
      <c r="Z101" s="30" t="e">
        <f t="shared" si="32"/>
        <v>#DIV/0!</v>
      </c>
      <c r="AA101" s="30" t="e">
        <f t="shared" si="33"/>
        <v>#DIV/0!</v>
      </c>
      <c r="AB101" s="30" t="e">
        <f t="shared" si="34"/>
        <v>#DIV/0!</v>
      </c>
      <c r="AC101" s="30" t="e">
        <f t="shared" si="35"/>
        <v>#DIV/0!</v>
      </c>
      <c r="AD101" s="30" t="e">
        <f t="shared" si="36"/>
        <v>#DIV/0!</v>
      </c>
      <c r="AE101" s="30" t="e">
        <f t="shared" si="37"/>
        <v>#DIV/0!</v>
      </c>
      <c r="AF101" s="30" t="e">
        <f t="shared" si="25"/>
        <v>#DIV/0!</v>
      </c>
    </row>
    <row r="102" spans="16:32" x14ac:dyDescent="0.2">
      <c r="P102" s="29" t="e">
        <f t="shared" si="21"/>
        <v>#DIV/0!</v>
      </c>
      <c r="Q102" s="30">
        <f t="shared" si="22"/>
        <v>6</v>
      </c>
      <c r="R102" s="30" t="e">
        <f t="shared" si="23"/>
        <v>#DIV/0!</v>
      </c>
      <c r="X102" s="12">
        <f t="shared" si="24"/>
        <v>19</v>
      </c>
      <c r="Y102" s="30" t="e">
        <f t="shared" si="26"/>
        <v>#DIV/0!</v>
      </c>
      <c r="Z102" s="30" t="e">
        <f t="shared" si="32"/>
        <v>#DIV/0!</v>
      </c>
      <c r="AA102" s="30" t="e">
        <f t="shared" si="33"/>
        <v>#DIV/0!</v>
      </c>
      <c r="AB102" s="30" t="e">
        <f t="shared" si="34"/>
        <v>#DIV/0!</v>
      </c>
      <c r="AC102" s="30" t="e">
        <f t="shared" si="35"/>
        <v>#DIV/0!</v>
      </c>
      <c r="AD102" s="30" t="e">
        <f t="shared" si="36"/>
        <v>#DIV/0!</v>
      </c>
      <c r="AE102" s="30" t="e">
        <f t="shared" si="37"/>
        <v>#DIV/0!</v>
      </c>
      <c r="AF102" s="30" t="e">
        <f t="shared" si="25"/>
        <v>#DIV/0!</v>
      </c>
    </row>
    <row r="103" spans="16:32" x14ac:dyDescent="0.2">
      <c r="P103" s="29" t="e">
        <f t="shared" si="21"/>
        <v>#DIV/0!</v>
      </c>
      <c r="Q103" s="30">
        <f t="shared" si="22"/>
        <v>6</v>
      </c>
      <c r="R103" s="30" t="e">
        <f t="shared" si="23"/>
        <v>#DIV/0!</v>
      </c>
      <c r="X103" s="12">
        <f t="shared" si="24"/>
        <v>19</v>
      </c>
      <c r="Y103" s="30" t="e">
        <f t="shared" si="26"/>
        <v>#DIV/0!</v>
      </c>
      <c r="Z103" s="30" t="e">
        <f t="shared" si="32"/>
        <v>#DIV/0!</v>
      </c>
      <c r="AA103" s="30" t="e">
        <f t="shared" si="33"/>
        <v>#DIV/0!</v>
      </c>
      <c r="AB103" s="30" t="e">
        <f t="shared" si="34"/>
        <v>#DIV/0!</v>
      </c>
      <c r="AC103" s="30" t="e">
        <f t="shared" si="35"/>
        <v>#DIV/0!</v>
      </c>
      <c r="AD103" s="30" t="e">
        <f t="shared" si="36"/>
        <v>#DIV/0!</v>
      </c>
      <c r="AE103" s="30" t="e">
        <f t="shared" si="37"/>
        <v>#DIV/0!</v>
      </c>
      <c r="AF103" s="30" t="e">
        <f t="shared" si="25"/>
        <v>#DIV/0!</v>
      </c>
    </row>
    <row r="104" spans="16:32" x14ac:dyDescent="0.2">
      <c r="P104" s="29" t="e">
        <f t="shared" si="21"/>
        <v>#DIV/0!</v>
      </c>
      <c r="Q104" s="30">
        <f t="shared" si="22"/>
        <v>6</v>
      </c>
      <c r="R104" s="30" t="e">
        <f t="shared" si="23"/>
        <v>#DIV/0!</v>
      </c>
      <c r="X104" s="12">
        <f t="shared" si="24"/>
        <v>19</v>
      </c>
      <c r="Y104" s="30" t="e">
        <f t="shared" si="26"/>
        <v>#DIV/0!</v>
      </c>
      <c r="Z104" s="30" t="e">
        <f t="shared" si="32"/>
        <v>#DIV/0!</v>
      </c>
      <c r="AA104" s="30" t="e">
        <f t="shared" si="33"/>
        <v>#DIV/0!</v>
      </c>
      <c r="AB104" s="30" t="e">
        <f t="shared" si="34"/>
        <v>#DIV/0!</v>
      </c>
      <c r="AC104" s="30" t="e">
        <f t="shared" si="35"/>
        <v>#DIV/0!</v>
      </c>
      <c r="AD104" s="30" t="e">
        <f t="shared" si="36"/>
        <v>#DIV/0!</v>
      </c>
      <c r="AE104" s="30" t="e">
        <f t="shared" si="37"/>
        <v>#DIV/0!</v>
      </c>
      <c r="AF104" s="30" t="e">
        <f t="shared" si="25"/>
        <v>#DIV/0!</v>
      </c>
    </row>
    <row r="105" spans="16:32" x14ac:dyDescent="0.2">
      <c r="P105" s="29" t="e">
        <f t="shared" si="21"/>
        <v>#DIV/0!</v>
      </c>
      <c r="Q105" s="30">
        <f t="shared" si="22"/>
        <v>6</v>
      </c>
      <c r="R105" s="30" t="e">
        <f t="shared" si="23"/>
        <v>#DIV/0!</v>
      </c>
      <c r="X105" s="12">
        <f t="shared" si="24"/>
        <v>19</v>
      </c>
      <c r="Y105" s="30" t="e">
        <f t="shared" si="26"/>
        <v>#DIV/0!</v>
      </c>
      <c r="Z105" s="30" t="e">
        <f t="shared" si="32"/>
        <v>#DIV/0!</v>
      </c>
      <c r="AA105" s="30" t="e">
        <f t="shared" si="33"/>
        <v>#DIV/0!</v>
      </c>
      <c r="AB105" s="30" t="e">
        <f t="shared" si="34"/>
        <v>#DIV/0!</v>
      </c>
      <c r="AC105" s="30" t="e">
        <f t="shared" si="35"/>
        <v>#DIV/0!</v>
      </c>
      <c r="AD105" s="30" t="e">
        <f t="shared" si="36"/>
        <v>#DIV/0!</v>
      </c>
      <c r="AE105" s="30" t="e">
        <f t="shared" si="37"/>
        <v>#DIV/0!</v>
      </c>
      <c r="AF105" s="30" t="e">
        <f t="shared" si="25"/>
        <v>#DIV/0!</v>
      </c>
    </row>
    <row r="106" spans="16:32" x14ac:dyDescent="0.2">
      <c r="P106" s="29" t="e">
        <f t="shared" si="21"/>
        <v>#DIV/0!</v>
      </c>
      <c r="Q106" s="30">
        <f t="shared" si="22"/>
        <v>6</v>
      </c>
      <c r="R106" s="30" t="e">
        <f t="shared" si="23"/>
        <v>#DIV/0!</v>
      </c>
      <c r="X106" s="12">
        <f t="shared" si="24"/>
        <v>19</v>
      </c>
      <c r="Y106" s="30" t="e">
        <f t="shared" si="26"/>
        <v>#DIV/0!</v>
      </c>
      <c r="Z106" s="30" t="e">
        <f t="shared" si="32"/>
        <v>#DIV/0!</v>
      </c>
      <c r="AA106" s="30" t="e">
        <f t="shared" si="33"/>
        <v>#DIV/0!</v>
      </c>
      <c r="AB106" s="30" t="e">
        <f t="shared" si="34"/>
        <v>#DIV/0!</v>
      </c>
      <c r="AC106" s="30" t="e">
        <f t="shared" si="35"/>
        <v>#DIV/0!</v>
      </c>
      <c r="AD106" s="30" t="e">
        <f t="shared" si="36"/>
        <v>#DIV/0!</v>
      </c>
      <c r="AE106" s="30" t="e">
        <f t="shared" si="37"/>
        <v>#DIV/0!</v>
      </c>
      <c r="AF106" s="30" t="e">
        <f t="shared" si="25"/>
        <v>#DIV/0!</v>
      </c>
    </row>
    <row r="107" spans="16:32" x14ac:dyDescent="0.2">
      <c r="P107" s="29" t="e">
        <f t="shared" si="21"/>
        <v>#DIV/0!</v>
      </c>
      <c r="Q107" s="30">
        <f t="shared" si="22"/>
        <v>6</v>
      </c>
      <c r="R107" s="30" t="e">
        <f t="shared" si="23"/>
        <v>#DIV/0!</v>
      </c>
      <c r="X107" s="12">
        <f t="shared" si="24"/>
        <v>19</v>
      </c>
      <c r="Y107" s="30" t="e">
        <f t="shared" si="26"/>
        <v>#DIV/0!</v>
      </c>
      <c r="Z107" s="30" t="e">
        <f t="shared" si="32"/>
        <v>#DIV/0!</v>
      </c>
      <c r="AA107" s="30" t="e">
        <f t="shared" si="33"/>
        <v>#DIV/0!</v>
      </c>
      <c r="AB107" s="30" t="e">
        <f t="shared" si="34"/>
        <v>#DIV/0!</v>
      </c>
      <c r="AC107" s="30" t="e">
        <f t="shared" si="35"/>
        <v>#DIV/0!</v>
      </c>
      <c r="AD107" s="30" t="e">
        <f t="shared" si="36"/>
        <v>#DIV/0!</v>
      </c>
      <c r="AE107" s="30" t="e">
        <f t="shared" si="37"/>
        <v>#DIV/0!</v>
      </c>
      <c r="AF107" s="30" t="e">
        <f t="shared" si="25"/>
        <v>#DIV/0!</v>
      </c>
    </row>
    <row r="108" spans="16:32" x14ac:dyDescent="0.2">
      <c r="P108" s="29" t="e">
        <f t="shared" si="21"/>
        <v>#DIV/0!</v>
      </c>
      <c r="Q108" s="30">
        <f t="shared" si="22"/>
        <v>6</v>
      </c>
      <c r="R108" s="30" t="e">
        <f t="shared" si="23"/>
        <v>#DIV/0!</v>
      </c>
      <c r="X108" s="12">
        <f t="shared" si="24"/>
        <v>19</v>
      </c>
      <c r="Y108" s="30" t="e">
        <f t="shared" si="26"/>
        <v>#DIV/0!</v>
      </c>
      <c r="Z108" s="30" t="e">
        <f t="shared" si="32"/>
        <v>#DIV/0!</v>
      </c>
      <c r="AA108" s="30" t="e">
        <f t="shared" si="33"/>
        <v>#DIV/0!</v>
      </c>
      <c r="AB108" s="30" t="e">
        <f t="shared" si="34"/>
        <v>#DIV/0!</v>
      </c>
      <c r="AC108" s="30" t="e">
        <f t="shared" si="35"/>
        <v>#DIV/0!</v>
      </c>
      <c r="AD108" s="30" t="e">
        <f t="shared" si="36"/>
        <v>#DIV/0!</v>
      </c>
      <c r="AE108" s="30" t="e">
        <f t="shared" si="37"/>
        <v>#DIV/0!</v>
      </c>
      <c r="AF108" s="30" t="e">
        <f t="shared" si="25"/>
        <v>#DIV/0!</v>
      </c>
    </row>
    <row r="109" spans="16:32" x14ac:dyDescent="0.2">
      <c r="P109" s="29" t="e">
        <f t="shared" si="21"/>
        <v>#DIV/0!</v>
      </c>
      <c r="Q109" s="30">
        <f t="shared" si="22"/>
        <v>6</v>
      </c>
      <c r="R109" s="30" t="e">
        <f t="shared" si="23"/>
        <v>#DIV/0!</v>
      </c>
      <c r="X109" s="12">
        <f t="shared" si="24"/>
        <v>19</v>
      </c>
      <c r="Y109" s="30" t="e">
        <f t="shared" si="26"/>
        <v>#DIV/0!</v>
      </c>
      <c r="Z109" s="30" t="e">
        <f t="shared" si="32"/>
        <v>#DIV/0!</v>
      </c>
      <c r="AA109" s="30" t="e">
        <f t="shared" si="33"/>
        <v>#DIV/0!</v>
      </c>
      <c r="AB109" s="30" t="e">
        <f t="shared" si="34"/>
        <v>#DIV/0!</v>
      </c>
      <c r="AC109" s="30" t="e">
        <f t="shared" si="35"/>
        <v>#DIV/0!</v>
      </c>
      <c r="AD109" s="30" t="e">
        <f t="shared" si="36"/>
        <v>#DIV/0!</v>
      </c>
      <c r="AE109" s="30" t="e">
        <f t="shared" si="37"/>
        <v>#DIV/0!</v>
      </c>
      <c r="AF109" s="30" t="e">
        <f t="shared" si="25"/>
        <v>#DIV/0!</v>
      </c>
    </row>
    <row r="110" spans="16:32" x14ac:dyDescent="0.2">
      <c r="P110" s="29" t="e">
        <f t="shared" si="21"/>
        <v>#DIV/0!</v>
      </c>
      <c r="Q110" s="30">
        <f t="shared" si="22"/>
        <v>6</v>
      </c>
      <c r="R110" s="30" t="e">
        <f t="shared" si="23"/>
        <v>#DIV/0!</v>
      </c>
      <c r="X110" s="12">
        <f t="shared" si="24"/>
        <v>19</v>
      </c>
      <c r="Y110" s="30" t="e">
        <f t="shared" si="26"/>
        <v>#DIV/0!</v>
      </c>
      <c r="Z110" s="30" t="e">
        <f t="shared" si="32"/>
        <v>#DIV/0!</v>
      </c>
      <c r="AA110" s="30" t="e">
        <f t="shared" si="33"/>
        <v>#DIV/0!</v>
      </c>
      <c r="AB110" s="30" t="e">
        <f t="shared" si="34"/>
        <v>#DIV/0!</v>
      </c>
      <c r="AC110" s="30" t="e">
        <f t="shared" si="35"/>
        <v>#DIV/0!</v>
      </c>
      <c r="AD110" s="30" t="e">
        <f t="shared" si="36"/>
        <v>#DIV/0!</v>
      </c>
      <c r="AE110" s="30" t="e">
        <f t="shared" si="37"/>
        <v>#DIV/0!</v>
      </c>
      <c r="AF110" s="30" t="e">
        <f t="shared" si="25"/>
        <v>#DIV/0!</v>
      </c>
    </row>
    <row r="111" spans="16:32" x14ac:dyDescent="0.2">
      <c r="P111" s="29" t="e">
        <f t="shared" si="21"/>
        <v>#DIV/0!</v>
      </c>
      <c r="Q111" s="30">
        <f t="shared" si="22"/>
        <v>6</v>
      </c>
      <c r="R111" s="30" t="e">
        <f t="shared" si="23"/>
        <v>#DIV/0!</v>
      </c>
      <c r="X111" s="12">
        <f t="shared" si="24"/>
        <v>19</v>
      </c>
      <c r="Y111" s="30" t="e">
        <f t="shared" si="26"/>
        <v>#DIV/0!</v>
      </c>
      <c r="Z111" s="30" t="e">
        <f t="shared" si="32"/>
        <v>#DIV/0!</v>
      </c>
      <c r="AA111" s="30" t="e">
        <f t="shared" si="33"/>
        <v>#DIV/0!</v>
      </c>
      <c r="AB111" s="30" t="e">
        <f t="shared" si="34"/>
        <v>#DIV/0!</v>
      </c>
      <c r="AC111" s="30" t="e">
        <f t="shared" ref="AC111:AC174" si="38">ROUND(L111/($L111+$M111+$N111)*(20-$X111), 0)</f>
        <v>#DIV/0!</v>
      </c>
      <c r="AD111" s="30" t="e">
        <f t="shared" ref="AD111:AD174" si="39">ROUND(M111/($L111+$M111+$N111)*(20-$X111), 0)</f>
        <v>#DIV/0!</v>
      </c>
      <c r="AE111" s="30" t="e">
        <f t="shared" ref="AE111:AE174" si="40">ROUND(N111/($L111+$M111+$N111)*(20-$X111), 0)</f>
        <v>#DIV/0!</v>
      </c>
      <c r="AF111" s="30" t="e">
        <f t="shared" si="25"/>
        <v>#DIV/0!</v>
      </c>
    </row>
    <row r="112" spans="16:32" x14ac:dyDescent="0.2">
      <c r="P112" s="29" t="e">
        <f t="shared" ref="P112:P175" si="41">O112/D112*9</f>
        <v>#DIV/0!</v>
      </c>
      <c r="Q112" s="30">
        <f t="shared" ref="Q112:Q175" si="42">IF(G112&lt;=1.1,6,IF(G112&lt;=1.2,5,IF(G112&lt;=1.3,4,IF(G112&lt;=1.4,3,IF(G112&lt;=1.5,2,1)))))</f>
        <v>6</v>
      </c>
      <c r="R112" s="30" t="e">
        <f t="shared" ref="R112:R175" si="43">ROUND(E112/C112, 0)</f>
        <v>#DIV/0!</v>
      </c>
      <c r="X112" s="12">
        <f t="shared" ref="X112:X175" si="44">IF(F112&lt;1.25, 19, IF(F112&lt;2, 18, IF(F112&lt;3, 17, IF(F112&lt;4.5, 16, IF(F112&lt;6, 15, 14)))))</f>
        <v>19</v>
      </c>
      <c r="Y112" s="30" t="e">
        <f t="shared" ref="Y112:Y175" si="45">ROUND($X112*H112/($H112+$I112+$J112+$K112), 0)</f>
        <v>#DIV/0!</v>
      </c>
      <c r="Z112" s="30" t="e">
        <f t="shared" ref="Z112:Z175" si="46">ROUND($X112*I112/($H112+$I112+$J112+$K112), 0)</f>
        <v>#DIV/0!</v>
      </c>
      <c r="AA112" s="30" t="e">
        <f t="shared" ref="AA112:AA175" si="47">ROUND($X112*J112/($H112+$I112+$J112+$K112), 0)</f>
        <v>#DIV/0!</v>
      </c>
      <c r="AB112" s="30" t="e">
        <f t="shared" ref="AB112:AB175" si="48">ROUND($X112*K112/($H112+$I112+$J112+$K112), 0)</f>
        <v>#DIV/0!</v>
      </c>
      <c r="AC112" s="30" t="e">
        <f t="shared" si="38"/>
        <v>#DIV/0!</v>
      </c>
      <c r="AD112" s="30" t="e">
        <f t="shared" si="39"/>
        <v>#DIV/0!</v>
      </c>
      <c r="AE112" s="30" t="e">
        <f t="shared" si="40"/>
        <v>#DIV/0!</v>
      </c>
      <c r="AF112" s="30" t="e">
        <f t="shared" ref="AF112:AF175" si="49">IF(P112&lt;0.5,28,IF(P112&lt;0.7,27,IF(P112&lt;0.8,26,IF(P112&lt;1,25,IF(P112&lt;1.1,24,IF(P112&lt;1.25,23,IF(P112&lt;1.5,22,IF(P112&lt;1.75,21,IF(P112&lt;2,21,20)))))))))</f>
        <v>#DIV/0!</v>
      </c>
    </row>
    <row r="113" spans="16:32" x14ac:dyDescent="0.2">
      <c r="P113" s="29" t="e">
        <f t="shared" si="41"/>
        <v>#DIV/0!</v>
      </c>
      <c r="Q113" s="30">
        <f t="shared" si="42"/>
        <v>6</v>
      </c>
      <c r="R113" s="30" t="e">
        <f t="shared" si="43"/>
        <v>#DIV/0!</v>
      </c>
      <c r="X113" s="12">
        <f t="shared" si="44"/>
        <v>19</v>
      </c>
      <c r="Y113" s="30" t="e">
        <f t="shared" si="45"/>
        <v>#DIV/0!</v>
      </c>
      <c r="Z113" s="30" t="e">
        <f t="shared" si="46"/>
        <v>#DIV/0!</v>
      </c>
      <c r="AA113" s="30" t="e">
        <f t="shared" si="47"/>
        <v>#DIV/0!</v>
      </c>
      <c r="AB113" s="30" t="e">
        <f t="shared" si="48"/>
        <v>#DIV/0!</v>
      </c>
      <c r="AC113" s="30" t="e">
        <f t="shared" si="38"/>
        <v>#DIV/0!</v>
      </c>
      <c r="AD113" s="30" t="e">
        <f t="shared" si="39"/>
        <v>#DIV/0!</v>
      </c>
      <c r="AE113" s="30" t="e">
        <f t="shared" si="40"/>
        <v>#DIV/0!</v>
      </c>
      <c r="AF113" s="30" t="e">
        <f t="shared" si="49"/>
        <v>#DIV/0!</v>
      </c>
    </row>
    <row r="114" spans="16:32" x14ac:dyDescent="0.2">
      <c r="P114" s="29" t="e">
        <f t="shared" si="41"/>
        <v>#DIV/0!</v>
      </c>
      <c r="Q114" s="30">
        <f t="shared" si="42"/>
        <v>6</v>
      </c>
      <c r="R114" s="30" t="e">
        <f t="shared" si="43"/>
        <v>#DIV/0!</v>
      </c>
      <c r="X114" s="12">
        <f t="shared" si="44"/>
        <v>19</v>
      </c>
      <c r="Y114" s="30" t="e">
        <f t="shared" si="45"/>
        <v>#DIV/0!</v>
      </c>
      <c r="Z114" s="30" t="e">
        <f t="shared" si="46"/>
        <v>#DIV/0!</v>
      </c>
      <c r="AA114" s="30" t="e">
        <f t="shared" si="47"/>
        <v>#DIV/0!</v>
      </c>
      <c r="AB114" s="30" t="e">
        <f t="shared" si="48"/>
        <v>#DIV/0!</v>
      </c>
      <c r="AC114" s="30" t="e">
        <f t="shared" si="38"/>
        <v>#DIV/0!</v>
      </c>
      <c r="AD114" s="30" t="e">
        <f t="shared" si="39"/>
        <v>#DIV/0!</v>
      </c>
      <c r="AE114" s="30" t="e">
        <f t="shared" si="40"/>
        <v>#DIV/0!</v>
      </c>
      <c r="AF114" s="30" t="e">
        <f t="shared" si="49"/>
        <v>#DIV/0!</v>
      </c>
    </row>
    <row r="115" spans="16:32" x14ac:dyDescent="0.2">
      <c r="P115" s="29" t="e">
        <f t="shared" si="41"/>
        <v>#DIV/0!</v>
      </c>
      <c r="Q115" s="30">
        <f t="shared" si="42"/>
        <v>6</v>
      </c>
      <c r="R115" s="30" t="e">
        <f t="shared" si="43"/>
        <v>#DIV/0!</v>
      </c>
      <c r="X115" s="12">
        <f t="shared" si="44"/>
        <v>19</v>
      </c>
      <c r="Y115" s="30" t="e">
        <f t="shared" si="45"/>
        <v>#DIV/0!</v>
      </c>
      <c r="Z115" s="30" t="e">
        <f t="shared" si="46"/>
        <v>#DIV/0!</v>
      </c>
      <c r="AA115" s="30" t="e">
        <f t="shared" si="47"/>
        <v>#DIV/0!</v>
      </c>
      <c r="AB115" s="30" t="e">
        <f t="shared" si="48"/>
        <v>#DIV/0!</v>
      </c>
      <c r="AC115" s="30" t="e">
        <f t="shared" si="38"/>
        <v>#DIV/0!</v>
      </c>
      <c r="AD115" s="30" t="e">
        <f t="shared" si="39"/>
        <v>#DIV/0!</v>
      </c>
      <c r="AE115" s="30" t="e">
        <f t="shared" si="40"/>
        <v>#DIV/0!</v>
      </c>
      <c r="AF115" s="30" t="e">
        <f t="shared" si="49"/>
        <v>#DIV/0!</v>
      </c>
    </row>
    <row r="116" spans="16:32" x14ac:dyDescent="0.2">
      <c r="P116" s="29" t="e">
        <f t="shared" si="41"/>
        <v>#DIV/0!</v>
      </c>
      <c r="Q116" s="30">
        <f t="shared" si="42"/>
        <v>6</v>
      </c>
      <c r="R116" s="30" t="e">
        <f t="shared" si="43"/>
        <v>#DIV/0!</v>
      </c>
      <c r="X116" s="12">
        <f t="shared" si="44"/>
        <v>19</v>
      </c>
      <c r="Y116" s="30" t="e">
        <f t="shared" si="45"/>
        <v>#DIV/0!</v>
      </c>
      <c r="Z116" s="30" t="e">
        <f t="shared" si="46"/>
        <v>#DIV/0!</v>
      </c>
      <c r="AA116" s="30" t="e">
        <f t="shared" si="47"/>
        <v>#DIV/0!</v>
      </c>
      <c r="AB116" s="30" t="e">
        <f t="shared" si="48"/>
        <v>#DIV/0!</v>
      </c>
      <c r="AC116" s="30" t="e">
        <f t="shared" si="38"/>
        <v>#DIV/0!</v>
      </c>
      <c r="AD116" s="30" t="e">
        <f t="shared" si="39"/>
        <v>#DIV/0!</v>
      </c>
      <c r="AE116" s="30" t="e">
        <f t="shared" si="40"/>
        <v>#DIV/0!</v>
      </c>
      <c r="AF116" s="30" t="e">
        <f t="shared" si="49"/>
        <v>#DIV/0!</v>
      </c>
    </row>
    <row r="117" spans="16:32" x14ac:dyDescent="0.2">
      <c r="P117" s="29" t="e">
        <f t="shared" si="41"/>
        <v>#DIV/0!</v>
      </c>
      <c r="Q117" s="30">
        <f t="shared" si="42"/>
        <v>6</v>
      </c>
      <c r="R117" s="30" t="e">
        <f t="shared" si="43"/>
        <v>#DIV/0!</v>
      </c>
      <c r="X117" s="12">
        <f t="shared" si="44"/>
        <v>19</v>
      </c>
      <c r="Y117" s="30" t="e">
        <f t="shared" si="45"/>
        <v>#DIV/0!</v>
      </c>
      <c r="Z117" s="30" t="e">
        <f t="shared" si="46"/>
        <v>#DIV/0!</v>
      </c>
      <c r="AA117" s="30" t="e">
        <f t="shared" si="47"/>
        <v>#DIV/0!</v>
      </c>
      <c r="AB117" s="30" t="e">
        <f t="shared" si="48"/>
        <v>#DIV/0!</v>
      </c>
      <c r="AC117" s="30" t="e">
        <f t="shared" si="38"/>
        <v>#DIV/0!</v>
      </c>
      <c r="AD117" s="30" t="e">
        <f t="shared" si="39"/>
        <v>#DIV/0!</v>
      </c>
      <c r="AE117" s="30" t="e">
        <f t="shared" si="40"/>
        <v>#DIV/0!</v>
      </c>
      <c r="AF117" s="30" t="e">
        <f t="shared" si="49"/>
        <v>#DIV/0!</v>
      </c>
    </row>
    <row r="118" spans="16:32" x14ac:dyDescent="0.2">
      <c r="P118" s="29" t="e">
        <f t="shared" si="41"/>
        <v>#DIV/0!</v>
      </c>
      <c r="Q118" s="30">
        <f t="shared" si="42"/>
        <v>6</v>
      </c>
      <c r="R118" s="30" t="e">
        <f t="shared" si="43"/>
        <v>#DIV/0!</v>
      </c>
      <c r="X118" s="12">
        <f t="shared" si="44"/>
        <v>19</v>
      </c>
      <c r="Y118" s="30" t="e">
        <f t="shared" si="45"/>
        <v>#DIV/0!</v>
      </c>
      <c r="Z118" s="30" t="e">
        <f t="shared" si="46"/>
        <v>#DIV/0!</v>
      </c>
      <c r="AA118" s="30" t="e">
        <f t="shared" si="47"/>
        <v>#DIV/0!</v>
      </c>
      <c r="AB118" s="30" t="e">
        <f t="shared" si="48"/>
        <v>#DIV/0!</v>
      </c>
      <c r="AC118" s="30" t="e">
        <f t="shared" si="38"/>
        <v>#DIV/0!</v>
      </c>
      <c r="AD118" s="30" t="e">
        <f t="shared" si="39"/>
        <v>#DIV/0!</v>
      </c>
      <c r="AE118" s="30" t="e">
        <f t="shared" si="40"/>
        <v>#DIV/0!</v>
      </c>
      <c r="AF118" s="30" t="e">
        <f t="shared" si="49"/>
        <v>#DIV/0!</v>
      </c>
    </row>
    <row r="119" spans="16:32" x14ac:dyDescent="0.2">
      <c r="P119" s="29" t="e">
        <f t="shared" si="41"/>
        <v>#DIV/0!</v>
      </c>
      <c r="Q119" s="30">
        <f t="shared" si="42"/>
        <v>6</v>
      </c>
      <c r="R119" s="30" t="e">
        <f t="shared" si="43"/>
        <v>#DIV/0!</v>
      </c>
      <c r="X119" s="12">
        <f t="shared" si="44"/>
        <v>19</v>
      </c>
      <c r="Y119" s="30" t="e">
        <f t="shared" si="45"/>
        <v>#DIV/0!</v>
      </c>
      <c r="Z119" s="30" t="e">
        <f t="shared" si="46"/>
        <v>#DIV/0!</v>
      </c>
      <c r="AA119" s="30" t="e">
        <f t="shared" si="47"/>
        <v>#DIV/0!</v>
      </c>
      <c r="AB119" s="30" t="e">
        <f t="shared" si="48"/>
        <v>#DIV/0!</v>
      </c>
      <c r="AC119" s="30" t="e">
        <f t="shared" si="38"/>
        <v>#DIV/0!</v>
      </c>
      <c r="AD119" s="30" t="e">
        <f t="shared" si="39"/>
        <v>#DIV/0!</v>
      </c>
      <c r="AE119" s="30" t="e">
        <f t="shared" si="40"/>
        <v>#DIV/0!</v>
      </c>
      <c r="AF119" s="30" t="e">
        <f t="shared" si="49"/>
        <v>#DIV/0!</v>
      </c>
    </row>
    <row r="120" spans="16:32" x14ac:dyDescent="0.2">
      <c r="P120" s="29" t="e">
        <f t="shared" si="41"/>
        <v>#DIV/0!</v>
      </c>
      <c r="Q120" s="30">
        <f t="shared" si="42"/>
        <v>6</v>
      </c>
      <c r="R120" s="30" t="e">
        <f t="shared" si="43"/>
        <v>#DIV/0!</v>
      </c>
      <c r="X120" s="12">
        <f t="shared" si="44"/>
        <v>19</v>
      </c>
      <c r="Y120" s="30" t="e">
        <f t="shared" si="45"/>
        <v>#DIV/0!</v>
      </c>
      <c r="Z120" s="30" t="e">
        <f t="shared" si="46"/>
        <v>#DIV/0!</v>
      </c>
      <c r="AA120" s="30" t="e">
        <f t="shared" si="47"/>
        <v>#DIV/0!</v>
      </c>
      <c r="AB120" s="30" t="e">
        <f t="shared" si="48"/>
        <v>#DIV/0!</v>
      </c>
      <c r="AC120" s="30" t="e">
        <f t="shared" si="38"/>
        <v>#DIV/0!</v>
      </c>
      <c r="AD120" s="30" t="e">
        <f t="shared" si="39"/>
        <v>#DIV/0!</v>
      </c>
      <c r="AE120" s="30" t="e">
        <f t="shared" si="40"/>
        <v>#DIV/0!</v>
      </c>
      <c r="AF120" s="30" t="e">
        <f t="shared" si="49"/>
        <v>#DIV/0!</v>
      </c>
    </row>
    <row r="121" spans="16:32" x14ac:dyDescent="0.2">
      <c r="P121" s="29" t="e">
        <f t="shared" si="41"/>
        <v>#DIV/0!</v>
      </c>
      <c r="Q121" s="30">
        <f t="shared" si="42"/>
        <v>6</v>
      </c>
      <c r="R121" s="30" t="e">
        <f t="shared" si="43"/>
        <v>#DIV/0!</v>
      </c>
      <c r="X121" s="12">
        <f t="shared" si="44"/>
        <v>19</v>
      </c>
      <c r="Y121" s="30" t="e">
        <f t="shared" si="45"/>
        <v>#DIV/0!</v>
      </c>
      <c r="Z121" s="30" t="e">
        <f t="shared" si="46"/>
        <v>#DIV/0!</v>
      </c>
      <c r="AA121" s="30" t="e">
        <f t="shared" si="47"/>
        <v>#DIV/0!</v>
      </c>
      <c r="AB121" s="30" t="e">
        <f t="shared" si="48"/>
        <v>#DIV/0!</v>
      </c>
      <c r="AC121" s="30" t="e">
        <f t="shared" si="38"/>
        <v>#DIV/0!</v>
      </c>
      <c r="AD121" s="30" t="e">
        <f t="shared" si="39"/>
        <v>#DIV/0!</v>
      </c>
      <c r="AE121" s="30" t="e">
        <f t="shared" si="40"/>
        <v>#DIV/0!</v>
      </c>
      <c r="AF121" s="30" t="e">
        <f t="shared" si="49"/>
        <v>#DIV/0!</v>
      </c>
    </row>
    <row r="122" spans="16:32" x14ac:dyDescent="0.2">
      <c r="P122" s="29" t="e">
        <f t="shared" si="41"/>
        <v>#DIV/0!</v>
      </c>
      <c r="Q122" s="30">
        <f t="shared" si="42"/>
        <v>6</v>
      </c>
      <c r="R122" s="30" t="e">
        <f t="shared" si="43"/>
        <v>#DIV/0!</v>
      </c>
      <c r="X122" s="12">
        <f t="shared" si="44"/>
        <v>19</v>
      </c>
      <c r="Y122" s="30" t="e">
        <f t="shared" si="45"/>
        <v>#DIV/0!</v>
      </c>
      <c r="Z122" s="30" t="e">
        <f t="shared" si="46"/>
        <v>#DIV/0!</v>
      </c>
      <c r="AA122" s="30" t="e">
        <f t="shared" si="47"/>
        <v>#DIV/0!</v>
      </c>
      <c r="AB122" s="30" t="e">
        <f t="shared" si="48"/>
        <v>#DIV/0!</v>
      </c>
      <c r="AC122" s="30" t="e">
        <f t="shared" si="38"/>
        <v>#DIV/0!</v>
      </c>
      <c r="AD122" s="30" t="e">
        <f t="shared" si="39"/>
        <v>#DIV/0!</v>
      </c>
      <c r="AE122" s="30" t="e">
        <f t="shared" si="40"/>
        <v>#DIV/0!</v>
      </c>
      <c r="AF122" s="30" t="e">
        <f t="shared" si="49"/>
        <v>#DIV/0!</v>
      </c>
    </row>
    <row r="123" spans="16:32" x14ac:dyDescent="0.2">
      <c r="P123" s="29" t="e">
        <f t="shared" si="41"/>
        <v>#DIV/0!</v>
      </c>
      <c r="Q123" s="30">
        <f t="shared" si="42"/>
        <v>6</v>
      </c>
      <c r="R123" s="30" t="e">
        <f t="shared" si="43"/>
        <v>#DIV/0!</v>
      </c>
      <c r="X123" s="12">
        <f t="shared" si="44"/>
        <v>19</v>
      </c>
      <c r="Y123" s="30" t="e">
        <f t="shared" si="45"/>
        <v>#DIV/0!</v>
      </c>
      <c r="Z123" s="30" t="e">
        <f t="shared" si="46"/>
        <v>#DIV/0!</v>
      </c>
      <c r="AA123" s="30" t="e">
        <f t="shared" si="47"/>
        <v>#DIV/0!</v>
      </c>
      <c r="AB123" s="30" t="e">
        <f t="shared" si="48"/>
        <v>#DIV/0!</v>
      </c>
      <c r="AC123" s="30" t="e">
        <f t="shared" si="38"/>
        <v>#DIV/0!</v>
      </c>
      <c r="AD123" s="30" t="e">
        <f t="shared" si="39"/>
        <v>#DIV/0!</v>
      </c>
      <c r="AE123" s="30" t="e">
        <f t="shared" si="40"/>
        <v>#DIV/0!</v>
      </c>
      <c r="AF123" s="30" t="e">
        <f t="shared" si="49"/>
        <v>#DIV/0!</v>
      </c>
    </row>
    <row r="124" spans="16:32" x14ac:dyDescent="0.2">
      <c r="P124" s="29" t="e">
        <f t="shared" si="41"/>
        <v>#DIV/0!</v>
      </c>
      <c r="Q124" s="30">
        <f t="shared" si="42"/>
        <v>6</v>
      </c>
      <c r="R124" s="30" t="e">
        <f t="shared" si="43"/>
        <v>#DIV/0!</v>
      </c>
      <c r="X124" s="12">
        <f t="shared" si="44"/>
        <v>19</v>
      </c>
      <c r="Y124" s="30" t="e">
        <f t="shared" si="45"/>
        <v>#DIV/0!</v>
      </c>
      <c r="Z124" s="30" t="e">
        <f t="shared" si="46"/>
        <v>#DIV/0!</v>
      </c>
      <c r="AA124" s="30" t="e">
        <f t="shared" si="47"/>
        <v>#DIV/0!</v>
      </c>
      <c r="AB124" s="30" t="e">
        <f t="shared" si="48"/>
        <v>#DIV/0!</v>
      </c>
      <c r="AC124" s="30" t="e">
        <f t="shared" si="38"/>
        <v>#DIV/0!</v>
      </c>
      <c r="AD124" s="30" t="e">
        <f t="shared" si="39"/>
        <v>#DIV/0!</v>
      </c>
      <c r="AE124" s="30" t="e">
        <f t="shared" si="40"/>
        <v>#DIV/0!</v>
      </c>
      <c r="AF124" s="30" t="e">
        <f t="shared" si="49"/>
        <v>#DIV/0!</v>
      </c>
    </row>
    <row r="125" spans="16:32" x14ac:dyDescent="0.2">
      <c r="P125" s="29" t="e">
        <f t="shared" si="41"/>
        <v>#DIV/0!</v>
      </c>
      <c r="Q125" s="30">
        <f t="shared" si="42"/>
        <v>6</v>
      </c>
      <c r="R125" s="30" t="e">
        <f t="shared" si="43"/>
        <v>#DIV/0!</v>
      </c>
      <c r="X125" s="12">
        <f t="shared" si="44"/>
        <v>19</v>
      </c>
      <c r="Y125" s="30" t="e">
        <f t="shared" si="45"/>
        <v>#DIV/0!</v>
      </c>
      <c r="Z125" s="30" t="e">
        <f t="shared" si="46"/>
        <v>#DIV/0!</v>
      </c>
      <c r="AA125" s="30" t="e">
        <f t="shared" si="47"/>
        <v>#DIV/0!</v>
      </c>
      <c r="AB125" s="30" t="e">
        <f t="shared" si="48"/>
        <v>#DIV/0!</v>
      </c>
      <c r="AC125" s="30" t="e">
        <f t="shared" si="38"/>
        <v>#DIV/0!</v>
      </c>
      <c r="AD125" s="30" t="e">
        <f t="shared" si="39"/>
        <v>#DIV/0!</v>
      </c>
      <c r="AE125" s="30" t="e">
        <f t="shared" si="40"/>
        <v>#DIV/0!</v>
      </c>
      <c r="AF125" s="30" t="e">
        <f t="shared" si="49"/>
        <v>#DIV/0!</v>
      </c>
    </row>
    <row r="126" spans="16:32" x14ac:dyDescent="0.2">
      <c r="P126" s="29" t="e">
        <f t="shared" si="41"/>
        <v>#DIV/0!</v>
      </c>
      <c r="Q126" s="30">
        <f t="shared" si="42"/>
        <v>6</v>
      </c>
      <c r="R126" s="30" t="e">
        <f t="shared" si="43"/>
        <v>#DIV/0!</v>
      </c>
      <c r="X126" s="12">
        <f t="shared" si="44"/>
        <v>19</v>
      </c>
      <c r="Y126" s="30" t="e">
        <f t="shared" si="45"/>
        <v>#DIV/0!</v>
      </c>
      <c r="Z126" s="30" t="e">
        <f t="shared" si="46"/>
        <v>#DIV/0!</v>
      </c>
      <c r="AA126" s="30" t="e">
        <f t="shared" si="47"/>
        <v>#DIV/0!</v>
      </c>
      <c r="AB126" s="30" t="e">
        <f t="shared" si="48"/>
        <v>#DIV/0!</v>
      </c>
      <c r="AC126" s="30" t="e">
        <f t="shared" si="38"/>
        <v>#DIV/0!</v>
      </c>
      <c r="AD126" s="30" t="e">
        <f t="shared" si="39"/>
        <v>#DIV/0!</v>
      </c>
      <c r="AE126" s="30" t="e">
        <f t="shared" si="40"/>
        <v>#DIV/0!</v>
      </c>
      <c r="AF126" s="30" t="e">
        <f t="shared" si="49"/>
        <v>#DIV/0!</v>
      </c>
    </row>
    <row r="127" spans="16:32" x14ac:dyDescent="0.2">
      <c r="P127" s="29" t="e">
        <f t="shared" si="41"/>
        <v>#DIV/0!</v>
      </c>
      <c r="Q127" s="30">
        <f t="shared" si="42"/>
        <v>6</v>
      </c>
      <c r="R127" s="30" t="e">
        <f t="shared" si="43"/>
        <v>#DIV/0!</v>
      </c>
      <c r="X127" s="12">
        <f t="shared" si="44"/>
        <v>19</v>
      </c>
      <c r="Y127" s="30" t="e">
        <f t="shared" si="45"/>
        <v>#DIV/0!</v>
      </c>
      <c r="Z127" s="30" t="e">
        <f t="shared" si="46"/>
        <v>#DIV/0!</v>
      </c>
      <c r="AA127" s="30" t="e">
        <f t="shared" si="47"/>
        <v>#DIV/0!</v>
      </c>
      <c r="AB127" s="30" t="e">
        <f t="shared" si="48"/>
        <v>#DIV/0!</v>
      </c>
      <c r="AC127" s="30" t="e">
        <f t="shared" si="38"/>
        <v>#DIV/0!</v>
      </c>
      <c r="AD127" s="30" t="e">
        <f t="shared" si="39"/>
        <v>#DIV/0!</v>
      </c>
      <c r="AE127" s="30" t="e">
        <f t="shared" si="40"/>
        <v>#DIV/0!</v>
      </c>
      <c r="AF127" s="30" t="e">
        <f t="shared" si="49"/>
        <v>#DIV/0!</v>
      </c>
    </row>
    <row r="128" spans="16:32" x14ac:dyDescent="0.2">
      <c r="P128" s="29" t="e">
        <f t="shared" si="41"/>
        <v>#DIV/0!</v>
      </c>
      <c r="Q128" s="30">
        <f t="shared" si="42"/>
        <v>6</v>
      </c>
      <c r="R128" s="30" t="e">
        <f t="shared" si="43"/>
        <v>#DIV/0!</v>
      </c>
      <c r="X128" s="12">
        <f t="shared" si="44"/>
        <v>19</v>
      </c>
      <c r="Y128" s="30" t="e">
        <f t="shared" si="45"/>
        <v>#DIV/0!</v>
      </c>
      <c r="Z128" s="30" t="e">
        <f t="shared" si="46"/>
        <v>#DIV/0!</v>
      </c>
      <c r="AA128" s="30" t="e">
        <f t="shared" si="47"/>
        <v>#DIV/0!</v>
      </c>
      <c r="AB128" s="30" t="e">
        <f t="shared" si="48"/>
        <v>#DIV/0!</v>
      </c>
      <c r="AC128" s="30" t="e">
        <f t="shared" si="38"/>
        <v>#DIV/0!</v>
      </c>
      <c r="AD128" s="30" t="e">
        <f t="shared" si="39"/>
        <v>#DIV/0!</v>
      </c>
      <c r="AE128" s="30" t="e">
        <f t="shared" si="40"/>
        <v>#DIV/0!</v>
      </c>
      <c r="AF128" s="30" t="e">
        <f t="shared" si="49"/>
        <v>#DIV/0!</v>
      </c>
    </row>
    <row r="129" spans="16:32" x14ac:dyDescent="0.2">
      <c r="P129" s="29" t="e">
        <f t="shared" si="41"/>
        <v>#DIV/0!</v>
      </c>
      <c r="Q129" s="30">
        <f t="shared" si="42"/>
        <v>6</v>
      </c>
      <c r="R129" s="30" t="e">
        <f t="shared" si="43"/>
        <v>#DIV/0!</v>
      </c>
      <c r="X129" s="12">
        <f t="shared" si="44"/>
        <v>19</v>
      </c>
      <c r="Y129" s="30" t="e">
        <f t="shared" si="45"/>
        <v>#DIV/0!</v>
      </c>
      <c r="Z129" s="30" t="e">
        <f t="shared" si="46"/>
        <v>#DIV/0!</v>
      </c>
      <c r="AA129" s="30" t="e">
        <f t="shared" si="47"/>
        <v>#DIV/0!</v>
      </c>
      <c r="AB129" s="30" t="e">
        <f t="shared" si="48"/>
        <v>#DIV/0!</v>
      </c>
      <c r="AC129" s="30" t="e">
        <f t="shared" si="38"/>
        <v>#DIV/0!</v>
      </c>
      <c r="AD129" s="30" t="e">
        <f t="shared" si="39"/>
        <v>#DIV/0!</v>
      </c>
      <c r="AE129" s="30" t="e">
        <f t="shared" si="40"/>
        <v>#DIV/0!</v>
      </c>
      <c r="AF129" s="30" t="e">
        <f t="shared" si="49"/>
        <v>#DIV/0!</v>
      </c>
    </row>
    <row r="130" spans="16:32" x14ac:dyDescent="0.2">
      <c r="P130" s="29" t="e">
        <f t="shared" si="41"/>
        <v>#DIV/0!</v>
      </c>
      <c r="Q130" s="30">
        <f t="shared" si="42"/>
        <v>6</v>
      </c>
      <c r="R130" s="30" t="e">
        <f t="shared" si="43"/>
        <v>#DIV/0!</v>
      </c>
      <c r="X130" s="12">
        <f t="shared" si="44"/>
        <v>19</v>
      </c>
      <c r="Y130" s="30" t="e">
        <f t="shared" si="45"/>
        <v>#DIV/0!</v>
      </c>
      <c r="Z130" s="30" t="e">
        <f t="shared" si="46"/>
        <v>#DIV/0!</v>
      </c>
      <c r="AA130" s="30" t="e">
        <f t="shared" si="47"/>
        <v>#DIV/0!</v>
      </c>
      <c r="AB130" s="30" t="e">
        <f t="shared" si="48"/>
        <v>#DIV/0!</v>
      </c>
      <c r="AC130" s="30" t="e">
        <f t="shared" si="38"/>
        <v>#DIV/0!</v>
      </c>
      <c r="AD130" s="30" t="e">
        <f t="shared" si="39"/>
        <v>#DIV/0!</v>
      </c>
      <c r="AE130" s="30" t="e">
        <f t="shared" si="40"/>
        <v>#DIV/0!</v>
      </c>
      <c r="AF130" s="30" t="e">
        <f t="shared" si="49"/>
        <v>#DIV/0!</v>
      </c>
    </row>
    <row r="131" spans="16:32" x14ac:dyDescent="0.2">
      <c r="P131" s="29" t="e">
        <f t="shared" si="41"/>
        <v>#DIV/0!</v>
      </c>
      <c r="Q131" s="30">
        <f t="shared" si="42"/>
        <v>6</v>
      </c>
      <c r="R131" s="30" t="e">
        <f t="shared" si="43"/>
        <v>#DIV/0!</v>
      </c>
      <c r="X131" s="12">
        <f t="shared" si="44"/>
        <v>19</v>
      </c>
      <c r="Y131" s="30" t="e">
        <f t="shared" si="45"/>
        <v>#DIV/0!</v>
      </c>
      <c r="Z131" s="30" t="e">
        <f t="shared" si="46"/>
        <v>#DIV/0!</v>
      </c>
      <c r="AA131" s="30" t="e">
        <f t="shared" si="47"/>
        <v>#DIV/0!</v>
      </c>
      <c r="AB131" s="30" t="e">
        <f t="shared" si="48"/>
        <v>#DIV/0!</v>
      </c>
      <c r="AC131" s="30" t="e">
        <f t="shared" si="38"/>
        <v>#DIV/0!</v>
      </c>
      <c r="AD131" s="30" t="e">
        <f t="shared" si="39"/>
        <v>#DIV/0!</v>
      </c>
      <c r="AE131" s="30" t="e">
        <f t="shared" si="40"/>
        <v>#DIV/0!</v>
      </c>
      <c r="AF131" s="30" t="e">
        <f t="shared" si="49"/>
        <v>#DIV/0!</v>
      </c>
    </row>
    <row r="132" spans="16:32" x14ac:dyDescent="0.2">
      <c r="P132" s="29" t="e">
        <f t="shared" si="41"/>
        <v>#DIV/0!</v>
      </c>
      <c r="Q132" s="30">
        <f t="shared" si="42"/>
        <v>6</v>
      </c>
      <c r="R132" s="30" t="e">
        <f t="shared" si="43"/>
        <v>#DIV/0!</v>
      </c>
      <c r="X132" s="12">
        <f t="shared" si="44"/>
        <v>19</v>
      </c>
      <c r="Y132" s="30" t="e">
        <f t="shared" si="45"/>
        <v>#DIV/0!</v>
      </c>
      <c r="Z132" s="30" t="e">
        <f t="shared" si="46"/>
        <v>#DIV/0!</v>
      </c>
      <c r="AA132" s="30" t="e">
        <f t="shared" si="47"/>
        <v>#DIV/0!</v>
      </c>
      <c r="AB132" s="30" t="e">
        <f t="shared" si="48"/>
        <v>#DIV/0!</v>
      </c>
      <c r="AC132" s="30" t="e">
        <f t="shared" si="38"/>
        <v>#DIV/0!</v>
      </c>
      <c r="AD132" s="30" t="e">
        <f t="shared" si="39"/>
        <v>#DIV/0!</v>
      </c>
      <c r="AE132" s="30" t="e">
        <f t="shared" si="40"/>
        <v>#DIV/0!</v>
      </c>
      <c r="AF132" s="30" t="e">
        <f t="shared" si="49"/>
        <v>#DIV/0!</v>
      </c>
    </row>
    <row r="133" spans="16:32" x14ac:dyDescent="0.2">
      <c r="P133" s="29" t="e">
        <f t="shared" si="41"/>
        <v>#DIV/0!</v>
      </c>
      <c r="Q133" s="30">
        <f t="shared" si="42"/>
        <v>6</v>
      </c>
      <c r="R133" s="30" t="e">
        <f t="shared" si="43"/>
        <v>#DIV/0!</v>
      </c>
      <c r="X133" s="12">
        <f t="shared" si="44"/>
        <v>19</v>
      </c>
      <c r="Y133" s="30" t="e">
        <f t="shared" si="45"/>
        <v>#DIV/0!</v>
      </c>
      <c r="Z133" s="30" t="e">
        <f t="shared" si="46"/>
        <v>#DIV/0!</v>
      </c>
      <c r="AA133" s="30" t="e">
        <f t="shared" si="47"/>
        <v>#DIV/0!</v>
      </c>
      <c r="AB133" s="30" t="e">
        <f t="shared" si="48"/>
        <v>#DIV/0!</v>
      </c>
      <c r="AC133" s="30" t="e">
        <f t="shared" si="38"/>
        <v>#DIV/0!</v>
      </c>
      <c r="AD133" s="30" t="e">
        <f t="shared" si="39"/>
        <v>#DIV/0!</v>
      </c>
      <c r="AE133" s="30" t="e">
        <f t="shared" si="40"/>
        <v>#DIV/0!</v>
      </c>
      <c r="AF133" s="30" t="e">
        <f t="shared" si="49"/>
        <v>#DIV/0!</v>
      </c>
    </row>
    <row r="134" spans="16:32" x14ac:dyDescent="0.2">
      <c r="P134" s="29" t="e">
        <f t="shared" si="41"/>
        <v>#DIV/0!</v>
      </c>
      <c r="Q134" s="30">
        <f t="shared" si="42"/>
        <v>6</v>
      </c>
      <c r="R134" s="30" t="e">
        <f t="shared" si="43"/>
        <v>#DIV/0!</v>
      </c>
      <c r="X134" s="12">
        <f t="shared" si="44"/>
        <v>19</v>
      </c>
      <c r="Y134" s="30" t="e">
        <f t="shared" si="45"/>
        <v>#DIV/0!</v>
      </c>
      <c r="Z134" s="30" t="e">
        <f t="shared" si="46"/>
        <v>#DIV/0!</v>
      </c>
      <c r="AA134" s="30" t="e">
        <f t="shared" si="47"/>
        <v>#DIV/0!</v>
      </c>
      <c r="AB134" s="30" t="e">
        <f t="shared" si="48"/>
        <v>#DIV/0!</v>
      </c>
      <c r="AC134" s="30" t="e">
        <f t="shared" si="38"/>
        <v>#DIV/0!</v>
      </c>
      <c r="AD134" s="30" t="e">
        <f t="shared" si="39"/>
        <v>#DIV/0!</v>
      </c>
      <c r="AE134" s="30" t="e">
        <f t="shared" si="40"/>
        <v>#DIV/0!</v>
      </c>
      <c r="AF134" s="30" t="e">
        <f t="shared" si="49"/>
        <v>#DIV/0!</v>
      </c>
    </row>
    <row r="135" spans="16:32" x14ac:dyDescent="0.2">
      <c r="P135" s="29" t="e">
        <f t="shared" si="41"/>
        <v>#DIV/0!</v>
      </c>
      <c r="Q135" s="30">
        <f t="shared" si="42"/>
        <v>6</v>
      </c>
      <c r="R135" s="30" t="e">
        <f t="shared" si="43"/>
        <v>#DIV/0!</v>
      </c>
      <c r="X135" s="12">
        <f t="shared" si="44"/>
        <v>19</v>
      </c>
      <c r="Y135" s="30" t="e">
        <f t="shared" si="45"/>
        <v>#DIV/0!</v>
      </c>
      <c r="Z135" s="30" t="e">
        <f t="shared" si="46"/>
        <v>#DIV/0!</v>
      </c>
      <c r="AA135" s="30" t="e">
        <f t="shared" si="47"/>
        <v>#DIV/0!</v>
      </c>
      <c r="AB135" s="30" t="e">
        <f t="shared" si="48"/>
        <v>#DIV/0!</v>
      </c>
      <c r="AC135" s="30" t="e">
        <f t="shared" si="38"/>
        <v>#DIV/0!</v>
      </c>
      <c r="AD135" s="30" t="e">
        <f t="shared" si="39"/>
        <v>#DIV/0!</v>
      </c>
      <c r="AE135" s="30" t="e">
        <f t="shared" si="40"/>
        <v>#DIV/0!</v>
      </c>
      <c r="AF135" s="30" t="e">
        <f t="shared" si="49"/>
        <v>#DIV/0!</v>
      </c>
    </row>
    <row r="136" spans="16:32" x14ac:dyDescent="0.2">
      <c r="P136" s="29" t="e">
        <f t="shared" si="41"/>
        <v>#DIV/0!</v>
      </c>
      <c r="Q136" s="30">
        <f t="shared" si="42"/>
        <v>6</v>
      </c>
      <c r="R136" s="30" t="e">
        <f t="shared" si="43"/>
        <v>#DIV/0!</v>
      </c>
      <c r="X136" s="12">
        <f t="shared" si="44"/>
        <v>19</v>
      </c>
      <c r="Y136" s="30" t="e">
        <f t="shared" si="45"/>
        <v>#DIV/0!</v>
      </c>
      <c r="Z136" s="30" t="e">
        <f t="shared" si="46"/>
        <v>#DIV/0!</v>
      </c>
      <c r="AA136" s="30" t="e">
        <f t="shared" si="47"/>
        <v>#DIV/0!</v>
      </c>
      <c r="AB136" s="30" t="e">
        <f t="shared" si="48"/>
        <v>#DIV/0!</v>
      </c>
      <c r="AC136" s="30" t="e">
        <f t="shared" si="38"/>
        <v>#DIV/0!</v>
      </c>
      <c r="AD136" s="30" t="e">
        <f t="shared" si="39"/>
        <v>#DIV/0!</v>
      </c>
      <c r="AE136" s="30" t="e">
        <f t="shared" si="40"/>
        <v>#DIV/0!</v>
      </c>
      <c r="AF136" s="30" t="e">
        <f t="shared" si="49"/>
        <v>#DIV/0!</v>
      </c>
    </row>
    <row r="137" spans="16:32" x14ac:dyDescent="0.2">
      <c r="P137" s="29" t="e">
        <f t="shared" si="41"/>
        <v>#DIV/0!</v>
      </c>
      <c r="Q137" s="30">
        <f t="shared" si="42"/>
        <v>6</v>
      </c>
      <c r="R137" s="30" t="e">
        <f t="shared" si="43"/>
        <v>#DIV/0!</v>
      </c>
      <c r="X137" s="12">
        <f t="shared" si="44"/>
        <v>19</v>
      </c>
      <c r="Y137" s="30" t="e">
        <f t="shared" si="45"/>
        <v>#DIV/0!</v>
      </c>
      <c r="Z137" s="30" t="e">
        <f t="shared" si="46"/>
        <v>#DIV/0!</v>
      </c>
      <c r="AA137" s="30" t="e">
        <f t="shared" si="47"/>
        <v>#DIV/0!</v>
      </c>
      <c r="AB137" s="30" t="e">
        <f t="shared" si="48"/>
        <v>#DIV/0!</v>
      </c>
      <c r="AC137" s="30" t="e">
        <f t="shared" si="38"/>
        <v>#DIV/0!</v>
      </c>
      <c r="AD137" s="30" t="e">
        <f t="shared" si="39"/>
        <v>#DIV/0!</v>
      </c>
      <c r="AE137" s="30" t="e">
        <f t="shared" si="40"/>
        <v>#DIV/0!</v>
      </c>
      <c r="AF137" s="30" t="e">
        <f t="shared" si="49"/>
        <v>#DIV/0!</v>
      </c>
    </row>
    <row r="138" spans="16:32" x14ac:dyDescent="0.2">
      <c r="P138" s="29" t="e">
        <f t="shared" si="41"/>
        <v>#DIV/0!</v>
      </c>
      <c r="Q138" s="30">
        <f t="shared" si="42"/>
        <v>6</v>
      </c>
      <c r="R138" s="30" t="e">
        <f t="shared" si="43"/>
        <v>#DIV/0!</v>
      </c>
      <c r="X138" s="12">
        <f t="shared" si="44"/>
        <v>19</v>
      </c>
      <c r="Y138" s="30" t="e">
        <f t="shared" si="45"/>
        <v>#DIV/0!</v>
      </c>
      <c r="Z138" s="30" t="e">
        <f t="shared" si="46"/>
        <v>#DIV/0!</v>
      </c>
      <c r="AA138" s="30" t="e">
        <f t="shared" si="47"/>
        <v>#DIV/0!</v>
      </c>
      <c r="AB138" s="30" t="e">
        <f t="shared" si="48"/>
        <v>#DIV/0!</v>
      </c>
      <c r="AC138" s="30" t="e">
        <f t="shared" si="38"/>
        <v>#DIV/0!</v>
      </c>
      <c r="AD138" s="30" t="e">
        <f t="shared" si="39"/>
        <v>#DIV/0!</v>
      </c>
      <c r="AE138" s="30" t="e">
        <f t="shared" si="40"/>
        <v>#DIV/0!</v>
      </c>
      <c r="AF138" s="30" t="e">
        <f t="shared" si="49"/>
        <v>#DIV/0!</v>
      </c>
    </row>
    <row r="139" spans="16:32" x14ac:dyDescent="0.2">
      <c r="P139" s="29" t="e">
        <f t="shared" si="41"/>
        <v>#DIV/0!</v>
      </c>
      <c r="Q139" s="30">
        <f t="shared" si="42"/>
        <v>6</v>
      </c>
      <c r="R139" s="30" t="e">
        <f t="shared" si="43"/>
        <v>#DIV/0!</v>
      </c>
      <c r="X139" s="12">
        <f t="shared" si="44"/>
        <v>19</v>
      </c>
      <c r="Y139" s="30" t="e">
        <f t="shared" si="45"/>
        <v>#DIV/0!</v>
      </c>
      <c r="Z139" s="30" t="e">
        <f t="shared" si="46"/>
        <v>#DIV/0!</v>
      </c>
      <c r="AA139" s="30" t="e">
        <f t="shared" si="47"/>
        <v>#DIV/0!</v>
      </c>
      <c r="AB139" s="30" t="e">
        <f t="shared" si="48"/>
        <v>#DIV/0!</v>
      </c>
      <c r="AC139" s="30" t="e">
        <f t="shared" si="38"/>
        <v>#DIV/0!</v>
      </c>
      <c r="AD139" s="30" t="e">
        <f t="shared" si="39"/>
        <v>#DIV/0!</v>
      </c>
      <c r="AE139" s="30" t="e">
        <f t="shared" si="40"/>
        <v>#DIV/0!</v>
      </c>
      <c r="AF139" s="30" t="e">
        <f t="shared" si="49"/>
        <v>#DIV/0!</v>
      </c>
    </row>
    <row r="140" spans="16:32" x14ac:dyDescent="0.2">
      <c r="P140" s="29" t="e">
        <f t="shared" si="41"/>
        <v>#DIV/0!</v>
      </c>
      <c r="Q140" s="30">
        <f t="shared" si="42"/>
        <v>6</v>
      </c>
      <c r="R140" s="30" t="e">
        <f t="shared" si="43"/>
        <v>#DIV/0!</v>
      </c>
      <c r="X140" s="12">
        <f t="shared" si="44"/>
        <v>19</v>
      </c>
      <c r="Y140" s="30" t="e">
        <f t="shared" si="45"/>
        <v>#DIV/0!</v>
      </c>
      <c r="Z140" s="30" t="e">
        <f t="shared" si="46"/>
        <v>#DIV/0!</v>
      </c>
      <c r="AA140" s="30" t="e">
        <f t="shared" si="47"/>
        <v>#DIV/0!</v>
      </c>
      <c r="AB140" s="30" t="e">
        <f t="shared" si="48"/>
        <v>#DIV/0!</v>
      </c>
      <c r="AC140" s="30" t="e">
        <f t="shared" si="38"/>
        <v>#DIV/0!</v>
      </c>
      <c r="AD140" s="30" t="e">
        <f t="shared" si="39"/>
        <v>#DIV/0!</v>
      </c>
      <c r="AE140" s="30" t="e">
        <f t="shared" si="40"/>
        <v>#DIV/0!</v>
      </c>
      <c r="AF140" s="30" t="e">
        <f t="shared" si="49"/>
        <v>#DIV/0!</v>
      </c>
    </row>
    <row r="141" spans="16:32" x14ac:dyDescent="0.2">
      <c r="P141" s="29" t="e">
        <f t="shared" si="41"/>
        <v>#DIV/0!</v>
      </c>
      <c r="Q141" s="30">
        <f t="shared" si="42"/>
        <v>6</v>
      </c>
      <c r="R141" s="30" t="e">
        <f t="shared" si="43"/>
        <v>#DIV/0!</v>
      </c>
      <c r="X141" s="12">
        <f t="shared" si="44"/>
        <v>19</v>
      </c>
      <c r="Y141" s="30" t="e">
        <f t="shared" si="45"/>
        <v>#DIV/0!</v>
      </c>
      <c r="Z141" s="30" t="e">
        <f t="shared" si="46"/>
        <v>#DIV/0!</v>
      </c>
      <c r="AA141" s="30" t="e">
        <f t="shared" si="47"/>
        <v>#DIV/0!</v>
      </c>
      <c r="AB141" s="30" t="e">
        <f t="shared" si="48"/>
        <v>#DIV/0!</v>
      </c>
      <c r="AC141" s="30" t="e">
        <f t="shared" si="38"/>
        <v>#DIV/0!</v>
      </c>
      <c r="AD141" s="30" t="e">
        <f t="shared" si="39"/>
        <v>#DIV/0!</v>
      </c>
      <c r="AE141" s="30" t="e">
        <f t="shared" si="40"/>
        <v>#DIV/0!</v>
      </c>
      <c r="AF141" s="30" t="e">
        <f t="shared" si="49"/>
        <v>#DIV/0!</v>
      </c>
    </row>
    <row r="142" spans="16:32" x14ac:dyDescent="0.2">
      <c r="P142" s="29" t="e">
        <f t="shared" si="41"/>
        <v>#DIV/0!</v>
      </c>
      <c r="Q142" s="30">
        <f t="shared" si="42"/>
        <v>6</v>
      </c>
      <c r="R142" s="30" t="e">
        <f t="shared" si="43"/>
        <v>#DIV/0!</v>
      </c>
      <c r="X142" s="12">
        <f t="shared" si="44"/>
        <v>19</v>
      </c>
      <c r="Y142" s="30" t="e">
        <f t="shared" si="45"/>
        <v>#DIV/0!</v>
      </c>
      <c r="Z142" s="30" t="e">
        <f t="shared" si="46"/>
        <v>#DIV/0!</v>
      </c>
      <c r="AA142" s="30" t="e">
        <f t="shared" si="47"/>
        <v>#DIV/0!</v>
      </c>
      <c r="AB142" s="30" t="e">
        <f t="shared" si="48"/>
        <v>#DIV/0!</v>
      </c>
      <c r="AC142" s="30" t="e">
        <f t="shared" si="38"/>
        <v>#DIV/0!</v>
      </c>
      <c r="AD142" s="30" t="e">
        <f t="shared" si="39"/>
        <v>#DIV/0!</v>
      </c>
      <c r="AE142" s="30" t="e">
        <f t="shared" si="40"/>
        <v>#DIV/0!</v>
      </c>
      <c r="AF142" s="30" t="e">
        <f t="shared" si="49"/>
        <v>#DIV/0!</v>
      </c>
    </row>
    <row r="143" spans="16:32" x14ac:dyDescent="0.2">
      <c r="P143" s="29" t="e">
        <f t="shared" si="41"/>
        <v>#DIV/0!</v>
      </c>
      <c r="Q143" s="30">
        <f t="shared" si="42"/>
        <v>6</v>
      </c>
      <c r="R143" s="30" t="e">
        <f t="shared" si="43"/>
        <v>#DIV/0!</v>
      </c>
      <c r="X143" s="12">
        <f t="shared" si="44"/>
        <v>19</v>
      </c>
      <c r="Y143" s="30" t="e">
        <f t="shared" si="45"/>
        <v>#DIV/0!</v>
      </c>
      <c r="Z143" s="30" t="e">
        <f t="shared" si="46"/>
        <v>#DIV/0!</v>
      </c>
      <c r="AA143" s="30" t="e">
        <f t="shared" si="47"/>
        <v>#DIV/0!</v>
      </c>
      <c r="AB143" s="30" t="e">
        <f t="shared" si="48"/>
        <v>#DIV/0!</v>
      </c>
      <c r="AC143" s="30" t="e">
        <f t="shared" si="38"/>
        <v>#DIV/0!</v>
      </c>
      <c r="AD143" s="30" t="e">
        <f t="shared" si="39"/>
        <v>#DIV/0!</v>
      </c>
      <c r="AE143" s="30" t="e">
        <f t="shared" si="40"/>
        <v>#DIV/0!</v>
      </c>
      <c r="AF143" s="30" t="e">
        <f t="shared" si="49"/>
        <v>#DIV/0!</v>
      </c>
    </row>
    <row r="144" spans="16:32" x14ac:dyDescent="0.2">
      <c r="P144" s="29" t="e">
        <f t="shared" si="41"/>
        <v>#DIV/0!</v>
      </c>
      <c r="Q144" s="30">
        <f t="shared" si="42"/>
        <v>6</v>
      </c>
      <c r="R144" s="30" t="e">
        <f t="shared" si="43"/>
        <v>#DIV/0!</v>
      </c>
      <c r="X144" s="12">
        <f t="shared" si="44"/>
        <v>19</v>
      </c>
      <c r="Y144" s="30" t="e">
        <f t="shared" si="45"/>
        <v>#DIV/0!</v>
      </c>
      <c r="Z144" s="30" t="e">
        <f t="shared" si="46"/>
        <v>#DIV/0!</v>
      </c>
      <c r="AA144" s="30" t="e">
        <f t="shared" si="47"/>
        <v>#DIV/0!</v>
      </c>
      <c r="AB144" s="30" t="e">
        <f t="shared" si="48"/>
        <v>#DIV/0!</v>
      </c>
      <c r="AC144" s="30" t="e">
        <f t="shared" si="38"/>
        <v>#DIV/0!</v>
      </c>
      <c r="AD144" s="30" t="e">
        <f t="shared" si="39"/>
        <v>#DIV/0!</v>
      </c>
      <c r="AE144" s="30" t="e">
        <f t="shared" si="40"/>
        <v>#DIV/0!</v>
      </c>
      <c r="AF144" s="30" t="e">
        <f t="shared" si="49"/>
        <v>#DIV/0!</v>
      </c>
    </row>
    <row r="145" spans="16:32" x14ac:dyDescent="0.2">
      <c r="P145" s="29" t="e">
        <f t="shared" si="41"/>
        <v>#DIV/0!</v>
      </c>
      <c r="Q145" s="30">
        <f t="shared" si="42"/>
        <v>6</v>
      </c>
      <c r="R145" s="30" t="e">
        <f t="shared" si="43"/>
        <v>#DIV/0!</v>
      </c>
      <c r="X145" s="12">
        <f t="shared" si="44"/>
        <v>19</v>
      </c>
      <c r="Y145" s="30" t="e">
        <f t="shared" si="45"/>
        <v>#DIV/0!</v>
      </c>
      <c r="Z145" s="30" t="e">
        <f t="shared" si="46"/>
        <v>#DIV/0!</v>
      </c>
      <c r="AA145" s="30" t="e">
        <f t="shared" si="47"/>
        <v>#DIV/0!</v>
      </c>
      <c r="AB145" s="30" t="e">
        <f t="shared" si="48"/>
        <v>#DIV/0!</v>
      </c>
      <c r="AC145" s="30" t="e">
        <f t="shared" si="38"/>
        <v>#DIV/0!</v>
      </c>
      <c r="AD145" s="30" t="e">
        <f t="shared" si="39"/>
        <v>#DIV/0!</v>
      </c>
      <c r="AE145" s="30" t="e">
        <f t="shared" si="40"/>
        <v>#DIV/0!</v>
      </c>
      <c r="AF145" s="30" t="e">
        <f t="shared" si="49"/>
        <v>#DIV/0!</v>
      </c>
    </row>
    <row r="146" spans="16:32" x14ac:dyDescent="0.2">
      <c r="P146" s="29" t="e">
        <f t="shared" si="41"/>
        <v>#DIV/0!</v>
      </c>
      <c r="Q146" s="30">
        <f t="shared" si="42"/>
        <v>6</v>
      </c>
      <c r="R146" s="30" t="e">
        <f t="shared" si="43"/>
        <v>#DIV/0!</v>
      </c>
      <c r="X146" s="12">
        <f t="shared" si="44"/>
        <v>19</v>
      </c>
      <c r="Y146" s="30" t="e">
        <f t="shared" si="45"/>
        <v>#DIV/0!</v>
      </c>
      <c r="Z146" s="30" t="e">
        <f t="shared" si="46"/>
        <v>#DIV/0!</v>
      </c>
      <c r="AA146" s="30" t="e">
        <f t="shared" si="47"/>
        <v>#DIV/0!</v>
      </c>
      <c r="AB146" s="30" t="e">
        <f t="shared" si="48"/>
        <v>#DIV/0!</v>
      </c>
      <c r="AC146" s="30" t="e">
        <f t="shared" si="38"/>
        <v>#DIV/0!</v>
      </c>
      <c r="AD146" s="30" t="e">
        <f t="shared" si="39"/>
        <v>#DIV/0!</v>
      </c>
      <c r="AE146" s="30" t="e">
        <f t="shared" si="40"/>
        <v>#DIV/0!</v>
      </c>
      <c r="AF146" s="30" t="e">
        <f t="shared" si="49"/>
        <v>#DIV/0!</v>
      </c>
    </row>
    <row r="147" spans="16:32" x14ac:dyDescent="0.2">
      <c r="P147" s="29" t="e">
        <f t="shared" si="41"/>
        <v>#DIV/0!</v>
      </c>
      <c r="Q147" s="30">
        <f t="shared" si="42"/>
        <v>6</v>
      </c>
      <c r="R147" s="30" t="e">
        <f t="shared" si="43"/>
        <v>#DIV/0!</v>
      </c>
      <c r="X147" s="12">
        <f t="shared" si="44"/>
        <v>19</v>
      </c>
      <c r="Y147" s="30" t="e">
        <f t="shared" si="45"/>
        <v>#DIV/0!</v>
      </c>
      <c r="Z147" s="30" t="e">
        <f t="shared" si="46"/>
        <v>#DIV/0!</v>
      </c>
      <c r="AA147" s="30" t="e">
        <f t="shared" si="47"/>
        <v>#DIV/0!</v>
      </c>
      <c r="AB147" s="30" t="e">
        <f t="shared" si="48"/>
        <v>#DIV/0!</v>
      </c>
      <c r="AC147" s="30" t="e">
        <f t="shared" si="38"/>
        <v>#DIV/0!</v>
      </c>
      <c r="AD147" s="30" t="e">
        <f t="shared" si="39"/>
        <v>#DIV/0!</v>
      </c>
      <c r="AE147" s="30" t="e">
        <f t="shared" si="40"/>
        <v>#DIV/0!</v>
      </c>
      <c r="AF147" s="30" t="e">
        <f t="shared" si="49"/>
        <v>#DIV/0!</v>
      </c>
    </row>
    <row r="148" spans="16:32" x14ac:dyDescent="0.2">
      <c r="P148" s="29" t="e">
        <f t="shared" si="41"/>
        <v>#DIV/0!</v>
      </c>
      <c r="Q148" s="30">
        <f t="shared" si="42"/>
        <v>6</v>
      </c>
      <c r="R148" s="30" t="e">
        <f t="shared" si="43"/>
        <v>#DIV/0!</v>
      </c>
      <c r="X148" s="12">
        <f t="shared" si="44"/>
        <v>19</v>
      </c>
      <c r="Y148" s="30" t="e">
        <f t="shared" si="45"/>
        <v>#DIV/0!</v>
      </c>
      <c r="Z148" s="30" t="e">
        <f t="shared" si="46"/>
        <v>#DIV/0!</v>
      </c>
      <c r="AA148" s="30" t="e">
        <f t="shared" si="47"/>
        <v>#DIV/0!</v>
      </c>
      <c r="AB148" s="30" t="e">
        <f t="shared" si="48"/>
        <v>#DIV/0!</v>
      </c>
      <c r="AC148" s="30" t="e">
        <f t="shared" si="38"/>
        <v>#DIV/0!</v>
      </c>
      <c r="AD148" s="30" t="e">
        <f t="shared" si="39"/>
        <v>#DIV/0!</v>
      </c>
      <c r="AE148" s="30" t="e">
        <f t="shared" si="40"/>
        <v>#DIV/0!</v>
      </c>
      <c r="AF148" s="30" t="e">
        <f t="shared" si="49"/>
        <v>#DIV/0!</v>
      </c>
    </row>
    <row r="149" spans="16:32" x14ac:dyDescent="0.2">
      <c r="P149" s="29" t="e">
        <f t="shared" si="41"/>
        <v>#DIV/0!</v>
      </c>
      <c r="Q149" s="30">
        <f t="shared" si="42"/>
        <v>6</v>
      </c>
      <c r="R149" s="30" t="e">
        <f t="shared" si="43"/>
        <v>#DIV/0!</v>
      </c>
      <c r="X149" s="12">
        <f t="shared" si="44"/>
        <v>19</v>
      </c>
      <c r="Y149" s="30" t="e">
        <f t="shared" si="45"/>
        <v>#DIV/0!</v>
      </c>
      <c r="Z149" s="30" t="e">
        <f t="shared" si="46"/>
        <v>#DIV/0!</v>
      </c>
      <c r="AA149" s="30" t="e">
        <f t="shared" si="47"/>
        <v>#DIV/0!</v>
      </c>
      <c r="AB149" s="30" t="e">
        <f t="shared" si="48"/>
        <v>#DIV/0!</v>
      </c>
      <c r="AC149" s="30" t="e">
        <f t="shared" si="38"/>
        <v>#DIV/0!</v>
      </c>
      <c r="AD149" s="30" t="e">
        <f t="shared" si="39"/>
        <v>#DIV/0!</v>
      </c>
      <c r="AE149" s="30" t="e">
        <f t="shared" si="40"/>
        <v>#DIV/0!</v>
      </c>
      <c r="AF149" s="30" t="e">
        <f t="shared" si="49"/>
        <v>#DIV/0!</v>
      </c>
    </row>
    <row r="150" spans="16:32" x14ac:dyDescent="0.2">
      <c r="P150" s="29" t="e">
        <f t="shared" si="41"/>
        <v>#DIV/0!</v>
      </c>
      <c r="Q150" s="30">
        <f t="shared" si="42"/>
        <v>6</v>
      </c>
      <c r="R150" s="30" t="e">
        <f t="shared" si="43"/>
        <v>#DIV/0!</v>
      </c>
      <c r="X150" s="12">
        <f t="shared" si="44"/>
        <v>19</v>
      </c>
      <c r="Y150" s="30" t="e">
        <f t="shared" si="45"/>
        <v>#DIV/0!</v>
      </c>
      <c r="Z150" s="30" t="e">
        <f t="shared" si="46"/>
        <v>#DIV/0!</v>
      </c>
      <c r="AA150" s="30" t="e">
        <f t="shared" si="47"/>
        <v>#DIV/0!</v>
      </c>
      <c r="AB150" s="30" t="e">
        <f t="shared" si="48"/>
        <v>#DIV/0!</v>
      </c>
      <c r="AC150" s="30" t="e">
        <f t="shared" si="38"/>
        <v>#DIV/0!</v>
      </c>
      <c r="AD150" s="30" t="e">
        <f t="shared" si="39"/>
        <v>#DIV/0!</v>
      </c>
      <c r="AE150" s="30" t="e">
        <f t="shared" si="40"/>
        <v>#DIV/0!</v>
      </c>
      <c r="AF150" s="30" t="e">
        <f t="shared" si="49"/>
        <v>#DIV/0!</v>
      </c>
    </row>
    <row r="151" spans="16:32" x14ac:dyDescent="0.2">
      <c r="P151" s="29" t="e">
        <f t="shared" si="41"/>
        <v>#DIV/0!</v>
      </c>
      <c r="Q151" s="30">
        <f t="shared" si="42"/>
        <v>6</v>
      </c>
      <c r="R151" s="30" t="e">
        <f t="shared" si="43"/>
        <v>#DIV/0!</v>
      </c>
      <c r="X151" s="12">
        <f t="shared" si="44"/>
        <v>19</v>
      </c>
      <c r="Y151" s="30" t="e">
        <f t="shared" si="45"/>
        <v>#DIV/0!</v>
      </c>
      <c r="Z151" s="30" t="e">
        <f t="shared" si="46"/>
        <v>#DIV/0!</v>
      </c>
      <c r="AA151" s="30" t="e">
        <f t="shared" si="47"/>
        <v>#DIV/0!</v>
      </c>
      <c r="AB151" s="30" t="e">
        <f t="shared" si="48"/>
        <v>#DIV/0!</v>
      </c>
      <c r="AC151" s="30" t="e">
        <f t="shared" si="38"/>
        <v>#DIV/0!</v>
      </c>
      <c r="AD151" s="30" t="e">
        <f t="shared" si="39"/>
        <v>#DIV/0!</v>
      </c>
      <c r="AE151" s="30" t="e">
        <f t="shared" si="40"/>
        <v>#DIV/0!</v>
      </c>
      <c r="AF151" s="30" t="e">
        <f t="shared" si="49"/>
        <v>#DIV/0!</v>
      </c>
    </row>
    <row r="152" spans="16:32" x14ac:dyDescent="0.2">
      <c r="P152" s="29" t="e">
        <f t="shared" si="41"/>
        <v>#DIV/0!</v>
      </c>
      <c r="Q152" s="30">
        <f t="shared" si="42"/>
        <v>6</v>
      </c>
      <c r="R152" s="30" t="e">
        <f t="shared" si="43"/>
        <v>#DIV/0!</v>
      </c>
      <c r="X152" s="12">
        <f t="shared" si="44"/>
        <v>19</v>
      </c>
      <c r="Y152" s="30" t="e">
        <f t="shared" si="45"/>
        <v>#DIV/0!</v>
      </c>
      <c r="Z152" s="30" t="e">
        <f t="shared" si="46"/>
        <v>#DIV/0!</v>
      </c>
      <c r="AA152" s="30" t="e">
        <f t="shared" si="47"/>
        <v>#DIV/0!</v>
      </c>
      <c r="AB152" s="30" t="e">
        <f t="shared" si="48"/>
        <v>#DIV/0!</v>
      </c>
      <c r="AC152" s="30" t="e">
        <f t="shared" si="38"/>
        <v>#DIV/0!</v>
      </c>
      <c r="AD152" s="30" t="e">
        <f t="shared" si="39"/>
        <v>#DIV/0!</v>
      </c>
      <c r="AE152" s="30" t="e">
        <f t="shared" si="40"/>
        <v>#DIV/0!</v>
      </c>
      <c r="AF152" s="30" t="e">
        <f t="shared" si="49"/>
        <v>#DIV/0!</v>
      </c>
    </row>
    <row r="153" spans="16:32" x14ac:dyDescent="0.2">
      <c r="P153" s="29" t="e">
        <f t="shared" si="41"/>
        <v>#DIV/0!</v>
      </c>
      <c r="Q153" s="30">
        <f t="shared" si="42"/>
        <v>6</v>
      </c>
      <c r="R153" s="30" t="e">
        <f t="shared" si="43"/>
        <v>#DIV/0!</v>
      </c>
      <c r="X153" s="12">
        <f t="shared" si="44"/>
        <v>19</v>
      </c>
      <c r="Y153" s="30" t="e">
        <f t="shared" si="45"/>
        <v>#DIV/0!</v>
      </c>
      <c r="Z153" s="30" t="e">
        <f t="shared" si="46"/>
        <v>#DIV/0!</v>
      </c>
      <c r="AA153" s="30" t="e">
        <f t="shared" si="47"/>
        <v>#DIV/0!</v>
      </c>
      <c r="AB153" s="30" t="e">
        <f t="shared" si="48"/>
        <v>#DIV/0!</v>
      </c>
      <c r="AC153" s="30" t="e">
        <f t="shared" si="38"/>
        <v>#DIV/0!</v>
      </c>
      <c r="AD153" s="30" t="e">
        <f t="shared" si="39"/>
        <v>#DIV/0!</v>
      </c>
      <c r="AE153" s="30" t="e">
        <f t="shared" si="40"/>
        <v>#DIV/0!</v>
      </c>
      <c r="AF153" s="30" t="e">
        <f t="shared" si="49"/>
        <v>#DIV/0!</v>
      </c>
    </row>
    <row r="154" spans="16:32" x14ac:dyDescent="0.2">
      <c r="P154" s="29" t="e">
        <f t="shared" si="41"/>
        <v>#DIV/0!</v>
      </c>
      <c r="Q154" s="30">
        <f t="shared" si="42"/>
        <v>6</v>
      </c>
      <c r="R154" s="30" t="e">
        <f t="shared" si="43"/>
        <v>#DIV/0!</v>
      </c>
      <c r="X154" s="12">
        <f t="shared" si="44"/>
        <v>19</v>
      </c>
      <c r="Y154" s="30" t="e">
        <f t="shared" si="45"/>
        <v>#DIV/0!</v>
      </c>
      <c r="Z154" s="30" t="e">
        <f t="shared" si="46"/>
        <v>#DIV/0!</v>
      </c>
      <c r="AA154" s="30" t="e">
        <f t="shared" si="47"/>
        <v>#DIV/0!</v>
      </c>
      <c r="AB154" s="30" t="e">
        <f t="shared" si="48"/>
        <v>#DIV/0!</v>
      </c>
      <c r="AC154" s="30" t="e">
        <f t="shared" si="38"/>
        <v>#DIV/0!</v>
      </c>
      <c r="AD154" s="30" t="e">
        <f t="shared" si="39"/>
        <v>#DIV/0!</v>
      </c>
      <c r="AE154" s="30" t="e">
        <f t="shared" si="40"/>
        <v>#DIV/0!</v>
      </c>
      <c r="AF154" s="30" t="e">
        <f t="shared" si="49"/>
        <v>#DIV/0!</v>
      </c>
    </row>
    <row r="155" spans="16:32" x14ac:dyDescent="0.2">
      <c r="P155" s="29" t="e">
        <f t="shared" si="41"/>
        <v>#DIV/0!</v>
      </c>
      <c r="Q155" s="30">
        <f t="shared" si="42"/>
        <v>6</v>
      </c>
      <c r="R155" s="30" t="e">
        <f t="shared" si="43"/>
        <v>#DIV/0!</v>
      </c>
      <c r="X155" s="12">
        <f t="shared" si="44"/>
        <v>19</v>
      </c>
      <c r="Y155" s="30" t="e">
        <f t="shared" si="45"/>
        <v>#DIV/0!</v>
      </c>
      <c r="Z155" s="30" t="e">
        <f t="shared" si="46"/>
        <v>#DIV/0!</v>
      </c>
      <c r="AA155" s="30" t="e">
        <f t="shared" si="47"/>
        <v>#DIV/0!</v>
      </c>
      <c r="AB155" s="30" t="e">
        <f t="shared" si="48"/>
        <v>#DIV/0!</v>
      </c>
      <c r="AC155" s="30" t="e">
        <f t="shared" si="38"/>
        <v>#DIV/0!</v>
      </c>
      <c r="AD155" s="30" t="e">
        <f t="shared" si="39"/>
        <v>#DIV/0!</v>
      </c>
      <c r="AE155" s="30" t="e">
        <f t="shared" si="40"/>
        <v>#DIV/0!</v>
      </c>
      <c r="AF155" s="30" t="e">
        <f t="shared" si="49"/>
        <v>#DIV/0!</v>
      </c>
    </row>
    <row r="156" spans="16:32" x14ac:dyDescent="0.2">
      <c r="P156" s="29" t="e">
        <f t="shared" si="41"/>
        <v>#DIV/0!</v>
      </c>
      <c r="Q156" s="30">
        <f t="shared" si="42"/>
        <v>6</v>
      </c>
      <c r="R156" s="30" t="e">
        <f t="shared" si="43"/>
        <v>#DIV/0!</v>
      </c>
      <c r="X156" s="12">
        <f t="shared" si="44"/>
        <v>19</v>
      </c>
      <c r="Y156" s="30" t="e">
        <f t="shared" si="45"/>
        <v>#DIV/0!</v>
      </c>
      <c r="Z156" s="30" t="e">
        <f t="shared" si="46"/>
        <v>#DIV/0!</v>
      </c>
      <c r="AA156" s="30" t="e">
        <f t="shared" si="47"/>
        <v>#DIV/0!</v>
      </c>
      <c r="AB156" s="30" t="e">
        <f t="shared" si="48"/>
        <v>#DIV/0!</v>
      </c>
      <c r="AC156" s="30" t="e">
        <f t="shared" si="38"/>
        <v>#DIV/0!</v>
      </c>
      <c r="AD156" s="30" t="e">
        <f t="shared" si="39"/>
        <v>#DIV/0!</v>
      </c>
      <c r="AE156" s="30" t="e">
        <f t="shared" si="40"/>
        <v>#DIV/0!</v>
      </c>
      <c r="AF156" s="30" t="e">
        <f t="shared" si="49"/>
        <v>#DIV/0!</v>
      </c>
    </row>
    <row r="157" spans="16:32" x14ac:dyDescent="0.2">
      <c r="P157" s="29" t="e">
        <f t="shared" si="41"/>
        <v>#DIV/0!</v>
      </c>
      <c r="Q157" s="30">
        <f t="shared" si="42"/>
        <v>6</v>
      </c>
      <c r="R157" s="30" t="e">
        <f t="shared" si="43"/>
        <v>#DIV/0!</v>
      </c>
      <c r="X157" s="12">
        <f t="shared" si="44"/>
        <v>19</v>
      </c>
      <c r="Y157" s="30" t="e">
        <f t="shared" si="45"/>
        <v>#DIV/0!</v>
      </c>
      <c r="Z157" s="30" t="e">
        <f t="shared" si="46"/>
        <v>#DIV/0!</v>
      </c>
      <c r="AA157" s="30" t="e">
        <f t="shared" si="47"/>
        <v>#DIV/0!</v>
      </c>
      <c r="AB157" s="30" t="e">
        <f t="shared" si="48"/>
        <v>#DIV/0!</v>
      </c>
      <c r="AC157" s="30" t="e">
        <f t="shared" si="38"/>
        <v>#DIV/0!</v>
      </c>
      <c r="AD157" s="30" t="e">
        <f t="shared" si="39"/>
        <v>#DIV/0!</v>
      </c>
      <c r="AE157" s="30" t="e">
        <f t="shared" si="40"/>
        <v>#DIV/0!</v>
      </c>
      <c r="AF157" s="30" t="e">
        <f t="shared" si="49"/>
        <v>#DIV/0!</v>
      </c>
    </row>
    <row r="158" spans="16:32" x14ac:dyDescent="0.2">
      <c r="P158" s="29" t="e">
        <f t="shared" si="41"/>
        <v>#DIV/0!</v>
      </c>
      <c r="Q158" s="30">
        <f t="shared" si="42"/>
        <v>6</v>
      </c>
      <c r="R158" s="30" t="e">
        <f t="shared" si="43"/>
        <v>#DIV/0!</v>
      </c>
      <c r="X158" s="12">
        <f t="shared" si="44"/>
        <v>19</v>
      </c>
      <c r="Y158" s="30" t="e">
        <f t="shared" si="45"/>
        <v>#DIV/0!</v>
      </c>
      <c r="Z158" s="30" t="e">
        <f t="shared" si="46"/>
        <v>#DIV/0!</v>
      </c>
      <c r="AA158" s="30" t="e">
        <f t="shared" si="47"/>
        <v>#DIV/0!</v>
      </c>
      <c r="AB158" s="30" t="e">
        <f t="shared" si="48"/>
        <v>#DIV/0!</v>
      </c>
      <c r="AC158" s="30" t="e">
        <f t="shared" si="38"/>
        <v>#DIV/0!</v>
      </c>
      <c r="AD158" s="30" t="e">
        <f t="shared" si="39"/>
        <v>#DIV/0!</v>
      </c>
      <c r="AE158" s="30" t="e">
        <f t="shared" si="40"/>
        <v>#DIV/0!</v>
      </c>
      <c r="AF158" s="30" t="e">
        <f t="shared" si="49"/>
        <v>#DIV/0!</v>
      </c>
    </row>
    <row r="159" spans="16:32" x14ac:dyDescent="0.2">
      <c r="P159" s="29" t="e">
        <f t="shared" si="41"/>
        <v>#DIV/0!</v>
      </c>
      <c r="Q159" s="30">
        <f t="shared" si="42"/>
        <v>6</v>
      </c>
      <c r="R159" s="30" t="e">
        <f t="shared" si="43"/>
        <v>#DIV/0!</v>
      </c>
      <c r="X159" s="12">
        <f t="shared" si="44"/>
        <v>19</v>
      </c>
      <c r="Y159" s="30" t="e">
        <f t="shared" si="45"/>
        <v>#DIV/0!</v>
      </c>
      <c r="Z159" s="30" t="e">
        <f t="shared" si="46"/>
        <v>#DIV/0!</v>
      </c>
      <c r="AA159" s="30" t="e">
        <f t="shared" si="47"/>
        <v>#DIV/0!</v>
      </c>
      <c r="AB159" s="30" t="e">
        <f t="shared" si="48"/>
        <v>#DIV/0!</v>
      </c>
      <c r="AC159" s="30" t="e">
        <f t="shared" si="38"/>
        <v>#DIV/0!</v>
      </c>
      <c r="AD159" s="30" t="e">
        <f t="shared" si="39"/>
        <v>#DIV/0!</v>
      </c>
      <c r="AE159" s="30" t="e">
        <f t="shared" si="40"/>
        <v>#DIV/0!</v>
      </c>
      <c r="AF159" s="30" t="e">
        <f t="shared" si="49"/>
        <v>#DIV/0!</v>
      </c>
    </row>
    <row r="160" spans="16:32" x14ac:dyDescent="0.2">
      <c r="P160" s="29" t="e">
        <f t="shared" si="41"/>
        <v>#DIV/0!</v>
      </c>
      <c r="Q160" s="30">
        <f t="shared" si="42"/>
        <v>6</v>
      </c>
      <c r="R160" s="30" t="e">
        <f t="shared" si="43"/>
        <v>#DIV/0!</v>
      </c>
      <c r="X160" s="12">
        <f t="shared" si="44"/>
        <v>19</v>
      </c>
      <c r="Y160" s="30" t="e">
        <f t="shared" si="45"/>
        <v>#DIV/0!</v>
      </c>
      <c r="Z160" s="30" t="e">
        <f t="shared" si="46"/>
        <v>#DIV/0!</v>
      </c>
      <c r="AA160" s="30" t="e">
        <f t="shared" si="47"/>
        <v>#DIV/0!</v>
      </c>
      <c r="AB160" s="30" t="e">
        <f t="shared" si="48"/>
        <v>#DIV/0!</v>
      </c>
      <c r="AC160" s="30" t="e">
        <f t="shared" si="38"/>
        <v>#DIV/0!</v>
      </c>
      <c r="AD160" s="30" t="e">
        <f t="shared" si="39"/>
        <v>#DIV/0!</v>
      </c>
      <c r="AE160" s="30" t="e">
        <f t="shared" si="40"/>
        <v>#DIV/0!</v>
      </c>
      <c r="AF160" s="30" t="e">
        <f t="shared" si="49"/>
        <v>#DIV/0!</v>
      </c>
    </row>
    <row r="161" spans="16:32" x14ac:dyDescent="0.2">
      <c r="P161" s="29" t="e">
        <f t="shared" si="41"/>
        <v>#DIV/0!</v>
      </c>
      <c r="Q161" s="30">
        <f t="shared" si="42"/>
        <v>6</v>
      </c>
      <c r="R161" s="30" t="e">
        <f t="shared" si="43"/>
        <v>#DIV/0!</v>
      </c>
      <c r="X161" s="12">
        <f t="shared" si="44"/>
        <v>19</v>
      </c>
      <c r="Y161" s="30" t="e">
        <f t="shared" si="45"/>
        <v>#DIV/0!</v>
      </c>
      <c r="Z161" s="30" t="e">
        <f t="shared" si="46"/>
        <v>#DIV/0!</v>
      </c>
      <c r="AA161" s="30" t="e">
        <f t="shared" si="47"/>
        <v>#DIV/0!</v>
      </c>
      <c r="AB161" s="30" t="e">
        <f t="shared" si="48"/>
        <v>#DIV/0!</v>
      </c>
      <c r="AC161" s="30" t="e">
        <f t="shared" si="38"/>
        <v>#DIV/0!</v>
      </c>
      <c r="AD161" s="30" t="e">
        <f t="shared" si="39"/>
        <v>#DIV/0!</v>
      </c>
      <c r="AE161" s="30" t="e">
        <f t="shared" si="40"/>
        <v>#DIV/0!</v>
      </c>
      <c r="AF161" s="30" t="e">
        <f t="shared" si="49"/>
        <v>#DIV/0!</v>
      </c>
    </row>
    <row r="162" spans="16:32" x14ac:dyDescent="0.2">
      <c r="P162" s="29" t="e">
        <f t="shared" si="41"/>
        <v>#DIV/0!</v>
      </c>
      <c r="Q162" s="30">
        <f t="shared" si="42"/>
        <v>6</v>
      </c>
      <c r="R162" s="30" t="e">
        <f t="shared" si="43"/>
        <v>#DIV/0!</v>
      </c>
      <c r="X162" s="12">
        <f t="shared" si="44"/>
        <v>19</v>
      </c>
      <c r="Y162" s="30" t="e">
        <f t="shared" si="45"/>
        <v>#DIV/0!</v>
      </c>
      <c r="Z162" s="30" t="e">
        <f t="shared" si="46"/>
        <v>#DIV/0!</v>
      </c>
      <c r="AA162" s="30" t="e">
        <f t="shared" si="47"/>
        <v>#DIV/0!</v>
      </c>
      <c r="AB162" s="30" t="e">
        <f t="shared" si="48"/>
        <v>#DIV/0!</v>
      </c>
      <c r="AC162" s="30" t="e">
        <f t="shared" si="38"/>
        <v>#DIV/0!</v>
      </c>
      <c r="AD162" s="30" t="e">
        <f t="shared" si="39"/>
        <v>#DIV/0!</v>
      </c>
      <c r="AE162" s="30" t="e">
        <f t="shared" si="40"/>
        <v>#DIV/0!</v>
      </c>
      <c r="AF162" s="30" t="e">
        <f t="shared" si="49"/>
        <v>#DIV/0!</v>
      </c>
    </row>
    <row r="163" spans="16:32" x14ac:dyDescent="0.2">
      <c r="P163" s="29" t="e">
        <f t="shared" si="41"/>
        <v>#DIV/0!</v>
      </c>
      <c r="Q163" s="30">
        <f t="shared" si="42"/>
        <v>6</v>
      </c>
      <c r="R163" s="30" t="e">
        <f t="shared" si="43"/>
        <v>#DIV/0!</v>
      </c>
      <c r="X163" s="12">
        <f t="shared" si="44"/>
        <v>19</v>
      </c>
      <c r="Y163" s="30" t="e">
        <f t="shared" si="45"/>
        <v>#DIV/0!</v>
      </c>
      <c r="Z163" s="30" t="e">
        <f t="shared" si="46"/>
        <v>#DIV/0!</v>
      </c>
      <c r="AA163" s="30" t="e">
        <f t="shared" si="47"/>
        <v>#DIV/0!</v>
      </c>
      <c r="AB163" s="30" t="e">
        <f t="shared" si="48"/>
        <v>#DIV/0!</v>
      </c>
      <c r="AC163" s="30" t="e">
        <f t="shared" si="38"/>
        <v>#DIV/0!</v>
      </c>
      <c r="AD163" s="30" t="e">
        <f t="shared" si="39"/>
        <v>#DIV/0!</v>
      </c>
      <c r="AE163" s="30" t="e">
        <f t="shared" si="40"/>
        <v>#DIV/0!</v>
      </c>
      <c r="AF163" s="30" t="e">
        <f t="shared" si="49"/>
        <v>#DIV/0!</v>
      </c>
    </row>
    <row r="164" spans="16:32" x14ac:dyDescent="0.2">
      <c r="P164" s="29" t="e">
        <f t="shared" si="41"/>
        <v>#DIV/0!</v>
      </c>
      <c r="Q164" s="30">
        <f t="shared" si="42"/>
        <v>6</v>
      </c>
      <c r="R164" s="30" t="e">
        <f t="shared" si="43"/>
        <v>#DIV/0!</v>
      </c>
      <c r="X164" s="12">
        <f t="shared" si="44"/>
        <v>19</v>
      </c>
      <c r="Y164" s="30" t="e">
        <f t="shared" si="45"/>
        <v>#DIV/0!</v>
      </c>
      <c r="Z164" s="30" t="e">
        <f t="shared" si="46"/>
        <v>#DIV/0!</v>
      </c>
      <c r="AA164" s="30" t="e">
        <f t="shared" si="47"/>
        <v>#DIV/0!</v>
      </c>
      <c r="AB164" s="30" t="e">
        <f t="shared" si="48"/>
        <v>#DIV/0!</v>
      </c>
      <c r="AC164" s="30" t="e">
        <f t="shared" si="38"/>
        <v>#DIV/0!</v>
      </c>
      <c r="AD164" s="30" t="e">
        <f t="shared" si="39"/>
        <v>#DIV/0!</v>
      </c>
      <c r="AE164" s="30" t="e">
        <f t="shared" si="40"/>
        <v>#DIV/0!</v>
      </c>
      <c r="AF164" s="30" t="e">
        <f t="shared" si="49"/>
        <v>#DIV/0!</v>
      </c>
    </row>
    <row r="165" spans="16:32" x14ac:dyDescent="0.2">
      <c r="P165" s="29" t="e">
        <f t="shared" si="41"/>
        <v>#DIV/0!</v>
      </c>
      <c r="Q165" s="30">
        <f t="shared" si="42"/>
        <v>6</v>
      </c>
      <c r="R165" s="30" t="e">
        <f t="shared" si="43"/>
        <v>#DIV/0!</v>
      </c>
      <c r="X165" s="12">
        <f t="shared" si="44"/>
        <v>19</v>
      </c>
      <c r="Y165" s="30" t="e">
        <f t="shared" si="45"/>
        <v>#DIV/0!</v>
      </c>
      <c r="Z165" s="30" t="e">
        <f t="shared" si="46"/>
        <v>#DIV/0!</v>
      </c>
      <c r="AA165" s="30" t="e">
        <f t="shared" si="47"/>
        <v>#DIV/0!</v>
      </c>
      <c r="AB165" s="30" t="e">
        <f t="shared" si="48"/>
        <v>#DIV/0!</v>
      </c>
      <c r="AC165" s="30" t="e">
        <f t="shared" si="38"/>
        <v>#DIV/0!</v>
      </c>
      <c r="AD165" s="30" t="e">
        <f t="shared" si="39"/>
        <v>#DIV/0!</v>
      </c>
      <c r="AE165" s="30" t="e">
        <f t="shared" si="40"/>
        <v>#DIV/0!</v>
      </c>
      <c r="AF165" s="30" t="e">
        <f t="shared" si="49"/>
        <v>#DIV/0!</v>
      </c>
    </row>
    <row r="166" spans="16:32" x14ac:dyDescent="0.2">
      <c r="P166" s="29" t="e">
        <f t="shared" si="41"/>
        <v>#DIV/0!</v>
      </c>
      <c r="Q166" s="30">
        <f t="shared" si="42"/>
        <v>6</v>
      </c>
      <c r="R166" s="30" t="e">
        <f t="shared" si="43"/>
        <v>#DIV/0!</v>
      </c>
      <c r="X166" s="12">
        <f t="shared" si="44"/>
        <v>19</v>
      </c>
      <c r="Y166" s="30" t="e">
        <f t="shared" si="45"/>
        <v>#DIV/0!</v>
      </c>
      <c r="Z166" s="30" t="e">
        <f t="shared" si="46"/>
        <v>#DIV/0!</v>
      </c>
      <c r="AA166" s="30" t="e">
        <f t="shared" si="47"/>
        <v>#DIV/0!</v>
      </c>
      <c r="AB166" s="30" t="e">
        <f t="shared" si="48"/>
        <v>#DIV/0!</v>
      </c>
      <c r="AC166" s="30" t="e">
        <f t="shared" si="38"/>
        <v>#DIV/0!</v>
      </c>
      <c r="AD166" s="30" t="e">
        <f t="shared" si="39"/>
        <v>#DIV/0!</v>
      </c>
      <c r="AE166" s="30" t="e">
        <f t="shared" si="40"/>
        <v>#DIV/0!</v>
      </c>
      <c r="AF166" s="30" t="e">
        <f t="shared" si="49"/>
        <v>#DIV/0!</v>
      </c>
    </row>
    <row r="167" spans="16:32" x14ac:dyDescent="0.2">
      <c r="P167" s="29" t="e">
        <f t="shared" si="41"/>
        <v>#DIV/0!</v>
      </c>
      <c r="Q167" s="30">
        <f t="shared" si="42"/>
        <v>6</v>
      </c>
      <c r="R167" s="30" t="e">
        <f t="shared" si="43"/>
        <v>#DIV/0!</v>
      </c>
      <c r="X167" s="12">
        <f t="shared" si="44"/>
        <v>19</v>
      </c>
      <c r="Y167" s="30" t="e">
        <f t="shared" si="45"/>
        <v>#DIV/0!</v>
      </c>
      <c r="Z167" s="30" t="e">
        <f t="shared" si="46"/>
        <v>#DIV/0!</v>
      </c>
      <c r="AA167" s="30" t="e">
        <f t="shared" si="47"/>
        <v>#DIV/0!</v>
      </c>
      <c r="AB167" s="30" t="e">
        <f t="shared" si="48"/>
        <v>#DIV/0!</v>
      </c>
      <c r="AC167" s="30" t="e">
        <f t="shared" si="38"/>
        <v>#DIV/0!</v>
      </c>
      <c r="AD167" s="30" t="e">
        <f t="shared" si="39"/>
        <v>#DIV/0!</v>
      </c>
      <c r="AE167" s="30" t="e">
        <f t="shared" si="40"/>
        <v>#DIV/0!</v>
      </c>
      <c r="AF167" s="30" t="e">
        <f t="shared" si="49"/>
        <v>#DIV/0!</v>
      </c>
    </row>
    <row r="168" spans="16:32" x14ac:dyDescent="0.2">
      <c r="P168" s="29" t="e">
        <f t="shared" si="41"/>
        <v>#DIV/0!</v>
      </c>
      <c r="Q168" s="30">
        <f t="shared" si="42"/>
        <v>6</v>
      </c>
      <c r="R168" s="30" t="e">
        <f t="shared" si="43"/>
        <v>#DIV/0!</v>
      </c>
      <c r="X168" s="12">
        <f t="shared" si="44"/>
        <v>19</v>
      </c>
      <c r="Y168" s="30" t="e">
        <f t="shared" si="45"/>
        <v>#DIV/0!</v>
      </c>
      <c r="Z168" s="30" t="e">
        <f t="shared" si="46"/>
        <v>#DIV/0!</v>
      </c>
      <c r="AA168" s="30" t="e">
        <f t="shared" si="47"/>
        <v>#DIV/0!</v>
      </c>
      <c r="AB168" s="30" t="e">
        <f t="shared" si="48"/>
        <v>#DIV/0!</v>
      </c>
      <c r="AC168" s="30" t="e">
        <f t="shared" si="38"/>
        <v>#DIV/0!</v>
      </c>
      <c r="AD168" s="30" t="e">
        <f t="shared" si="39"/>
        <v>#DIV/0!</v>
      </c>
      <c r="AE168" s="30" t="e">
        <f t="shared" si="40"/>
        <v>#DIV/0!</v>
      </c>
      <c r="AF168" s="30" t="e">
        <f t="shared" si="49"/>
        <v>#DIV/0!</v>
      </c>
    </row>
    <row r="169" spans="16:32" x14ac:dyDescent="0.2">
      <c r="P169" s="29" t="e">
        <f t="shared" si="41"/>
        <v>#DIV/0!</v>
      </c>
      <c r="Q169" s="30">
        <f t="shared" si="42"/>
        <v>6</v>
      </c>
      <c r="R169" s="30" t="e">
        <f t="shared" si="43"/>
        <v>#DIV/0!</v>
      </c>
      <c r="X169" s="12">
        <f t="shared" si="44"/>
        <v>19</v>
      </c>
      <c r="Y169" s="30" t="e">
        <f t="shared" si="45"/>
        <v>#DIV/0!</v>
      </c>
      <c r="Z169" s="30" t="e">
        <f t="shared" si="46"/>
        <v>#DIV/0!</v>
      </c>
      <c r="AA169" s="30" t="e">
        <f t="shared" si="47"/>
        <v>#DIV/0!</v>
      </c>
      <c r="AB169" s="30" t="e">
        <f t="shared" si="48"/>
        <v>#DIV/0!</v>
      </c>
      <c r="AC169" s="30" t="e">
        <f t="shared" si="38"/>
        <v>#DIV/0!</v>
      </c>
      <c r="AD169" s="30" t="e">
        <f t="shared" si="39"/>
        <v>#DIV/0!</v>
      </c>
      <c r="AE169" s="30" t="e">
        <f t="shared" si="40"/>
        <v>#DIV/0!</v>
      </c>
      <c r="AF169" s="30" t="e">
        <f t="shared" si="49"/>
        <v>#DIV/0!</v>
      </c>
    </row>
    <row r="170" spans="16:32" x14ac:dyDescent="0.2">
      <c r="P170" s="29" t="e">
        <f t="shared" si="41"/>
        <v>#DIV/0!</v>
      </c>
      <c r="Q170" s="30">
        <f t="shared" si="42"/>
        <v>6</v>
      </c>
      <c r="R170" s="30" t="e">
        <f t="shared" si="43"/>
        <v>#DIV/0!</v>
      </c>
      <c r="X170" s="12">
        <f t="shared" si="44"/>
        <v>19</v>
      </c>
      <c r="Y170" s="30" t="e">
        <f t="shared" si="45"/>
        <v>#DIV/0!</v>
      </c>
      <c r="Z170" s="30" t="e">
        <f t="shared" si="46"/>
        <v>#DIV/0!</v>
      </c>
      <c r="AA170" s="30" t="e">
        <f t="shared" si="47"/>
        <v>#DIV/0!</v>
      </c>
      <c r="AB170" s="30" t="e">
        <f t="shared" si="48"/>
        <v>#DIV/0!</v>
      </c>
      <c r="AC170" s="30" t="e">
        <f t="shared" si="38"/>
        <v>#DIV/0!</v>
      </c>
      <c r="AD170" s="30" t="e">
        <f t="shared" si="39"/>
        <v>#DIV/0!</v>
      </c>
      <c r="AE170" s="30" t="e">
        <f t="shared" si="40"/>
        <v>#DIV/0!</v>
      </c>
      <c r="AF170" s="30" t="e">
        <f t="shared" si="49"/>
        <v>#DIV/0!</v>
      </c>
    </row>
    <row r="171" spans="16:32" x14ac:dyDescent="0.2">
      <c r="P171" s="29" t="e">
        <f t="shared" si="41"/>
        <v>#DIV/0!</v>
      </c>
      <c r="Q171" s="30">
        <f t="shared" si="42"/>
        <v>6</v>
      </c>
      <c r="R171" s="30" t="e">
        <f t="shared" si="43"/>
        <v>#DIV/0!</v>
      </c>
      <c r="X171" s="12">
        <f t="shared" si="44"/>
        <v>19</v>
      </c>
      <c r="Y171" s="30" t="e">
        <f t="shared" si="45"/>
        <v>#DIV/0!</v>
      </c>
      <c r="Z171" s="30" t="e">
        <f t="shared" si="46"/>
        <v>#DIV/0!</v>
      </c>
      <c r="AA171" s="30" t="e">
        <f t="shared" si="47"/>
        <v>#DIV/0!</v>
      </c>
      <c r="AB171" s="30" t="e">
        <f t="shared" si="48"/>
        <v>#DIV/0!</v>
      </c>
      <c r="AC171" s="30" t="e">
        <f t="shared" si="38"/>
        <v>#DIV/0!</v>
      </c>
      <c r="AD171" s="30" t="e">
        <f t="shared" si="39"/>
        <v>#DIV/0!</v>
      </c>
      <c r="AE171" s="30" t="e">
        <f t="shared" si="40"/>
        <v>#DIV/0!</v>
      </c>
      <c r="AF171" s="30" t="e">
        <f t="shared" si="49"/>
        <v>#DIV/0!</v>
      </c>
    </row>
    <row r="172" spans="16:32" x14ac:dyDescent="0.2">
      <c r="P172" s="29" t="e">
        <f t="shared" si="41"/>
        <v>#DIV/0!</v>
      </c>
      <c r="Q172" s="30">
        <f t="shared" si="42"/>
        <v>6</v>
      </c>
      <c r="R172" s="30" t="e">
        <f t="shared" si="43"/>
        <v>#DIV/0!</v>
      </c>
      <c r="X172" s="12">
        <f t="shared" si="44"/>
        <v>19</v>
      </c>
      <c r="Y172" s="30" t="e">
        <f t="shared" si="45"/>
        <v>#DIV/0!</v>
      </c>
      <c r="Z172" s="30" t="e">
        <f t="shared" si="46"/>
        <v>#DIV/0!</v>
      </c>
      <c r="AA172" s="30" t="e">
        <f t="shared" si="47"/>
        <v>#DIV/0!</v>
      </c>
      <c r="AB172" s="30" t="e">
        <f t="shared" si="48"/>
        <v>#DIV/0!</v>
      </c>
      <c r="AC172" s="30" t="e">
        <f t="shared" si="38"/>
        <v>#DIV/0!</v>
      </c>
      <c r="AD172" s="30" t="e">
        <f t="shared" si="39"/>
        <v>#DIV/0!</v>
      </c>
      <c r="AE172" s="30" t="e">
        <f t="shared" si="40"/>
        <v>#DIV/0!</v>
      </c>
      <c r="AF172" s="30" t="e">
        <f t="shared" si="49"/>
        <v>#DIV/0!</v>
      </c>
    </row>
    <row r="173" spans="16:32" x14ac:dyDescent="0.2">
      <c r="P173" s="29" t="e">
        <f t="shared" si="41"/>
        <v>#DIV/0!</v>
      </c>
      <c r="Q173" s="30">
        <f t="shared" si="42"/>
        <v>6</v>
      </c>
      <c r="R173" s="30" t="e">
        <f t="shared" si="43"/>
        <v>#DIV/0!</v>
      </c>
      <c r="X173" s="12">
        <f t="shared" si="44"/>
        <v>19</v>
      </c>
      <c r="Y173" s="30" t="e">
        <f t="shared" si="45"/>
        <v>#DIV/0!</v>
      </c>
      <c r="Z173" s="30" t="e">
        <f t="shared" si="46"/>
        <v>#DIV/0!</v>
      </c>
      <c r="AA173" s="30" t="e">
        <f t="shared" si="47"/>
        <v>#DIV/0!</v>
      </c>
      <c r="AB173" s="30" t="e">
        <f t="shared" si="48"/>
        <v>#DIV/0!</v>
      </c>
      <c r="AC173" s="30" t="e">
        <f t="shared" si="38"/>
        <v>#DIV/0!</v>
      </c>
      <c r="AD173" s="30" t="e">
        <f t="shared" si="39"/>
        <v>#DIV/0!</v>
      </c>
      <c r="AE173" s="30" t="e">
        <f t="shared" si="40"/>
        <v>#DIV/0!</v>
      </c>
      <c r="AF173" s="30" t="e">
        <f t="shared" si="49"/>
        <v>#DIV/0!</v>
      </c>
    </row>
    <row r="174" spans="16:32" x14ac:dyDescent="0.2">
      <c r="P174" s="29" t="e">
        <f t="shared" si="41"/>
        <v>#DIV/0!</v>
      </c>
      <c r="Q174" s="30">
        <f t="shared" si="42"/>
        <v>6</v>
      </c>
      <c r="R174" s="30" t="e">
        <f t="shared" si="43"/>
        <v>#DIV/0!</v>
      </c>
      <c r="X174" s="12">
        <f t="shared" si="44"/>
        <v>19</v>
      </c>
      <c r="Y174" s="30" t="e">
        <f t="shared" si="45"/>
        <v>#DIV/0!</v>
      </c>
      <c r="Z174" s="30" t="e">
        <f t="shared" si="46"/>
        <v>#DIV/0!</v>
      </c>
      <c r="AA174" s="30" t="e">
        <f t="shared" si="47"/>
        <v>#DIV/0!</v>
      </c>
      <c r="AB174" s="30" t="e">
        <f t="shared" si="48"/>
        <v>#DIV/0!</v>
      </c>
      <c r="AC174" s="30" t="e">
        <f t="shared" si="38"/>
        <v>#DIV/0!</v>
      </c>
      <c r="AD174" s="30" t="e">
        <f t="shared" si="39"/>
        <v>#DIV/0!</v>
      </c>
      <c r="AE174" s="30" t="e">
        <f t="shared" si="40"/>
        <v>#DIV/0!</v>
      </c>
      <c r="AF174" s="30" t="e">
        <f t="shared" si="49"/>
        <v>#DIV/0!</v>
      </c>
    </row>
    <row r="175" spans="16:32" x14ac:dyDescent="0.2">
      <c r="P175" s="29" t="e">
        <f t="shared" si="41"/>
        <v>#DIV/0!</v>
      </c>
      <c r="Q175" s="30">
        <f t="shared" si="42"/>
        <v>6</v>
      </c>
      <c r="R175" s="30" t="e">
        <f t="shared" si="43"/>
        <v>#DIV/0!</v>
      </c>
      <c r="X175" s="12">
        <f t="shared" si="44"/>
        <v>19</v>
      </c>
      <c r="Y175" s="30" t="e">
        <f t="shared" si="45"/>
        <v>#DIV/0!</v>
      </c>
      <c r="Z175" s="30" t="e">
        <f t="shared" si="46"/>
        <v>#DIV/0!</v>
      </c>
      <c r="AA175" s="30" t="e">
        <f t="shared" si="47"/>
        <v>#DIV/0!</v>
      </c>
      <c r="AB175" s="30" t="e">
        <f t="shared" si="48"/>
        <v>#DIV/0!</v>
      </c>
      <c r="AC175" s="30" t="e">
        <f t="shared" ref="AC175:AC238" si="50">ROUND(L175/($L175+$M175+$N175)*(20-$X175), 0)</f>
        <v>#DIV/0!</v>
      </c>
      <c r="AD175" s="30" t="e">
        <f t="shared" ref="AD175:AD238" si="51">ROUND(M175/($L175+$M175+$N175)*(20-$X175), 0)</f>
        <v>#DIV/0!</v>
      </c>
      <c r="AE175" s="30" t="e">
        <f t="shared" ref="AE175:AE238" si="52">ROUND(N175/($L175+$M175+$N175)*(20-$X175), 0)</f>
        <v>#DIV/0!</v>
      </c>
      <c r="AF175" s="30" t="e">
        <f t="shared" si="49"/>
        <v>#DIV/0!</v>
      </c>
    </row>
    <row r="176" spans="16:32" x14ac:dyDescent="0.2">
      <c r="P176" s="29" t="e">
        <f t="shared" ref="P176:P239" si="53">O176/D176*9</f>
        <v>#DIV/0!</v>
      </c>
      <c r="Q176" s="30">
        <f t="shared" ref="Q176:Q239" si="54">IF(G176&lt;=1.1,6,IF(G176&lt;=1.2,5,IF(G176&lt;=1.3,4,IF(G176&lt;=1.4,3,IF(G176&lt;=1.5,2,1)))))</f>
        <v>6</v>
      </c>
      <c r="R176" s="30" t="e">
        <f t="shared" ref="R176:R239" si="55">ROUND(E176/C176, 0)</f>
        <v>#DIV/0!</v>
      </c>
      <c r="X176" s="12">
        <f t="shared" ref="X176:X239" si="56">IF(F176&lt;1.25, 19, IF(F176&lt;2, 18, IF(F176&lt;3, 17, IF(F176&lt;4.5, 16, IF(F176&lt;6, 15, 14)))))</f>
        <v>19</v>
      </c>
      <c r="Y176" s="30" t="e">
        <f t="shared" ref="Y176:Y239" si="57">ROUND($X176*H176/($H176+$I176+$J176+$K176), 0)</f>
        <v>#DIV/0!</v>
      </c>
      <c r="Z176" s="30" t="e">
        <f t="shared" ref="Z176:Z239" si="58">ROUND($X176*I176/($H176+$I176+$J176+$K176), 0)</f>
        <v>#DIV/0!</v>
      </c>
      <c r="AA176" s="30" t="e">
        <f t="shared" ref="AA176:AA239" si="59">ROUND($X176*J176/($H176+$I176+$J176+$K176), 0)</f>
        <v>#DIV/0!</v>
      </c>
      <c r="AB176" s="30" t="e">
        <f t="shared" ref="AB176:AB239" si="60">ROUND($X176*K176/($H176+$I176+$J176+$K176), 0)</f>
        <v>#DIV/0!</v>
      </c>
      <c r="AC176" s="30" t="e">
        <f t="shared" si="50"/>
        <v>#DIV/0!</v>
      </c>
      <c r="AD176" s="30" t="e">
        <f t="shared" si="51"/>
        <v>#DIV/0!</v>
      </c>
      <c r="AE176" s="30" t="e">
        <f t="shared" si="52"/>
        <v>#DIV/0!</v>
      </c>
      <c r="AF176" s="30" t="e">
        <f t="shared" ref="AF176:AF239" si="61">IF(P176&lt;0.5,28,IF(P176&lt;0.7,27,IF(P176&lt;0.8,26,IF(P176&lt;1,25,IF(P176&lt;1.1,24,IF(P176&lt;1.25,23,IF(P176&lt;1.5,22,IF(P176&lt;1.75,21,IF(P176&lt;2,21,20)))))))))</f>
        <v>#DIV/0!</v>
      </c>
    </row>
    <row r="177" spans="16:32" x14ac:dyDescent="0.2">
      <c r="P177" s="29" t="e">
        <f t="shared" si="53"/>
        <v>#DIV/0!</v>
      </c>
      <c r="Q177" s="30">
        <f t="shared" si="54"/>
        <v>6</v>
      </c>
      <c r="R177" s="30" t="e">
        <f t="shared" si="55"/>
        <v>#DIV/0!</v>
      </c>
      <c r="X177" s="12">
        <f t="shared" si="56"/>
        <v>19</v>
      </c>
      <c r="Y177" s="30" t="e">
        <f t="shared" si="57"/>
        <v>#DIV/0!</v>
      </c>
      <c r="Z177" s="30" t="e">
        <f t="shared" si="58"/>
        <v>#DIV/0!</v>
      </c>
      <c r="AA177" s="30" t="e">
        <f t="shared" si="59"/>
        <v>#DIV/0!</v>
      </c>
      <c r="AB177" s="30" t="e">
        <f t="shared" si="60"/>
        <v>#DIV/0!</v>
      </c>
      <c r="AC177" s="30" t="e">
        <f t="shared" si="50"/>
        <v>#DIV/0!</v>
      </c>
      <c r="AD177" s="30" t="e">
        <f t="shared" si="51"/>
        <v>#DIV/0!</v>
      </c>
      <c r="AE177" s="30" t="e">
        <f t="shared" si="52"/>
        <v>#DIV/0!</v>
      </c>
      <c r="AF177" s="30" t="e">
        <f t="shared" si="61"/>
        <v>#DIV/0!</v>
      </c>
    </row>
    <row r="178" spans="16:32" x14ac:dyDescent="0.2">
      <c r="P178" s="29" t="e">
        <f t="shared" si="53"/>
        <v>#DIV/0!</v>
      </c>
      <c r="Q178" s="30">
        <f t="shared" si="54"/>
        <v>6</v>
      </c>
      <c r="R178" s="30" t="e">
        <f t="shared" si="55"/>
        <v>#DIV/0!</v>
      </c>
      <c r="X178" s="12">
        <f t="shared" si="56"/>
        <v>19</v>
      </c>
      <c r="Y178" s="30" t="e">
        <f t="shared" si="57"/>
        <v>#DIV/0!</v>
      </c>
      <c r="Z178" s="30" t="e">
        <f t="shared" si="58"/>
        <v>#DIV/0!</v>
      </c>
      <c r="AA178" s="30" t="e">
        <f t="shared" si="59"/>
        <v>#DIV/0!</v>
      </c>
      <c r="AB178" s="30" t="e">
        <f t="shared" si="60"/>
        <v>#DIV/0!</v>
      </c>
      <c r="AC178" s="30" t="e">
        <f t="shared" si="50"/>
        <v>#DIV/0!</v>
      </c>
      <c r="AD178" s="30" t="e">
        <f t="shared" si="51"/>
        <v>#DIV/0!</v>
      </c>
      <c r="AE178" s="30" t="e">
        <f t="shared" si="52"/>
        <v>#DIV/0!</v>
      </c>
      <c r="AF178" s="30" t="e">
        <f t="shared" si="61"/>
        <v>#DIV/0!</v>
      </c>
    </row>
    <row r="179" spans="16:32" x14ac:dyDescent="0.2">
      <c r="P179" s="29" t="e">
        <f t="shared" si="53"/>
        <v>#DIV/0!</v>
      </c>
      <c r="Q179" s="30">
        <f t="shared" si="54"/>
        <v>6</v>
      </c>
      <c r="R179" s="30" t="e">
        <f t="shared" si="55"/>
        <v>#DIV/0!</v>
      </c>
      <c r="X179" s="12">
        <f t="shared" si="56"/>
        <v>19</v>
      </c>
      <c r="Y179" s="30" t="e">
        <f t="shared" si="57"/>
        <v>#DIV/0!</v>
      </c>
      <c r="Z179" s="30" t="e">
        <f t="shared" si="58"/>
        <v>#DIV/0!</v>
      </c>
      <c r="AA179" s="30" t="e">
        <f t="shared" si="59"/>
        <v>#DIV/0!</v>
      </c>
      <c r="AB179" s="30" t="e">
        <f t="shared" si="60"/>
        <v>#DIV/0!</v>
      </c>
      <c r="AC179" s="30" t="e">
        <f t="shared" si="50"/>
        <v>#DIV/0!</v>
      </c>
      <c r="AD179" s="30" t="e">
        <f t="shared" si="51"/>
        <v>#DIV/0!</v>
      </c>
      <c r="AE179" s="30" t="e">
        <f t="shared" si="52"/>
        <v>#DIV/0!</v>
      </c>
      <c r="AF179" s="30" t="e">
        <f t="shared" si="61"/>
        <v>#DIV/0!</v>
      </c>
    </row>
    <row r="180" spans="16:32" x14ac:dyDescent="0.2">
      <c r="P180" s="29" t="e">
        <f t="shared" si="53"/>
        <v>#DIV/0!</v>
      </c>
      <c r="Q180" s="30">
        <f t="shared" si="54"/>
        <v>6</v>
      </c>
      <c r="R180" s="30" t="e">
        <f t="shared" si="55"/>
        <v>#DIV/0!</v>
      </c>
      <c r="X180" s="12">
        <f t="shared" si="56"/>
        <v>19</v>
      </c>
      <c r="Y180" s="30" t="e">
        <f t="shared" si="57"/>
        <v>#DIV/0!</v>
      </c>
      <c r="Z180" s="30" t="e">
        <f t="shared" si="58"/>
        <v>#DIV/0!</v>
      </c>
      <c r="AA180" s="30" t="e">
        <f t="shared" si="59"/>
        <v>#DIV/0!</v>
      </c>
      <c r="AB180" s="30" t="e">
        <f t="shared" si="60"/>
        <v>#DIV/0!</v>
      </c>
      <c r="AC180" s="30" t="e">
        <f t="shared" si="50"/>
        <v>#DIV/0!</v>
      </c>
      <c r="AD180" s="30" t="e">
        <f t="shared" si="51"/>
        <v>#DIV/0!</v>
      </c>
      <c r="AE180" s="30" t="e">
        <f t="shared" si="52"/>
        <v>#DIV/0!</v>
      </c>
      <c r="AF180" s="30" t="e">
        <f t="shared" si="61"/>
        <v>#DIV/0!</v>
      </c>
    </row>
    <row r="181" spans="16:32" x14ac:dyDescent="0.2">
      <c r="P181" s="29" t="e">
        <f t="shared" si="53"/>
        <v>#DIV/0!</v>
      </c>
      <c r="Q181" s="30">
        <f t="shared" si="54"/>
        <v>6</v>
      </c>
      <c r="R181" s="30" t="e">
        <f t="shared" si="55"/>
        <v>#DIV/0!</v>
      </c>
      <c r="X181" s="12">
        <f t="shared" si="56"/>
        <v>19</v>
      </c>
      <c r="Y181" s="30" t="e">
        <f t="shared" si="57"/>
        <v>#DIV/0!</v>
      </c>
      <c r="Z181" s="30" t="e">
        <f t="shared" si="58"/>
        <v>#DIV/0!</v>
      </c>
      <c r="AA181" s="30" t="e">
        <f t="shared" si="59"/>
        <v>#DIV/0!</v>
      </c>
      <c r="AB181" s="30" t="e">
        <f t="shared" si="60"/>
        <v>#DIV/0!</v>
      </c>
      <c r="AC181" s="30" t="e">
        <f t="shared" si="50"/>
        <v>#DIV/0!</v>
      </c>
      <c r="AD181" s="30" t="e">
        <f t="shared" si="51"/>
        <v>#DIV/0!</v>
      </c>
      <c r="AE181" s="30" t="e">
        <f t="shared" si="52"/>
        <v>#DIV/0!</v>
      </c>
      <c r="AF181" s="30" t="e">
        <f t="shared" si="61"/>
        <v>#DIV/0!</v>
      </c>
    </row>
    <row r="182" spans="16:32" x14ac:dyDescent="0.2">
      <c r="P182" s="29" t="e">
        <f t="shared" si="53"/>
        <v>#DIV/0!</v>
      </c>
      <c r="Q182" s="30">
        <f t="shared" si="54"/>
        <v>6</v>
      </c>
      <c r="R182" s="30" t="e">
        <f t="shared" si="55"/>
        <v>#DIV/0!</v>
      </c>
      <c r="X182" s="12">
        <f t="shared" si="56"/>
        <v>19</v>
      </c>
      <c r="Y182" s="30" t="e">
        <f t="shared" si="57"/>
        <v>#DIV/0!</v>
      </c>
      <c r="Z182" s="30" t="e">
        <f t="shared" si="58"/>
        <v>#DIV/0!</v>
      </c>
      <c r="AA182" s="30" t="e">
        <f t="shared" si="59"/>
        <v>#DIV/0!</v>
      </c>
      <c r="AB182" s="30" t="e">
        <f t="shared" si="60"/>
        <v>#DIV/0!</v>
      </c>
      <c r="AC182" s="30" t="e">
        <f t="shared" si="50"/>
        <v>#DIV/0!</v>
      </c>
      <c r="AD182" s="30" t="e">
        <f t="shared" si="51"/>
        <v>#DIV/0!</v>
      </c>
      <c r="AE182" s="30" t="e">
        <f t="shared" si="52"/>
        <v>#DIV/0!</v>
      </c>
      <c r="AF182" s="30" t="e">
        <f t="shared" si="61"/>
        <v>#DIV/0!</v>
      </c>
    </row>
    <row r="183" spans="16:32" x14ac:dyDescent="0.2">
      <c r="P183" s="29" t="e">
        <f t="shared" si="53"/>
        <v>#DIV/0!</v>
      </c>
      <c r="Q183" s="30">
        <f t="shared" si="54"/>
        <v>6</v>
      </c>
      <c r="R183" s="30" t="e">
        <f t="shared" si="55"/>
        <v>#DIV/0!</v>
      </c>
      <c r="X183" s="12">
        <f t="shared" si="56"/>
        <v>19</v>
      </c>
      <c r="Y183" s="30" t="e">
        <f t="shared" si="57"/>
        <v>#DIV/0!</v>
      </c>
      <c r="Z183" s="30" t="e">
        <f t="shared" si="58"/>
        <v>#DIV/0!</v>
      </c>
      <c r="AA183" s="30" t="e">
        <f t="shared" si="59"/>
        <v>#DIV/0!</v>
      </c>
      <c r="AB183" s="30" t="e">
        <f t="shared" si="60"/>
        <v>#DIV/0!</v>
      </c>
      <c r="AC183" s="30" t="e">
        <f t="shared" si="50"/>
        <v>#DIV/0!</v>
      </c>
      <c r="AD183" s="30" t="e">
        <f t="shared" si="51"/>
        <v>#DIV/0!</v>
      </c>
      <c r="AE183" s="30" t="e">
        <f t="shared" si="52"/>
        <v>#DIV/0!</v>
      </c>
      <c r="AF183" s="30" t="e">
        <f t="shared" si="61"/>
        <v>#DIV/0!</v>
      </c>
    </row>
    <row r="184" spans="16:32" x14ac:dyDescent="0.2">
      <c r="P184" s="29" t="e">
        <f t="shared" si="53"/>
        <v>#DIV/0!</v>
      </c>
      <c r="Q184" s="30">
        <f t="shared" si="54"/>
        <v>6</v>
      </c>
      <c r="R184" s="30" t="e">
        <f t="shared" si="55"/>
        <v>#DIV/0!</v>
      </c>
      <c r="X184" s="12">
        <f t="shared" si="56"/>
        <v>19</v>
      </c>
      <c r="Y184" s="30" t="e">
        <f t="shared" si="57"/>
        <v>#DIV/0!</v>
      </c>
      <c r="Z184" s="30" t="e">
        <f t="shared" si="58"/>
        <v>#DIV/0!</v>
      </c>
      <c r="AA184" s="30" t="e">
        <f t="shared" si="59"/>
        <v>#DIV/0!</v>
      </c>
      <c r="AB184" s="30" t="e">
        <f t="shared" si="60"/>
        <v>#DIV/0!</v>
      </c>
      <c r="AC184" s="30" t="e">
        <f t="shared" si="50"/>
        <v>#DIV/0!</v>
      </c>
      <c r="AD184" s="30" t="e">
        <f t="shared" si="51"/>
        <v>#DIV/0!</v>
      </c>
      <c r="AE184" s="30" t="e">
        <f t="shared" si="52"/>
        <v>#DIV/0!</v>
      </c>
      <c r="AF184" s="30" t="e">
        <f t="shared" si="61"/>
        <v>#DIV/0!</v>
      </c>
    </row>
    <row r="185" spans="16:32" x14ac:dyDescent="0.2">
      <c r="P185" s="29" t="e">
        <f t="shared" si="53"/>
        <v>#DIV/0!</v>
      </c>
      <c r="Q185" s="30">
        <f t="shared" si="54"/>
        <v>6</v>
      </c>
      <c r="R185" s="30" t="e">
        <f t="shared" si="55"/>
        <v>#DIV/0!</v>
      </c>
      <c r="X185" s="12">
        <f t="shared" si="56"/>
        <v>19</v>
      </c>
      <c r="Y185" s="30" t="e">
        <f t="shared" si="57"/>
        <v>#DIV/0!</v>
      </c>
      <c r="Z185" s="30" t="e">
        <f t="shared" si="58"/>
        <v>#DIV/0!</v>
      </c>
      <c r="AA185" s="30" t="e">
        <f t="shared" si="59"/>
        <v>#DIV/0!</v>
      </c>
      <c r="AB185" s="30" t="e">
        <f t="shared" si="60"/>
        <v>#DIV/0!</v>
      </c>
      <c r="AC185" s="30" t="e">
        <f t="shared" si="50"/>
        <v>#DIV/0!</v>
      </c>
      <c r="AD185" s="30" t="e">
        <f t="shared" si="51"/>
        <v>#DIV/0!</v>
      </c>
      <c r="AE185" s="30" t="e">
        <f t="shared" si="52"/>
        <v>#DIV/0!</v>
      </c>
      <c r="AF185" s="30" t="e">
        <f t="shared" si="61"/>
        <v>#DIV/0!</v>
      </c>
    </row>
    <row r="186" spans="16:32" x14ac:dyDescent="0.2">
      <c r="P186" s="29" t="e">
        <f t="shared" si="53"/>
        <v>#DIV/0!</v>
      </c>
      <c r="Q186" s="30">
        <f t="shared" si="54"/>
        <v>6</v>
      </c>
      <c r="R186" s="30" t="e">
        <f t="shared" si="55"/>
        <v>#DIV/0!</v>
      </c>
      <c r="X186" s="12">
        <f t="shared" si="56"/>
        <v>19</v>
      </c>
      <c r="Y186" s="30" t="e">
        <f t="shared" si="57"/>
        <v>#DIV/0!</v>
      </c>
      <c r="Z186" s="30" t="e">
        <f t="shared" si="58"/>
        <v>#DIV/0!</v>
      </c>
      <c r="AA186" s="30" t="e">
        <f t="shared" si="59"/>
        <v>#DIV/0!</v>
      </c>
      <c r="AB186" s="30" t="e">
        <f t="shared" si="60"/>
        <v>#DIV/0!</v>
      </c>
      <c r="AC186" s="30" t="e">
        <f t="shared" si="50"/>
        <v>#DIV/0!</v>
      </c>
      <c r="AD186" s="30" t="e">
        <f t="shared" si="51"/>
        <v>#DIV/0!</v>
      </c>
      <c r="AE186" s="30" t="e">
        <f t="shared" si="52"/>
        <v>#DIV/0!</v>
      </c>
      <c r="AF186" s="30" t="e">
        <f t="shared" si="61"/>
        <v>#DIV/0!</v>
      </c>
    </row>
    <row r="187" spans="16:32" x14ac:dyDescent="0.2">
      <c r="P187" s="29" t="e">
        <f t="shared" si="53"/>
        <v>#DIV/0!</v>
      </c>
      <c r="Q187" s="30">
        <f t="shared" si="54"/>
        <v>6</v>
      </c>
      <c r="R187" s="30" t="e">
        <f t="shared" si="55"/>
        <v>#DIV/0!</v>
      </c>
      <c r="X187" s="12">
        <f t="shared" si="56"/>
        <v>19</v>
      </c>
      <c r="Y187" s="30" t="e">
        <f t="shared" si="57"/>
        <v>#DIV/0!</v>
      </c>
      <c r="Z187" s="30" t="e">
        <f t="shared" si="58"/>
        <v>#DIV/0!</v>
      </c>
      <c r="AA187" s="30" t="e">
        <f t="shared" si="59"/>
        <v>#DIV/0!</v>
      </c>
      <c r="AB187" s="30" t="e">
        <f t="shared" si="60"/>
        <v>#DIV/0!</v>
      </c>
      <c r="AC187" s="30" t="e">
        <f t="shared" si="50"/>
        <v>#DIV/0!</v>
      </c>
      <c r="AD187" s="30" t="e">
        <f t="shared" si="51"/>
        <v>#DIV/0!</v>
      </c>
      <c r="AE187" s="30" t="e">
        <f t="shared" si="52"/>
        <v>#DIV/0!</v>
      </c>
      <c r="AF187" s="30" t="e">
        <f t="shared" si="61"/>
        <v>#DIV/0!</v>
      </c>
    </row>
    <row r="188" spans="16:32" x14ac:dyDescent="0.2">
      <c r="P188" s="29" t="e">
        <f t="shared" si="53"/>
        <v>#DIV/0!</v>
      </c>
      <c r="Q188" s="30">
        <f t="shared" si="54"/>
        <v>6</v>
      </c>
      <c r="R188" s="30" t="e">
        <f t="shared" si="55"/>
        <v>#DIV/0!</v>
      </c>
      <c r="X188" s="12">
        <f t="shared" si="56"/>
        <v>19</v>
      </c>
      <c r="Y188" s="30" t="e">
        <f t="shared" si="57"/>
        <v>#DIV/0!</v>
      </c>
      <c r="Z188" s="30" t="e">
        <f t="shared" si="58"/>
        <v>#DIV/0!</v>
      </c>
      <c r="AA188" s="30" t="e">
        <f t="shared" si="59"/>
        <v>#DIV/0!</v>
      </c>
      <c r="AB188" s="30" t="e">
        <f t="shared" si="60"/>
        <v>#DIV/0!</v>
      </c>
      <c r="AC188" s="30" t="e">
        <f t="shared" si="50"/>
        <v>#DIV/0!</v>
      </c>
      <c r="AD188" s="30" t="e">
        <f t="shared" si="51"/>
        <v>#DIV/0!</v>
      </c>
      <c r="AE188" s="30" t="e">
        <f t="shared" si="52"/>
        <v>#DIV/0!</v>
      </c>
      <c r="AF188" s="30" t="e">
        <f t="shared" si="61"/>
        <v>#DIV/0!</v>
      </c>
    </row>
    <row r="189" spans="16:32" x14ac:dyDescent="0.2">
      <c r="P189" s="29" t="e">
        <f t="shared" si="53"/>
        <v>#DIV/0!</v>
      </c>
      <c r="Q189" s="30">
        <f t="shared" si="54"/>
        <v>6</v>
      </c>
      <c r="R189" s="30" t="e">
        <f t="shared" si="55"/>
        <v>#DIV/0!</v>
      </c>
      <c r="X189" s="12">
        <f t="shared" si="56"/>
        <v>19</v>
      </c>
      <c r="Y189" s="30" t="e">
        <f t="shared" si="57"/>
        <v>#DIV/0!</v>
      </c>
      <c r="Z189" s="30" t="e">
        <f t="shared" si="58"/>
        <v>#DIV/0!</v>
      </c>
      <c r="AA189" s="30" t="e">
        <f t="shared" si="59"/>
        <v>#DIV/0!</v>
      </c>
      <c r="AB189" s="30" t="e">
        <f t="shared" si="60"/>
        <v>#DIV/0!</v>
      </c>
      <c r="AC189" s="30" t="e">
        <f t="shared" si="50"/>
        <v>#DIV/0!</v>
      </c>
      <c r="AD189" s="30" t="e">
        <f t="shared" si="51"/>
        <v>#DIV/0!</v>
      </c>
      <c r="AE189" s="30" t="e">
        <f t="shared" si="52"/>
        <v>#DIV/0!</v>
      </c>
      <c r="AF189" s="30" t="e">
        <f t="shared" si="61"/>
        <v>#DIV/0!</v>
      </c>
    </row>
    <row r="190" spans="16:32" x14ac:dyDescent="0.2">
      <c r="P190" s="29" t="e">
        <f t="shared" si="53"/>
        <v>#DIV/0!</v>
      </c>
      <c r="Q190" s="30">
        <f t="shared" si="54"/>
        <v>6</v>
      </c>
      <c r="R190" s="30" t="e">
        <f t="shared" si="55"/>
        <v>#DIV/0!</v>
      </c>
      <c r="X190" s="12">
        <f t="shared" si="56"/>
        <v>19</v>
      </c>
      <c r="Y190" s="30" t="e">
        <f t="shared" si="57"/>
        <v>#DIV/0!</v>
      </c>
      <c r="Z190" s="30" t="e">
        <f t="shared" si="58"/>
        <v>#DIV/0!</v>
      </c>
      <c r="AA190" s="30" t="e">
        <f t="shared" si="59"/>
        <v>#DIV/0!</v>
      </c>
      <c r="AB190" s="30" t="e">
        <f t="shared" si="60"/>
        <v>#DIV/0!</v>
      </c>
      <c r="AC190" s="30" t="e">
        <f t="shared" si="50"/>
        <v>#DIV/0!</v>
      </c>
      <c r="AD190" s="30" t="e">
        <f t="shared" si="51"/>
        <v>#DIV/0!</v>
      </c>
      <c r="AE190" s="30" t="e">
        <f t="shared" si="52"/>
        <v>#DIV/0!</v>
      </c>
      <c r="AF190" s="30" t="e">
        <f t="shared" si="61"/>
        <v>#DIV/0!</v>
      </c>
    </row>
    <row r="191" spans="16:32" x14ac:dyDescent="0.2">
      <c r="P191" s="29" t="e">
        <f t="shared" si="53"/>
        <v>#DIV/0!</v>
      </c>
      <c r="Q191" s="30">
        <f t="shared" si="54"/>
        <v>6</v>
      </c>
      <c r="R191" s="30" t="e">
        <f t="shared" si="55"/>
        <v>#DIV/0!</v>
      </c>
      <c r="X191" s="12">
        <f t="shared" si="56"/>
        <v>19</v>
      </c>
      <c r="Y191" s="30" t="e">
        <f t="shared" si="57"/>
        <v>#DIV/0!</v>
      </c>
      <c r="Z191" s="30" t="e">
        <f t="shared" si="58"/>
        <v>#DIV/0!</v>
      </c>
      <c r="AA191" s="30" t="e">
        <f t="shared" si="59"/>
        <v>#DIV/0!</v>
      </c>
      <c r="AB191" s="30" t="e">
        <f t="shared" si="60"/>
        <v>#DIV/0!</v>
      </c>
      <c r="AC191" s="30" t="e">
        <f t="shared" si="50"/>
        <v>#DIV/0!</v>
      </c>
      <c r="AD191" s="30" t="e">
        <f t="shared" si="51"/>
        <v>#DIV/0!</v>
      </c>
      <c r="AE191" s="30" t="e">
        <f t="shared" si="52"/>
        <v>#DIV/0!</v>
      </c>
      <c r="AF191" s="30" t="e">
        <f t="shared" si="61"/>
        <v>#DIV/0!</v>
      </c>
    </row>
    <row r="192" spans="16:32" x14ac:dyDescent="0.2">
      <c r="P192" s="29" t="e">
        <f t="shared" si="53"/>
        <v>#DIV/0!</v>
      </c>
      <c r="Q192" s="30">
        <f t="shared" si="54"/>
        <v>6</v>
      </c>
      <c r="R192" s="30" t="e">
        <f t="shared" si="55"/>
        <v>#DIV/0!</v>
      </c>
      <c r="X192" s="12">
        <f t="shared" si="56"/>
        <v>19</v>
      </c>
      <c r="Y192" s="30" t="e">
        <f t="shared" si="57"/>
        <v>#DIV/0!</v>
      </c>
      <c r="Z192" s="30" t="e">
        <f t="shared" si="58"/>
        <v>#DIV/0!</v>
      </c>
      <c r="AA192" s="30" t="e">
        <f t="shared" si="59"/>
        <v>#DIV/0!</v>
      </c>
      <c r="AB192" s="30" t="e">
        <f t="shared" si="60"/>
        <v>#DIV/0!</v>
      </c>
      <c r="AC192" s="30" t="e">
        <f t="shared" si="50"/>
        <v>#DIV/0!</v>
      </c>
      <c r="AD192" s="30" t="e">
        <f t="shared" si="51"/>
        <v>#DIV/0!</v>
      </c>
      <c r="AE192" s="30" t="e">
        <f t="shared" si="52"/>
        <v>#DIV/0!</v>
      </c>
      <c r="AF192" s="30" t="e">
        <f t="shared" si="61"/>
        <v>#DIV/0!</v>
      </c>
    </row>
    <row r="193" spans="16:32" x14ac:dyDescent="0.2">
      <c r="P193" s="29" t="e">
        <f t="shared" si="53"/>
        <v>#DIV/0!</v>
      </c>
      <c r="Q193" s="30">
        <f t="shared" si="54"/>
        <v>6</v>
      </c>
      <c r="R193" s="30" t="e">
        <f t="shared" si="55"/>
        <v>#DIV/0!</v>
      </c>
      <c r="X193" s="12">
        <f t="shared" si="56"/>
        <v>19</v>
      </c>
      <c r="Y193" s="30" t="e">
        <f t="shared" si="57"/>
        <v>#DIV/0!</v>
      </c>
      <c r="Z193" s="30" t="e">
        <f t="shared" si="58"/>
        <v>#DIV/0!</v>
      </c>
      <c r="AA193" s="30" t="e">
        <f t="shared" si="59"/>
        <v>#DIV/0!</v>
      </c>
      <c r="AB193" s="30" t="e">
        <f t="shared" si="60"/>
        <v>#DIV/0!</v>
      </c>
      <c r="AC193" s="30" t="e">
        <f t="shared" si="50"/>
        <v>#DIV/0!</v>
      </c>
      <c r="AD193" s="30" t="e">
        <f t="shared" si="51"/>
        <v>#DIV/0!</v>
      </c>
      <c r="AE193" s="30" t="e">
        <f t="shared" si="52"/>
        <v>#DIV/0!</v>
      </c>
      <c r="AF193" s="30" t="e">
        <f t="shared" si="61"/>
        <v>#DIV/0!</v>
      </c>
    </row>
    <row r="194" spans="16:32" x14ac:dyDescent="0.2">
      <c r="P194" s="29" t="e">
        <f t="shared" si="53"/>
        <v>#DIV/0!</v>
      </c>
      <c r="Q194" s="30">
        <f t="shared" si="54"/>
        <v>6</v>
      </c>
      <c r="R194" s="30" t="e">
        <f t="shared" si="55"/>
        <v>#DIV/0!</v>
      </c>
      <c r="X194" s="12">
        <f t="shared" si="56"/>
        <v>19</v>
      </c>
      <c r="Y194" s="30" t="e">
        <f t="shared" si="57"/>
        <v>#DIV/0!</v>
      </c>
      <c r="Z194" s="30" t="e">
        <f t="shared" si="58"/>
        <v>#DIV/0!</v>
      </c>
      <c r="AA194" s="30" t="e">
        <f t="shared" si="59"/>
        <v>#DIV/0!</v>
      </c>
      <c r="AB194" s="30" t="e">
        <f t="shared" si="60"/>
        <v>#DIV/0!</v>
      </c>
      <c r="AC194" s="30" t="e">
        <f t="shared" si="50"/>
        <v>#DIV/0!</v>
      </c>
      <c r="AD194" s="30" t="e">
        <f t="shared" si="51"/>
        <v>#DIV/0!</v>
      </c>
      <c r="AE194" s="30" t="e">
        <f t="shared" si="52"/>
        <v>#DIV/0!</v>
      </c>
      <c r="AF194" s="30" t="e">
        <f t="shared" si="61"/>
        <v>#DIV/0!</v>
      </c>
    </row>
    <row r="195" spans="16:32" x14ac:dyDescent="0.2">
      <c r="P195" s="29" t="e">
        <f t="shared" si="53"/>
        <v>#DIV/0!</v>
      </c>
      <c r="Q195" s="30">
        <f t="shared" si="54"/>
        <v>6</v>
      </c>
      <c r="R195" s="30" t="e">
        <f t="shared" si="55"/>
        <v>#DIV/0!</v>
      </c>
      <c r="X195" s="12">
        <f t="shared" si="56"/>
        <v>19</v>
      </c>
      <c r="Y195" s="30" t="e">
        <f t="shared" si="57"/>
        <v>#DIV/0!</v>
      </c>
      <c r="Z195" s="30" t="e">
        <f t="shared" si="58"/>
        <v>#DIV/0!</v>
      </c>
      <c r="AA195" s="30" t="e">
        <f t="shared" si="59"/>
        <v>#DIV/0!</v>
      </c>
      <c r="AB195" s="30" t="e">
        <f t="shared" si="60"/>
        <v>#DIV/0!</v>
      </c>
      <c r="AC195" s="30" t="e">
        <f t="shared" si="50"/>
        <v>#DIV/0!</v>
      </c>
      <c r="AD195" s="30" t="e">
        <f t="shared" si="51"/>
        <v>#DIV/0!</v>
      </c>
      <c r="AE195" s="30" t="e">
        <f t="shared" si="52"/>
        <v>#DIV/0!</v>
      </c>
      <c r="AF195" s="30" t="e">
        <f t="shared" si="61"/>
        <v>#DIV/0!</v>
      </c>
    </row>
    <row r="196" spans="16:32" x14ac:dyDescent="0.2">
      <c r="P196" s="29" t="e">
        <f t="shared" si="53"/>
        <v>#DIV/0!</v>
      </c>
      <c r="Q196" s="30">
        <f t="shared" si="54"/>
        <v>6</v>
      </c>
      <c r="R196" s="30" t="e">
        <f t="shared" si="55"/>
        <v>#DIV/0!</v>
      </c>
      <c r="X196" s="12">
        <f t="shared" si="56"/>
        <v>19</v>
      </c>
      <c r="Y196" s="30" t="e">
        <f t="shared" si="57"/>
        <v>#DIV/0!</v>
      </c>
      <c r="Z196" s="30" t="e">
        <f t="shared" si="58"/>
        <v>#DIV/0!</v>
      </c>
      <c r="AA196" s="30" t="e">
        <f t="shared" si="59"/>
        <v>#DIV/0!</v>
      </c>
      <c r="AB196" s="30" t="e">
        <f t="shared" si="60"/>
        <v>#DIV/0!</v>
      </c>
      <c r="AC196" s="30" t="e">
        <f t="shared" si="50"/>
        <v>#DIV/0!</v>
      </c>
      <c r="AD196" s="30" t="e">
        <f t="shared" si="51"/>
        <v>#DIV/0!</v>
      </c>
      <c r="AE196" s="30" t="e">
        <f t="shared" si="52"/>
        <v>#DIV/0!</v>
      </c>
      <c r="AF196" s="30" t="e">
        <f t="shared" si="61"/>
        <v>#DIV/0!</v>
      </c>
    </row>
    <row r="197" spans="16:32" x14ac:dyDescent="0.2">
      <c r="P197" s="29" t="e">
        <f t="shared" si="53"/>
        <v>#DIV/0!</v>
      </c>
      <c r="Q197" s="30">
        <f t="shared" si="54"/>
        <v>6</v>
      </c>
      <c r="R197" s="30" t="e">
        <f t="shared" si="55"/>
        <v>#DIV/0!</v>
      </c>
      <c r="X197" s="12">
        <f t="shared" si="56"/>
        <v>19</v>
      </c>
      <c r="Y197" s="30" t="e">
        <f t="shared" si="57"/>
        <v>#DIV/0!</v>
      </c>
      <c r="Z197" s="30" t="e">
        <f t="shared" si="58"/>
        <v>#DIV/0!</v>
      </c>
      <c r="AA197" s="30" t="e">
        <f t="shared" si="59"/>
        <v>#DIV/0!</v>
      </c>
      <c r="AB197" s="30" t="e">
        <f t="shared" si="60"/>
        <v>#DIV/0!</v>
      </c>
      <c r="AC197" s="30" t="e">
        <f t="shared" si="50"/>
        <v>#DIV/0!</v>
      </c>
      <c r="AD197" s="30" t="e">
        <f t="shared" si="51"/>
        <v>#DIV/0!</v>
      </c>
      <c r="AE197" s="30" t="e">
        <f t="shared" si="52"/>
        <v>#DIV/0!</v>
      </c>
      <c r="AF197" s="30" t="e">
        <f t="shared" si="61"/>
        <v>#DIV/0!</v>
      </c>
    </row>
    <row r="198" spans="16:32" x14ac:dyDescent="0.2">
      <c r="P198" s="29" t="e">
        <f t="shared" si="53"/>
        <v>#DIV/0!</v>
      </c>
      <c r="Q198" s="30">
        <f t="shared" si="54"/>
        <v>6</v>
      </c>
      <c r="R198" s="30" t="e">
        <f t="shared" si="55"/>
        <v>#DIV/0!</v>
      </c>
      <c r="X198" s="12">
        <f t="shared" si="56"/>
        <v>19</v>
      </c>
      <c r="Y198" s="30" t="e">
        <f t="shared" si="57"/>
        <v>#DIV/0!</v>
      </c>
      <c r="Z198" s="30" t="e">
        <f t="shared" si="58"/>
        <v>#DIV/0!</v>
      </c>
      <c r="AA198" s="30" t="e">
        <f t="shared" si="59"/>
        <v>#DIV/0!</v>
      </c>
      <c r="AB198" s="30" t="e">
        <f t="shared" si="60"/>
        <v>#DIV/0!</v>
      </c>
      <c r="AC198" s="30" t="e">
        <f t="shared" si="50"/>
        <v>#DIV/0!</v>
      </c>
      <c r="AD198" s="30" t="e">
        <f t="shared" si="51"/>
        <v>#DIV/0!</v>
      </c>
      <c r="AE198" s="30" t="e">
        <f t="shared" si="52"/>
        <v>#DIV/0!</v>
      </c>
      <c r="AF198" s="30" t="e">
        <f t="shared" si="61"/>
        <v>#DIV/0!</v>
      </c>
    </row>
    <row r="199" spans="16:32" x14ac:dyDescent="0.2">
      <c r="P199" s="29" t="e">
        <f t="shared" si="53"/>
        <v>#DIV/0!</v>
      </c>
      <c r="Q199" s="30">
        <f t="shared" si="54"/>
        <v>6</v>
      </c>
      <c r="R199" s="30" t="e">
        <f t="shared" si="55"/>
        <v>#DIV/0!</v>
      </c>
      <c r="X199" s="12">
        <f t="shared" si="56"/>
        <v>19</v>
      </c>
      <c r="Y199" s="30" t="e">
        <f t="shared" si="57"/>
        <v>#DIV/0!</v>
      </c>
      <c r="Z199" s="30" t="e">
        <f t="shared" si="58"/>
        <v>#DIV/0!</v>
      </c>
      <c r="AA199" s="30" t="e">
        <f t="shared" si="59"/>
        <v>#DIV/0!</v>
      </c>
      <c r="AB199" s="30" t="e">
        <f t="shared" si="60"/>
        <v>#DIV/0!</v>
      </c>
      <c r="AC199" s="30" t="e">
        <f t="shared" si="50"/>
        <v>#DIV/0!</v>
      </c>
      <c r="AD199" s="30" t="e">
        <f t="shared" si="51"/>
        <v>#DIV/0!</v>
      </c>
      <c r="AE199" s="30" t="e">
        <f t="shared" si="52"/>
        <v>#DIV/0!</v>
      </c>
      <c r="AF199" s="30" t="e">
        <f t="shared" si="61"/>
        <v>#DIV/0!</v>
      </c>
    </row>
    <row r="200" spans="16:32" x14ac:dyDescent="0.2">
      <c r="P200" s="29" t="e">
        <f t="shared" si="53"/>
        <v>#DIV/0!</v>
      </c>
      <c r="Q200" s="30">
        <f t="shared" si="54"/>
        <v>6</v>
      </c>
      <c r="R200" s="30" t="e">
        <f t="shared" si="55"/>
        <v>#DIV/0!</v>
      </c>
      <c r="X200" s="12">
        <f t="shared" si="56"/>
        <v>19</v>
      </c>
      <c r="Y200" s="30" t="e">
        <f t="shared" si="57"/>
        <v>#DIV/0!</v>
      </c>
      <c r="Z200" s="30" t="e">
        <f t="shared" si="58"/>
        <v>#DIV/0!</v>
      </c>
      <c r="AA200" s="30" t="e">
        <f t="shared" si="59"/>
        <v>#DIV/0!</v>
      </c>
      <c r="AB200" s="30" t="e">
        <f t="shared" si="60"/>
        <v>#DIV/0!</v>
      </c>
      <c r="AC200" s="30" t="e">
        <f t="shared" si="50"/>
        <v>#DIV/0!</v>
      </c>
      <c r="AD200" s="30" t="e">
        <f t="shared" si="51"/>
        <v>#DIV/0!</v>
      </c>
      <c r="AE200" s="30" t="e">
        <f t="shared" si="52"/>
        <v>#DIV/0!</v>
      </c>
      <c r="AF200" s="30" t="e">
        <f t="shared" si="61"/>
        <v>#DIV/0!</v>
      </c>
    </row>
    <row r="201" spans="16:32" x14ac:dyDescent="0.2">
      <c r="P201" s="29" t="e">
        <f t="shared" si="53"/>
        <v>#DIV/0!</v>
      </c>
      <c r="Q201" s="30">
        <f t="shared" si="54"/>
        <v>6</v>
      </c>
      <c r="R201" s="30" t="e">
        <f t="shared" si="55"/>
        <v>#DIV/0!</v>
      </c>
      <c r="X201" s="12">
        <f t="shared" si="56"/>
        <v>19</v>
      </c>
      <c r="Y201" s="30" t="e">
        <f t="shared" si="57"/>
        <v>#DIV/0!</v>
      </c>
      <c r="Z201" s="30" t="e">
        <f t="shared" si="58"/>
        <v>#DIV/0!</v>
      </c>
      <c r="AA201" s="30" t="e">
        <f t="shared" si="59"/>
        <v>#DIV/0!</v>
      </c>
      <c r="AB201" s="30" t="e">
        <f t="shared" si="60"/>
        <v>#DIV/0!</v>
      </c>
      <c r="AC201" s="30" t="e">
        <f t="shared" si="50"/>
        <v>#DIV/0!</v>
      </c>
      <c r="AD201" s="30" t="e">
        <f t="shared" si="51"/>
        <v>#DIV/0!</v>
      </c>
      <c r="AE201" s="30" t="e">
        <f t="shared" si="52"/>
        <v>#DIV/0!</v>
      </c>
      <c r="AF201" s="30" t="e">
        <f t="shared" si="61"/>
        <v>#DIV/0!</v>
      </c>
    </row>
    <row r="202" spans="16:32" x14ac:dyDescent="0.2">
      <c r="P202" s="29" t="e">
        <f t="shared" si="53"/>
        <v>#DIV/0!</v>
      </c>
      <c r="Q202" s="30">
        <f t="shared" si="54"/>
        <v>6</v>
      </c>
      <c r="R202" s="30" t="e">
        <f t="shared" si="55"/>
        <v>#DIV/0!</v>
      </c>
      <c r="X202" s="12">
        <f t="shared" si="56"/>
        <v>19</v>
      </c>
      <c r="Y202" s="30" t="e">
        <f t="shared" si="57"/>
        <v>#DIV/0!</v>
      </c>
      <c r="Z202" s="30" t="e">
        <f t="shared" si="58"/>
        <v>#DIV/0!</v>
      </c>
      <c r="AA202" s="30" t="e">
        <f t="shared" si="59"/>
        <v>#DIV/0!</v>
      </c>
      <c r="AB202" s="30" t="e">
        <f t="shared" si="60"/>
        <v>#DIV/0!</v>
      </c>
      <c r="AC202" s="30" t="e">
        <f t="shared" si="50"/>
        <v>#DIV/0!</v>
      </c>
      <c r="AD202" s="30" t="e">
        <f t="shared" si="51"/>
        <v>#DIV/0!</v>
      </c>
      <c r="AE202" s="30" t="e">
        <f t="shared" si="52"/>
        <v>#DIV/0!</v>
      </c>
      <c r="AF202" s="30" t="e">
        <f t="shared" si="61"/>
        <v>#DIV/0!</v>
      </c>
    </row>
    <row r="203" spans="16:32" x14ac:dyDescent="0.2">
      <c r="P203" s="29" t="e">
        <f t="shared" si="53"/>
        <v>#DIV/0!</v>
      </c>
      <c r="Q203" s="30">
        <f t="shared" si="54"/>
        <v>6</v>
      </c>
      <c r="R203" s="30" t="e">
        <f t="shared" si="55"/>
        <v>#DIV/0!</v>
      </c>
      <c r="X203" s="12">
        <f t="shared" si="56"/>
        <v>19</v>
      </c>
      <c r="Y203" s="30" t="e">
        <f t="shared" si="57"/>
        <v>#DIV/0!</v>
      </c>
      <c r="Z203" s="30" t="e">
        <f t="shared" si="58"/>
        <v>#DIV/0!</v>
      </c>
      <c r="AA203" s="30" t="e">
        <f t="shared" si="59"/>
        <v>#DIV/0!</v>
      </c>
      <c r="AB203" s="30" t="e">
        <f t="shared" si="60"/>
        <v>#DIV/0!</v>
      </c>
      <c r="AC203" s="30" t="e">
        <f t="shared" si="50"/>
        <v>#DIV/0!</v>
      </c>
      <c r="AD203" s="30" t="e">
        <f t="shared" si="51"/>
        <v>#DIV/0!</v>
      </c>
      <c r="AE203" s="30" t="e">
        <f t="shared" si="52"/>
        <v>#DIV/0!</v>
      </c>
      <c r="AF203" s="30" t="e">
        <f t="shared" si="61"/>
        <v>#DIV/0!</v>
      </c>
    </row>
    <row r="204" spans="16:32" x14ac:dyDescent="0.2">
      <c r="P204" s="29" t="e">
        <f t="shared" si="53"/>
        <v>#DIV/0!</v>
      </c>
      <c r="Q204" s="30">
        <f t="shared" si="54"/>
        <v>6</v>
      </c>
      <c r="R204" s="30" t="e">
        <f t="shared" si="55"/>
        <v>#DIV/0!</v>
      </c>
      <c r="X204" s="12">
        <f t="shared" si="56"/>
        <v>19</v>
      </c>
      <c r="Y204" s="30" t="e">
        <f t="shared" si="57"/>
        <v>#DIV/0!</v>
      </c>
      <c r="Z204" s="30" t="e">
        <f t="shared" si="58"/>
        <v>#DIV/0!</v>
      </c>
      <c r="AA204" s="30" t="e">
        <f t="shared" si="59"/>
        <v>#DIV/0!</v>
      </c>
      <c r="AB204" s="30" t="e">
        <f t="shared" si="60"/>
        <v>#DIV/0!</v>
      </c>
      <c r="AC204" s="30" t="e">
        <f t="shared" si="50"/>
        <v>#DIV/0!</v>
      </c>
      <c r="AD204" s="30" t="e">
        <f t="shared" si="51"/>
        <v>#DIV/0!</v>
      </c>
      <c r="AE204" s="30" t="e">
        <f t="shared" si="52"/>
        <v>#DIV/0!</v>
      </c>
      <c r="AF204" s="30" t="e">
        <f t="shared" si="61"/>
        <v>#DIV/0!</v>
      </c>
    </row>
    <row r="205" spans="16:32" x14ac:dyDescent="0.2">
      <c r="P205" s="29" t="e">
        <f t="shared" si="53"/>
        <v>#DIV/0!</v>
      </c>
      <c r="Q205" s="30">
        <f t="shared" si="54"/>
        <v>6</v>
      </c>
      <c r="R205" s="30" t="e">
        <f t="shared" si="55"/>
        <v>#DIV/0!</v>
      </c>
      <c r="X205" s="12">
        <f t="shared" si="56"/>
        <v>19</v>
      </c>
      <c r="Y205" s="30" t="e">
        <f t="shared" si="57"/>
        <v>#DIV/0!</v>
      </c>
      <c r="Z205" s="30" t="e">
        <f t="shared" si="58"/>
        <v>#DIV/0!</v>
      </c>
      <c r="AA205" s="30" t="e">
        <f t="shared" si="59"/>
        <v>#DIV/0!</v>
      </c>
      <c r="AB205" s="30" t="e">
        <f t="shared" si="60"/>
        <v>#DIV/0!</v>
      </c>
      <c r="AC205" s="30" t="e">
        <f t="shared" si="50"/>
        <v>#DIV/0!</v>
      </c>
      <c r="AD205" s="30" t="e">
        <f t="shared" si="51"/>
        <v>#DIV/0!</v>
      </c>
      <c r="AE205" s="30" t="e">
        <f t="shared" si="52"/>
        <v>#DIV/0!</v>
      </c>
      <c r="AF205" s="30" t="e">
        <f t="shared" si="61"/>
        <v>#DIV/0!</v>
      </c>
    </row>
    <row r="206" spans="16:32" x14ac:dyDescent="0.2">
      <c r="P206" s="29" t="e">
        <f t="shared" si="53"/>
        <v>#DIV/0!</v>
      </c>
      <c r="Q206" s="30">
        <f t="shared" si="54"/>
        <v>6</v>
      </c>
      <c r="R206" s="30" t="e">
        <f t="shared" si="55"/>
        <v>#DIV/0!</v>
      </c>
      <c r="X206" s="12">
        <f t="shared" si="56"/>
        <v>19</v>
      </c>
      <c r="Y206" s="30" t="e">
        <f t="shared" si="57"/>
        <v>#DIV/0!</v>
      </c>
      <c r="Z206" s="30" t="e">
        <f t="shared" si="58"/>
        <v>#DIV/0!</v>
      </c>
      <c r="AA206" s="30" t="e">
        <f t="shared" si="59"/>
        <v>#DIV/0!</v>
      </c>
      <c r="AB206" s="30" t="e">
        <f t="shared" si="60"/>
        <v>#DIV/0!</v>
      </c>
      <c r="AC206" s="30" t="e">
        <f t="shared" si="50"/>
        <v>#DIV/0!</v>
      </c>
      <c r="AD206" s="30" t="e">
        <f t="shared" si="51"/>
        <v>#DIV/0!</v>
      </c>
      <c r="AE206" s="30" t="e">
        <f t="shared" si="52"/>
        <v>#DIV/0!</v>
      </c>
      <c r="AF206" s="30" t="e">
        <f t="shared" si="61"/>
        <v>#DIV/0!</v>
      </c>
    </row>
    <row r="207" spans="16:32" x14ac:dyDescent="0.2">
      <c r="P207" s="29" t="e">
        <f t="shared" si="53"/>
        <v>#DIV/0!</v>
      </c>
      <c r="Q207" s="30">
        <f t="shared" si="54"/>
        <v>6</v>
      </c>
      <c r="R207" s="30" t="e">
        <f t="shared" si="55"/>
        <v>#DIV/0!</v>
      </c>
      <c r="X207" s="12">
        <f t="shared" si="56"/>
        <v>19</v>
      </c>
      <c r="Y207" s="30" t="e">
        <f t="shared" si="57"/>
        <v>#DIV/0!</v>
      </c>
      <c r="Z207" s="30" t="e">
        <f t="shared" si="58"/>
        <v>#DIV/0!</v>
      </c>
      <c r="AA207" s="30" t="e">
        <f t="shared" si="59"/>
        <v>#DIV/0!</v>
      </c>
      <c r="AB207" s="30" t="e">
        <f t="shared" si="60"/>
        <v>#DIV/0!</v>
      </c>
      <c r="AC207" s="30" t="e">
        <f t="shared" si="50"/>
        <v>#DIV/0!</v>
      </c>
      <c r="AD207" s="30" t="e">
        <f t="shared" si="51"/>
        <v>#DIV/0!</v>
      </c>
      <c r="AE207" s="30" t="e">
        <f t="shared" si="52"/>
        <v>#DIV/0!</v>
      </c>
      <c r="AF207" s="30" t="e">
        <f t="shared" si="61"/>
        <v>#DIV/0!</v>
      </c>
    </row>
    <row r="208" spans="16:32" x14ac:dyDescent="0.2">
      <c r="P208" s="29" t="e">
        <f t="shared" si="53"/>
        <v>#DIV/0!</v>
      </c>
      <c r="Q208" s="30">
        <f t="shared" si="54"/>
        <v>6</v>
      </c>
      <c r="R208" s="30" t="e">
        <f t="shared" si="55"/>
        <v>#DIV/0!</v>
      </c>
      <c r="X208" s="12">
        <f t="shared" si="56"/>
        <v>19</v>
      </c>
      <c r="Y208" s="30" t="e">
        <f t="shared" si="57"/>
        <v>#DIV/0!</v>
      </c>
      <c r="Z208" s="30" t="e">
        <f t="shared" si="58"/>
        <v>#DIV/0!</v>
      </c>
      <c r="AA208" s="30" t="e">
        <f t="shared" si="59"/>
        <v>#DIV/0!</v>
      </c>
      <c r="AB208" s="30" t="e">
        <f t="shared" si="60"/>
        <v>#DIV/0!</v>
      </c>
      <c r="AC208" s="30" t="e">
        <f t="shared" si="50"/>
        <v>#DIV/0!</v>
      </c>
      <c r="AD208" s="30" t="e">
        <f t="shared" si="51"/>
        <v>#DIV/0!</v>
      </c>
      <c r="AE208" s="30" t="e">
        <f t="shared" si="52"/>
        <v>#DIV/0!</v>
      </c>
      <c r="AF208" s="30" t="e">
        <f t="shared" si="61"/>
        <v>#DIV/0!</v>
      </c>
    </row>
    <row r="209" spans="16:32" x14ac:dyDescent="0.2">
      <c r="P209" s="29" t="e">
        <f t="shared" si="53"/>
        <v>#DIV/0!</v>
      </c>
      <c r="Q209" s="30">
        <f t="shared" si="54"/>
        <v>6</v>
      </c>
      <c r="R209" s="30" t="e">
        <f t="shared" si="55"/>
        <v>#DIV/0!</v>
      </c>
      <c r="X209" s="12">
        <f t="shared" si="56"/>
        <v>19</v>
      </c>
      <c r="Y209" s="30" t="e">
        <f t="shared" si="57"/>
        <v>#DIV/0!</v>
      </c>
      <c r="Z209" s="30" t="e">
        <f t="shared" si="58"/>
        <v>#DIV/0!</v>
      </c>
      <c r="AA209" s="30" t="e">
        <f t="shared" si="59"/>
        <v>#DIV/0!</v>
      </c>
      <c r="AB209" s="30" t="e">
        <f t="shared" si="60"/>
        <v>#DIV/0!</v>
      </c>
      <c r="AC209" s="30" t="e">
        <f t="shared" si="50"/>
        <v>#DIV/0!</v>
      </c>
      <c r="AD209" s="30" t="e">
        <f t="shared" si="51"/>
        <v>#DIV/0!</v>
      </c>
      <c r="AE209" s="30" t="e">
        <f t="shared" si="52"/>
        <v>#DIV/0!</v>
      </c>
      <c r="AF209" s="30" t="e">
        <f t="shared" si="61"/>
        <v>#DIV/0!</v>
      </c>
    </row>
    <row r="210" spans="16:32" x14ac:dyDescent="0.2">
      <c r="P210" s="29" t="e">
        <f t="shared" si="53"/>
        <v>#DIV/0!</v>
      </c>
      <c r="Q210" s="30">
        <f t="shared" si="54"/>
        <v>6</v>
      </c>
      <c r="R210" s="30" t="e">
        <f t="shared" si="55"/>
        <v>#DIV/0!</v>
      </c>
      <c r="X210" s="12">
        <f t="shared" si="56"/>
        <v>19</v>
      </c>
      <c r="Y210" s="30" t="e">
        <f t="shared" si="57"/>
        <v>#DIV/0!</v>
      </c>
      <c r="Z210" s="30" t="e">
        <f t="shared" si="58"/>
        <v>#DIV/0!</v>
      </c>
      <c r="AA210" s="30" t="e">
        <f t="shared" si="59"/>
        <v>#DIV/0!</v>
      </c>
      <c r="AB210" s="30" t="e">
        <f t="shared" si="60"/>
        <v>#DIV/0!</v>
      </c>
      <c r="AC210" s="30" t="e">
        <f t="shared" si="50"/>
        <v>#DIV/0!</v>
      </c>
      <c r="AD210" s="30" t="e">
        <f t="shared" si="51"/>
        <v>#DIV/0!</v>
      </c>
      <c r="AE210" s="30" t="e">
        <f t="shared" si="52"/>
        <v>#DIV/0!</v>
      </c>
      <c r="AF210" s="30" t="e">
        <f t="shared" si="61"/>
        <v>#DIV/0!</v>
      </c>
    </row>
    <row r="211" spans="16:32" x14ac:dyDescent="0.2">
      <c r="P211" s="29" t="e">
        <f t="shared" si="53"/>
        <v>#DIV/0!</v>
      </c>
      <c r="Q211" s="30">
        <f t="shared" si="54"/>
        <v>6</v>
      </c>
      <c r="R211" s="30" t="e">
        <f t="shared" si="55"/>
        <v>#DIV/0!</v>
      </c>
      <c r="X211" s="12">
        <f t="shared" si="56"/>
        <v>19</v>
      </c>
      <c r="Y211" s="30" t="e">
        <f t="shared" si="57"/>
        <v>#DIV/0!</v>
      </c>
      <c r="Z211" s="30" t="e">
        <f t="shared" si="58"/>
        <v>#DIV/0!</v>
      </c>
      <c r="AA211" s="30" t="e">
        <f t="shared" si="59"/>
        <v>#DIV/0!</v>
      </c>
      <c r="AB211" s="30" t="e">
        <f t="shared" si="60"/>
        <v>#DIV/0!</v>
      </c>
      <c r="AC211" s="30" t="e">
        <f t="shared" si="50"/>
        <v>#DIV/0!</v>
      </c>
      <c r="AD211" s="30" t="e">
        <f t="shared" si="51"/>
        <v>#DIV/0!</v>
      </c>
      <c r="AE211" s="30" t="e">
        <f t="shared" si="52"/>
        <v>#DIV/0!</v>
      </c>
      <c r="AF211" s="30" t="e">
        <f t="shared" si="61"/>
        <v>#DIV/0!</v>
      </c>
    </row>
    <row r="212" spans="16:32" x14ac:dyDescent="0.2">
      <c r="P212" s="29" t="e">
        <f t="shared" si="53"/>
        <v>#DIV/0!</v>
      </c>
      <c r="Q212" s="30">
        <f t="shared" si="54"/>
        <v>6</v>
      </c>
      <c r="R212" s="30" t="e">
        <f t="shared" si="55"/>
        <v>#DIV/0!</v>
      </c>
      <c r="X212" s="12">
        <f t="shared" si="56"/>
        <v>19</v>
      </c>
      <c r="Y212" s="30" t="e">
        <f t="shared" si="57"/>
        <v>#DIV/0!</v>
      </c>
      <c r="Z212" s="30" t="e">
        <f t="shared" si="58"/>
        <v>#DIV/0!</v>
      </c>
      <c r="AA212" s="30" t="e">
        <f t="shared" si="59"/>
        <v>#DIV/0!</v>
      </c>
      <c r="AB212" s="30" t="e">
        <f t="shared" si="60"/>
        <v>#DIV/0!</v>
      </c>
      <c r="AC212" s="30" t="e">
        <f t="shared" si="50"/>
        <v>#DIV/0!</v>
      </c>
      <c r="AD212" s="30" t="e">
        <f t="shared" si="51"/>
        <v>#DIV/0!</v>
      </c>
      <c r="AE212" s="30" t="e">
        <f t="shared" si="52"/>
        <v>#DIV/0!</v>
      </c>
      <c r="AF212" s="30" t="e">
        <f t="shared" si="61"/>
        <v>#DIV/0!</v>
      </c>
    </row>
    <row r="213" spans="16:32" x14ac:dyDescent="0.2">
      <c r="P213" s="29" t="e">
        <f t="shared" si="53"/>
        <v>#DIV/0!</v>
      </c>
      <c r="Q213" s="30">
        <f t="shared" si="54"/>
        <v>6</v>
      </c>
      <c r="R213" s="30" t="e">
        <f t="shared" si="55"/>
        <v>#DIV/0!</v>
      </c>
      <c r="X213" s="12">
        <f t="shared" si="56"/>
        <v>19</v>
      </c>
      <c r="Y213" s="30" t="e">
        <f t="shared" si="57"/>
        <v>#DIV/0!</v>
      </c>
      <c r="Z213" s="30" t="e">
        <f t="shared" si="58"/>
        <v>#DIV/0!</v>
      </c>
      <c r="AA213" s="30" t="e">
        <f t="shared" si="59"/>
        <v>#DIV/0!</v>
      </c>
      <c r="AB213" s="30" t="e">
        <f t="shared" si="60"/>
        <v>#DIV/0!</v>
      </c>
      <c r="AC213" s="30" t="e">
        <f t="shared" si="50"/>
        <v>#DIV/0!</v>
      </c>
      <c r="AD213" s="30" t="e">
        <f t="shared" si="51"/>
        <v>#DIV/0!</v>
      </c>
      <c r="AE213" s="30" t="e">
        <f t="shared" si="52"/>
        <v>#DIV/0!</v>
      </c>
      <c r="AF213" s="30" t="e">
        <f t="shared" si="61"/>
        <v>#DIV/0!</v>
      </c>
    </row>
    <row r="214" spans="16:32" x14ac:dyDescent="0.2">
      <c r="P214" s="29" t="e">
        <f t="shared" si="53"/>
        <v>#DIV/0!</v>
      </c>
      <c r="Q214" s="30">
        <f t="shared" si="54"/>
        <v>6</v>
      </c>
      <c r="R214" s="30" t="e">
        <f t="shared" si="55"/>
        <v>#DIV/0!</v>
      </c>
      <c r="X214" s="12">
        <f t="shared" si="56"/>
        <v>19</v>
      </c>
      <c r="Y214" s="30" t="e">
        <f t="shared" si="57"/>
        <v>#DIV/0!</v>
      </c>
      <c r="Z214" s="30" t="e">
        <f t="shared" si="58"/>
        <v>#DIV/0!</v>
      </c>
      <c r="AA214" s="30" t="e">
        <f t="shared" si="59"/>
        <v>#DIV/0!</v>
      </c>
      <c r="AB214" s="30" t="e">
        <f t="shared" si="60"/>
        <v>#DIV/0!</v>
      </c>
      <c r="AC214" s="30" t="e">
        <f t="shared" si="50"/>
        <v>#DIV/0!</v>
      </c>
      <c r="AD214" s="30" t="e">
        <f t="shared" si="51"/>
        <v>#DIV/0!</v>
      </c>
      <c r="AE214" s="30" t="e">
        <f t="shared" si="52"/>
        <v>#DIV/0!</v>
      </c>
      <c r="AF214" s="30" t="e">
        <f t="shared" si="61"/>
        <v>#DIV/0!</v>
      </c>
    </row>
    <row r="215" spans="16:32" x14ac:dyDescent="0.2">
      <c r="P215" s="29" t="e">
        <f t="shared" si="53"/>
        <v>#DIV/0!</v>
      </c>
      <c r="Q215" s="30">
        <f t="shared" si="54"/>
        <v>6</v>
      </c>
      <c r="R215" s="30" t="e">
        <f t="shared" si="55"/>
        <v>#DIV/0!</v>
      </c>
      <c r="X215" s="12">
        <f t="shared" si="56"/>
        <v>19</v>
      </c>
      <c r="Y215" s="30" t="e">
        <f t="shared" si="57"/>
        <v>#DIV/0!</v>
      </c>
      <c r="Z215" s="30" t="e">
        <f t="shared" si="58"/>
        <v>#DIV/0!</v>
      </c>
      <c r="AA215" s="30" t="e">
        <f t="shared" si="59"/>
        <v>#DIV/0!</v>
      </c>
      <c r="AB215" s="30" t="e">
        <f t="shared" si="60"/>
        <v>#DIV/0!</v>
      </c>
      <c r="AC215" s="30" t="e">
        <f t="shared" si="50"/>
        <v>#DIV/0!</v>
      </c>
      <c r="AD215" s="30" t="e">
        <f t="shared" si="51"/>
        <v>#DIV/0!</v>
      </c>
      <c r="AE215" s="30" t="e">
        <f t="shared" si="52"/>
        <v>#DIV/0!</v>
      </c>
      <c r="AF215" s="30" t="e">
        <f t="shared" si="61"/>
        <v>#DIV/0!</v>
      </c>
    </row>
    <row r="216" spans="16:32" x14ac:dyDescent="0.2">
      <c r="P216" s="29" t="e">
        <f t="shared" si="53"/>
        <v>#DIV/0!</v>
      </c>
      <c r="Q216" s="30">
        <f t="shared" si="54"/>
        <v>6</v>
      </c>
      <c r="R216" s="30" t="e">
        <f t="shared" si="55"/>
        <v>#DIV/0!</v>
      </c>
      <c r="X216" s="12">
        <f t="shared" si="56"/>
        <v>19</v>
      </c>
      <c r="Y216" s="30" t="e">
        <f t="shared" si="57"/>
        <v>#DIV/0!</v>
      </c>
      <c r="Z216" s="30" t="e">
        <f t="shared" si="58"/>
        <v>#DIV/0!</v>
      </c>
      <c r="AA216" s="30" t="e">
        <f t="shared" si="59"/>
        <v>#DIV/0!</v>
      </c>
      <c r="AB216" s="30" t="e">
        <f t="shared" si="60"/>
        <v>#DIV/0!</v>
      </c>
      <c r="AC216" s="30" t="e">
        <f t="shared" si="50"/>
        <v>#DIV/0!</v>
      </c>
      <c r="AD216" s="30" t="e">
        <f t="shared" si="51"/>
        <v>#DIV/0!</v>
      </c>
      <c r="AE216" s="30" t="e">
        <f t="shared" si="52"/>
        <v>#DIV/0!</v>
      </c>
      <c r="AF216" s="30" t="e">
        <f t="shared" si="61"/>
        <v>#DIV/0!</v>
      </c>
    </row>
    <row r="217" spans="16:32" x14ac:dyDescent="0.2">
      <c r="P217" s="29" t="e">
        <f t="shared" si="53"/>
        <v>#DIV/0!</v>
      </c>
      <c r="Q217" s="30">
        <f t="shared" si="54"/>
        <v>6</v>
      </c>
      <c r="R217" s="30" t="e">
        <f t="shared" si="55"/>
        <v>#DIV/0!</v>
      </c>
      <c r="X217" s="12">
        <f t="shared" si="56"/>
        <v>19</v>
      </c>
      <c r="Y217" s="30" t="e">
        <f t="shared" si="57"/>
        <v>#DIV/0!</v>
      </c>
      <c r="Z217" s="30" t="e">
        <f t="shared" si="58"/>
        <v>#DIV/0!</v>
      </c>
      <c r="AA217" s="30" t="e">
        <f t="shared" si="59"/>
        <v>#DIV/0!</v>
      </c>
      <c r="AB217" s="30" t="e">
        <f t="shared" si="60"/>
        <v>#DIV/0!</v>
      </c>
      <c r="AC217" s="30" t="e">
        <f t="shared" si="50"/>
        <v>#DIV/0!</v>
      </c>
      <c r="AD217" s="30" t="e">
        <f t="shared" si="51"/>
        <v>#DIV/0!</v>
      </c>
      <c r="AE217" s="30" t="e">
        <f t="shared" si="52"/>
        <v>#DIV/0!</v>
      </c>
      <c r="AF217" s="30" t="e">
        <f t="shared" si="61"/>
        <v>#DIV/0!</v>
      </c>
    </row>
    <row r="218" spans="16:32" x14ac:dyDescent="0.2">
      <c r="P218" s="29" t="e">
        <f t="shared" si="53"/>
        <v>#DIV/0!</v>
      </c>
      <c r="Q218" s="30">
        <f t="shared" si="54"/>
        <v>6</v>
      </c>
      <c r="R218" s="30" t="e">
        <f t="shared" si="55"/>
        <v>#DIV/0!</v>
      </c>
      <c r="X218" s="12">
        <f t="shared" si="56"/>
        <v>19</v>
      </c>
      <c r="Y218" s="30" t="e">
        <f t="shared" si="57"/>
        <v>#DIV/0!</v>
      </c>
      <c r="Z218" s="30" t="e">
        <f t="shared" si="58"/>
        <v>#DIV/0!</v>
      </c>
      <c r="AA218" s="30" t="e">
        <f t="shared" si="59"/>
        <v>#DIV/0!</v>
      </c>
      <c r="AB218" s="30" t="e">
        <f t="shared" si="60"/>
        <v>#DIV/0!</v>
      </c>
      <c r="AC218" s="30" t="e">
        <f t="shared" si="50"/>
        <v>#DIV/0!</v>
      </c>
      <c r="AD218" s="30" t="e">
        <f t="shared" si="51"/>
        <v>#DIV/0!</v>
      </c>
      <c r="AE218" s="30" t="e">
        <f t="shared" si="52"/>
        <v>#DIV/0!</v>
      </c>
      <c r="AF218" s="30" t="e">
        <f t="shared" si="61"/>
        <v>#DIV/0!</v>
      </c>
    </row>
    <row r="219" spans="16:32" x14ac:dyDescent="0.2">
      <c r="P219" s="29" t="e">
        <f t="shared" si="53"/>
        <v>#DIV/0!</v>
      </c>
      <c r="Q219" s="30">
        <f t="shared" si="54"/>
        <v>6</v>
      </c>
      <c r="R219" s="30" t="e">
        <f t="shared" si="55"/>
        <v>#DIV/0!</v>
      </c>
      <c r="X219" s="12">
        <f t="shared" si="56"/>
        <v>19</v>
      </c>
      <c r="Y219" s="30" t="e">
        <f t="shared" si="57"/>
        <v>#DIV/0!</v>
      </c>
      <c r="Z219" s="30" t="e">
        <f t="shared" si="58"/>
        <v>#DIV/0!</v>
      </c>
      <c r="AA219" s="30" t="e">
        <f t="shared" si="59"/>
        <v>#DIV/0!</v>
      </c>
      <c r="AB219" s="30" t="e">
        <f t="shared" si="60"/>
        <v>#DIV/0!</v>
      </c>
      <c r="AC219" s="30" t="e">
        <f t="shared" si="50"/>
        <v>#DIV/0!</v>
      </c>
      <c r="AD219" s="30" t="e">
        <f t="shared" si="51"/>
        <v>#DIV/0!</v>
      </c>
      <c r="AE219" s="30" t="e">
        <f t="shared" si="52"/>
        <v>#DIV/0!</v>
      </c>
      <c r="AF219" s="30" t="e">
        <f t="shared" si="61"/>
        <v>#DIV/0!</v>
      </c>
    </row>
    <row r="220" spans="16:32" x14ac:dyDescent="0.2">
      <c r="P220" s="29" t="e">
        <f t="shared" si="53"/>
        <v>#DIV/0!</v>
      </c>
      <c r="Q220" s="30">
        <f t="shared" si="54"/>
        <v>6</v>
      </c>
      <c r="R220" s="30" t="e">
        <f t="shared" si="55"/>
        <v>#DIV/0!</v>
      </c>
      <c r="X220" s="12">
        <f t="shared" si="56"/>
        <v>19</v>
      </c>
      <c r="Y220" s="30" t="e">
        <f t="shared" si="57"/>
        <v>#DIV/0!</v>
      </c>
      <c r="Z220" s="30" t="e">
        <f t="shared" si="58"/>
        <v>#DIV/0!</v>
      </c>
      <c r="AA220" s="30" t="e">
        <f t="shared" si="59"/>
        <v>#DIV/0!</v>
      </c>
      <c r="AB220" s="30" t="e">
        <f t="shared" si="60"/>
        <v>#DIV/0!</v>
      </c>
      <c r="AC220" s="30" t="e">
        <f t="shared" si="50"/>
        <v>#DIV/0!</v>
      </c>
      <c r="AD220" s="30" t="e">
        <f t="shared" si="51"/>
        <v>#DIV/0!</v>
      </c>
      <c r="AE220" s="30" t="e">
        <f t="shared" si="52"/>
        <v>#DIV/0!</v>
      </c>
      <c r="AF220" s="30" t="e">
        <f t="shared" si="61"/>
        <v>#DIV/0!</v>
      </c>
    </row>
    <row r="221" spans="16:32" x14ac:dyDescent="0.2">
      <c r="P221" s="29" t="e">
        <f t="shared" si="53"/>
        <v>#DIV/0!</v>
      </c>
      <c r="Q221" s="30">
        <f t="shared" si="54"/>
        <v>6</v>
      </c>
      <c r="R221" s="30" t="e">
        <f t="shared" si="55"/>
        <v>#DIV/0!</v>
      </c>
      <c r="X221" s="12">
        <f t="shared" si="56"/>
        <v>19</v>
      </c>
      <c r="Y221" s="30" t="e">
        <f t="shared" si="57"/>
        <v>#DIV/0!</v>
      </c>
      <c r="Z221" s="30" t="e">
        <f t="shared" si="58"/>
        <v>#DIV/0!</v>
      </c>
      <c r="AA221" s="30" t="e">
        <f t="shared" si="59"/>
        <v>#DIV/0!</v>
      </c>
      <c r="AB221" s="30" t="e">
        <f t="shared" si="60"/>
        <v>#DIV/0!</v>
      </c>
      <c r="AC221" s="30" t="e">
        <f t="shared" si="50"/>
        <v>#DIV/0!</v>
      </c>
      <c r="AD221" s="30" t="e">
        <f t="shared" si="51"/>
        <v>#DIV/0!</v>
      </c>
      <c r="AE221" s="30" t="e">
        <f t="shared" si="52"/>
        <v>#DIV/0!</v>
      </c>
      <c r="AF221" s="30" t="e">
        <f t="shared" si="61"/>
        <v>#DIV/0!</v>
      </c>
    </row>
    <row r="222" spans="16:32" x14ac:dyDescent="0.2">
      <c r="P222" s="29" t="e">
        <f t="shared" si="53"/>
        <v>#DIV/0!</v>
      </c>
      <c r="Q222" s="30">
        <f t="shared" si="54"/>
        <v>6</v>
      </c>
      <c r="R222" s="30" t="e">
        <f t="shared" si="55"/>
        <v>#DIV/0!</v>
      </c>
      <c r="X222" s="12">
        <f t="shared" si="56"/>
        <v>19</v>
      </c>
      <c r="Y222" s="30" t="e">
        <f t="shared" si="57"/>
        <v>#DIV/0!</v>
      </c>
      <c r="Z222" s="30" t="e">
        <f t="shared" si="58"/>
        <v>#DIV/0!</v>
      </c>
      <c r="AA222" s="30" t="e">
        <f t="shared" si="59"/>
        <v>#DIV/0!</v>
      </c>
      <c r="AB222" s="30" t="e">
        <f t="shared" si="60"/>
        <v>#DIV/0!</v>
      </c>
      <c r="AC222" s="30" t="e">
        <f t="shared" si="50"/>
        <v>#DIV/0!</v>
      </c>
      <c r="AD222" s="30" t="e">
        <f t="shared" si="51"/>
        <v>#DIV/0!</v>
      </c>
      <c r="AE222" s="30" t="e">
        <f t="shared" si="52"/>
        <v>#DIV/0!</v>
      </c>
      <c r="AF222" s="30" t="e">
        <f t="shared" si="61"/>
        <v>#DIV/0!</v>
      </c>
    </row>
    <row r="223" spans="16:32" x14ac:dyDescent="0.2">
      <c r="P223" s="29" t="e">
        <f t="shared" si="53"/>
        <v>#DIV/0!</v>
      </c>
      <c r="Q223" s="30">
        <f t="shared" si="54"/>
        <v>6</v>
      </c>
      <c r="R223" s="30" t="e">
        <f t="shared" si="55"/>
        <v>#DIV/0!</v>
      </c>
      <c r="X223" s="12">
        <f t="shared" si="56"/>
        <v>19</v>
      </c>
      <c r="Y223" s="30" t="e">
        <f t="shared" si="57"/>
        <v>#DIV/0!</v>
      </c>
      <c r="Z223" s="30" t="e">
        <f t="shared" si="58"/>
        <v>#DIV/0!</v>
      </c>
      <c r="AA223" s="30" t="e">
        <f t="shared" si="59"/>
        <v>#DIV/0!</v>
      </c>
      <c r="AB223" s="30" t="e">
        <f t="shared" si="60"/>
        <v>#DIV/0!</v>
      </c>
      <c r="AC223" s="30" t="e">
        <f t="shared" si="50"/>
        <v>#DIV/0!</v>
      </c>
      <c r="AD223" s="30" t="e">
        <f t="shared" si="51"/>
        <v>#DIV/0!</v>
      </c>
      <c r="AE223" s="30" t="e">
        <f t="shared" si="52"/>
        <v>#DIV/0!</v>
      </c>
      <c r="AF223" s="30" t="e">
        <f t="shared" si="61"/>
        <v>#DIV/0!</v>
      </c>
    </row>
    <row r="224" spans="16:32" x14ac:dyDescent="0.2">
      <c r="P224" s="29" t="e">
        <f t="shared" si="53"/>
        <v>#DIV/0!</v>
      </c>
      <c r="Q224" s="30">
        <f t="shared" si="54"/>
        <v>6</v>
      </c>
      <c r="R224" s="30" t="e">
        <f t="shared" si="55"/>
        <v>#DIV/0!</v>
      </c>
      <c r="X224" s="12">
        <f t="shared" si="56"/>
        <v>19</v>
      </c>
      <c r="Y224" s="30" t="e">
        <f t="shared" si="57"/>
        <v>#DIV/0!</v>
      </c>
      <c r="Z224" s="30" t="e">
        <f t="shared" si="58"/>
        <v>#DIV/0!</v>
      </c>
      <c r="AA224" s="30" t="e">
        <f t="shared" si="59"/>
        <v>#DIV/0!</v>
      </c>
      <c r="AB224" s="30" t="e">
        <f t="shared" si="60"/>
        <v>#DIV/0!</v>
      </c>
      <c r="AC224" s="30" t="e">
        <f t="shared" si="50"/>
        <v>#DIV/0!</v>
      </c>
      <c r="AD224" s="30" t="e">
        <f t="shared" si="51"/>
        <v>#DIV/0!</v>
      </c>
      <c r="AE224" s="30" t="e">
        <f t="shared" si="52"/>
        <v>#DIV/0!</v>
      </c>
      <c r="AF224" s="30" t="e">
        <f t="shared" si="61"/>
        <v>#DIV/0!</v>
      </c>
    </row>
    <row r="225" spans="16:32" x14ac:dyDescent="0.2">
      <c r="P225" s="29" t="e">
        <f t="shared" si="53"/>
        <v>#DIV/0!</v>
      </c>
      <c r="Q225" s="30">
        <f t="shared" si="54"/>
        <v>6</v>
      </c>
      <c r="R225" s="30" t="e">
        <f t="shared" si="55"/>
        <v>#DIV/0!</v>
      </c>
      <c r="X225" s="12">
        <f t="shared" si="56"/>
        <v>19</v>
      </c>
      <c r="Y225" s="30" t="e">
        <f t="shared" si="57"/>
        <v>#DIV/0!</v>
      </c>
      <c r="Z225" s="30" t="e">
        <f t="shared" si="58"/>
        <v>#DIV/0!</v>
      </c>
      <c r="AA225" s="30" t="e">
        <f t="shared" si="59"/>
        <v>#DIV/0!</v>
      </c>
      <c r="AB225" s="30" t="e">
        <f t="shared" si="60"/>
        <v>#DIV/0!</v>
      </c>
      <c r="AC225" s="30" t="e">
        <f t="shared" si="50"/>
        <v>#DIV/0!</v>
      </c>
      <c r="AD225" s="30" t="e">
        <f t="shared" si="51"/>
        <v>#DIV/0!</v>
      </c>
      <c r="AE225" s="30" t="e">
        <f t="shared" si="52"/>
        <v>#DIV/0!</v>
      </c>
      <c r="AF225" s="30" t="e">
        <f t="shared" si="61"/>
        <v>#DIV/0!</v>
      </c>
    </row>
    <row r="226" spans="16:32" x14ac:dyDescent="0.2">
      <c r="P226" s="29" t="e">
        <f t="shared" si="53"/>
        <v>#DIV/0!</v>
      </c>
      <c r="Q226" s="30">
        <f t="shared" si="54"/>
        <v>6</v>
      </c>
      <c r="R226" s="30" t="e">
        <f t="shared" si="55"/>
        <v>#DIV/0!</v>
      </c>
      <c r="X226" s="12">
        <f t="shared" si="56"/>
        <v>19</v>
      </c>
      <c r="Y226" s="30" t="e">
        <f t="shared" si="57"/>
        <v>#DIV/0!</v>
      </c>
      <c r="Z226" s="30" t="e">
        <f t="shared" si="58"/>
        <v>#DIV/0!</v>
      </c>
      <c r="AA226" s="30" t="e">
        <f t="shared" si="59"/>
        <v>#DIV/0!</v>
      </c>
      <c r="AB226" s="30" t="e">
        <f t="shared" si="60"/>
        <v>#DIV/0!</v>
      </c>
      <c r="AC226" s="30" t="e">
        <f t="shared" si="50"/>
        <v>#DIV/0!</v>
      </c>
      <c r="AD226" s="30" t="e">
        <f t="shared" si="51"/>
        <v>#DIV/0!</v>
      </c>
      <c r="AE226" s="30" t="e">
        <f t="shared" si="52"/>
        <v>#DIV/0!</v>
      </c>
      <c r="AF226" s="30" t="e">
        <f t="shared" si="61"/>
        <v>#DIV/0!</v>
      </c>
    </row>
    <row r="227" spans="16:32" x14ac:dyDescent="0.2">
      <c r="P227" s="29" t="e">
        <f t="shared" si="53"/>
        <v>#DIV/0!</v>
      </c>
      <c r="Q227" s="30">
        <f t="shared" si="54"/>
        <v>6</v>
      </c>
      <c r="R227" s="30" t="e">
        <f t="shared" si="55"/>
        <v>#DIV/0!</v>
      </c>
      <c r="X227" s="12">
        <f t="shared" si="56"/>
        <v>19</v>
      </c>
      <c r="Y227" s="30" t="e">
        <f t="shared" si="57"/>
        <v>#DIV/0!</v>
      </c>
      <c r="Z227" s="30" t="e">
        <f t="shared" si="58"/>
        <v>#DIV/0!</v>
      </c>
      <c r="AA227" s="30" t="e">
        <f t="shared" si="59"/>
        <v>#DIV/0!</v>
      </c>
      <c r="AB227" s="30" t="e">
        <f t="shared" si="60"/>
        <v>#DIV/0!</v>
      </c>
      <c r="AC227" s="30" t="e">
        <f t="shared" si="50"/>
        <v>#DIV/0!</v>
      </c>
      <c r="AD227" s="30" t="e">
        <f t="shared" si="51"/>
        <v>#DIV/0!</v>
      </c>
      <c r="AE227" s="30" t="e">
        <f t="shared" si="52"/>
        <v>#DIV/0!</v>
      </c>
      <c r="AF227" s="30" t="e">
        <f t="shared" si="61"/>
        <v>#DIV/0!</v>
      </c>
    </row>
    <row r="228" spans="16:32" x14ac:dyDescent="0.2">
      <c r="P228" s="29" t="e">
        <f t="shared" si="53"/>
        <v>#DIV/0!</v>
      </c>
      <c r="Q228" s="30">
        <f t="shared" si="54"/>
        <v>6</v>
      </c>
      <c r="R228" s="30" t="e">
        <f t="shared" si="55"/>
        <v>#DIV/0!</v>
      </c>
      <c r="X228" s="12">
        <f t="shared" si="56"/>
        <v>19</v>
      </c>
      <c r="Y228" s="30" t="e">
        <f t="shared" si="57"/>
        <v>#DIV/0!</v>
      </c>
      <c r="Z228" s="30" t="e">
        <f t="shared" si="58"/>
        <v>#DIV/0!</v>
      </c>
      <c r="AA228" s="30" t="e">
        <f t="shared" si="59"/>
        <v>#DIV/0!</v>
      </c>
      <c r="AB228" s="30" t="e">
        <f t="shared" si="60"/>
        <v>#DIV/0!</v>
      </c>
      <c r="AC228" s="30" t="e">
        <f t="shared" si="50"/>
        <v>#DIV/0!</v>
      </c>
      <c r="AD228" s="30" t="e">
        <f t="shared" si="51"/>
        <v>#DIV/0!</v>
      </c>
      <c r="AE228" s="30" t="e">
        <f t="shared" si="52"/>
        <v>#DIV/0!</v>
      </c>
      <c r="AF228" s="30" t="e">
        <f t="shared" si="61"/>
        <v>#DIV/0!</v>
      </c>
    </row>
    <row r="229" spans="16:32" x14ac:dyDescent="0.2">
      <c r="P229" s="29" t="e">
        <f t="shared" si="53"/>
        <v>#DIV/0!</v>
      </c>
      <c r="Q229" s="30">
        <f t="shared" si="54"/>
        <v>6</v>
      </c>
      <c r="R229" s="30" t="e">
        <f t="shared" si="55"/>
        <v>#DIV/0!</v>
      </c>
      <c r="X229" s="12">
        <f t="shared" si="56"/>
        <v>19</v>
      </c>
      <c r="Y229" s="30" t="e">
        <f t="shared" si="57"/>
        <v>#DIV/0!</v>
      </c>
      <c r="Z229" s="30" t="e">
        <f t="shared" si="58"/>
        <v>#DIV/0!</v>
      </c>
      <c r="AA229" s="30" t="e">
        <f t="shared" si="59"/>
        <v>#DIV/0!</v>
      </c>
      <c r="AB229" s="30" t="e">
        <f t="shared" si="60"/>
        <v>#DIV/0!</v>
      </c>
      <c r="AC229" s="30" t="e">
        <f t="shared" si="50"/>
        <v>#DIV/0!</v>
      </c>
      <c r="AD229" s="30" t="e">
        <f t="shared" si="51"/>
        <v>#DIV/0!</v>
      </c>
      <c r="AE229" s="30" t="e">
        <f t="shared" si="52"/>
        <v>#DIV/0!</v>
      </c>
      <c r="AF229" s="30" t="e">
        <f t="shared" si="61"/>
        <v>#DIV/0!</v>
      </c>
    </row>
    <row r="230" spans="16:32" x14ac:dyDescent="0.2">
      <c r="P230" s="29" t="e">
        <f t="shared" si="53"/>
        <v>#DIV/0!</v>
      </c>
      <c r="Q230" s="30">
        <f t="shared" si="54"/>
        <v>6</v>
      </c>
      <c r="R230" s="30" t="e">
        <f t="shared" si="55"/>
        <v>#DIV/0!</v>
      </c>
      <c r="X230" s="12">
        <f t="shared" si="56"/>
        <v>19</v>
      </c>
      <c r="Y230" s="30" t="e">
        <f t="shared" si="57"/>
        <v>#DIV/0!</v>
      </c>
      <c r="Z230" s="30" t="e">
        <f t="shared" si="58"/>
        <v>#DIV/0!</v>
      </c>
      <c r="AA230" s="30" t="e">
        <f t="shared" si="59"/>
        <v>#DIV/0!</v>
      </c>
      <c r="AB230" s="30" t="e">
        <f t="shared" si="60"/>
        <v>#DIV/0!</v>
      </c>
      <c r="AC230" s="30" t="e">
        <f t="shared" si="50"/>
        <v>#DIV/0!</v>
      </c>
      <c r="AD230" s="30" t="e">
        <f t="shared" si="51"/>
        <v>#DIV/0!</v>
      </c>
      <c r="AE230" s="30" t="e">
        <f t="shared" si="52"/>
        <v>#DIV/0!</v>
      </c>
      <c r="AF230" s="30" t="e">
        <f t="shared" si="61"/>
        <v>#DIV/0!</v>
      </c>
    </row>
    <row r="231" spans="16:32" x14ac:dyDescent="0.2">
      <c r="P231" s="29" t="e">
        <f t="shared" si="53"/>
        <v>#DIV/0!</v>
      </c>
      <c r="Q231" s="30">
        <f t="shared" si="54"/>
        <v>6</v>
      </c>
      <c r="R231" s="30" t="e">
        <f t="shared" si="55"/>
        <v>#DIV/0!</v>
      </c>
      <c r="X231" s="12">
        <f t="shared" si="56"/>
        <v>19</v>
      </c>
      <c r="Y231" s="30" t="e">
        <f t="shared" si="57"/>
        <v>#DIV/0!</v>
      </c>
      <c r="Z231" s="30" t="e">
        <f t="shared" si="58"/>
        <v>#DIV/0!</v>
      </c>
      <c r="AA231" s="30" t="e">
        <f t="shared" si="59"/>
        <v>#DIV/0!</v>
      </c>
      <c r="AB231" s="30" t="e">
        <f t="shared" si="60"/>
        <v>#DIV/0!</v>
      </c>
      <c r="AC231" s="30" t="e">
        <f t="shared" si="50"/>
        <v>#DIV/0!</v>
      </c>
      <c r="AD231" s="30" t="e">
        <f t="shared" si="51"/>
        <v>#DIV/0!</v>
      </c>
      <c r="AE231" s="30" t="e">
        <f t="shared" si="52"/>
        <v>#DIV/0!</v>
      </c>
      <c r="AF231" s="30" t="e">
        <f t="shared" si="61"/>
        <v>#DIV/0!</v>
      </c>
    </row>
    <row r="232" spans="16:32" x14ac:dyDescent="0.2">
      <c r="P232" s="29" t="e">
        <f t="shared" si="53"/>
        <v>#DIV/0!</v>
      </c>
      <c r="Q232" s="30">
        <f t="shared" si="54"/>
        <v>6</v>
      </c>
      <c r="R232" s="30" t="e">
        <f t="shared" si="55"/>
        <v>#DIV/0!</v>
      </c>
      <c r="X232" s="12">
        <f t="shared" si="56"/>
        <v>19</v>
      </c>
      <c r="Y232" s="30" t="e">
        <f t="shared" si="57"/>
        <v>#DIV/0!</v>
      </c>
      <c r="Z232" s="30" t="e">
        <f t="shared" si="58"/>
        <v>#DIV/0!</v>
      </c>
      <c r="AA232" s="30" t="e">
        <f t="shared" si="59"/>
        <v>#DIV/0!</v>
      </c>
      <c r="AB232" s="30" t="e">
        <f t="shared" si="60"/>
        <v>#DIV/0!</v>
      </c>
      <c r="AC232" s="30" t="e">
        <f t="shared" si="50"/>
        <v>#DIV/0!</v>
      </c>
      <c r="AD232" s="30" t="e">
        <f t="shared" si="51"/>
        <v>#DIV/0!</v>
      </c>
      <c r="AE232" s="30" t="e">
        <f t="shared" si="52"/>
        <v>#DIV/0!</v>
      </c>
      <c r="AF232" s="30" t="e">
        <f t="shared" si="61"/>
        <v>#DIV/0!</v>
      </c>
    </row>
    <row r="233" spans="16:32" x14ac:dyDescent="0.2">
      <c r="P233" s="29" t="e">
        <f t="shared" si="53"/>
        <v>#DIV/0!</v>
      </c>
      <c r="Q233" s="30">
        <f t="shared" si="54"/>
        <v>6</v>
      </c>
      <c r="R233" s="30" t="e">
        <f t="shared" si="55"/>
        <v>#DIV/0!</v>
      </c>
      <c r="X233" s="12">
        <f t="shared" si="56"/>
        <v>19</v>
      </c>
      <c r="Y233" s="30" t="e">
        <f t="shared" si="57"/>
        <v>#DIV/0!</v>
      </c>
      <c r="Z233" s="30" t="e">
        <f t="shared" si="58"/>
        <v>#DIV/0!</v>
      </c>
      <c r="AA233" s="30" t="e">
        <f t="shared" si="59"/>
        <v>#DIV/0!</v>
      </c>
      <c r="AB233" s="30" t="e">
        <f t="shared" si="60"/>
        <v>#DIV/0!</v>
      </c>
      <c r="AC233" s="30" t="e">
        <f t="shared" si="50"/>
        <v>#DIV/0!</v>
      </c>
      <c r="AD233" s="30" t="e">
        <f t="shared" si="51"/>
        <v>#DIV/0!</v>
      </c>
      <c r="AE233" s="30" t="e">
        <f t="shared" si="52"/>
        <v>#DIV/0!</v>
      </c>
      <c r="AF233" s="30" t="e">
        <f t="shared" si="61"/>
        <v>#DIV/0!</v>
      </c>
    </row>
    <row r="234" spans="16:32" x14ac:dyDescent="0.2">
      <c r="P234" s="29" t="e">
        <f t="shared" si="53"/>
        <v>#DIV/0!</v>
      </c>
      <c r="Q234" s="30">
        <f t="shared" si="54"/>
        <v>6</v>
      </c>
      <c r="R234" s="30" t="e">
        <f t="shared" si="55"/>
        <v>#DIV/0!</v>
      </c>
      <c r="X234" s="12">
        <f t="shared" si="56"/>
        <v>19</v>
      </c>
      <c r="Y234" s="30" t="e">
        <f t="shared" si="57"/>
        <v>#DIV/0!</v>
      </c>
      <c r="Z234" s="30" t="e">
        <f t="shared" si="58"/>
        <v>#DIV/0!</v>
      </c>
      <c r="AA234" s="30" t="e">
        <f t="shared" si="59"/>
        <v>#DIV/0!</v>
      </c>
      <c r="AB234" s="30" t="e">
        <f t="shared" si="60"/>
        <v>#DIV/0!</v>
      </c>
      <c r="AC234" s="30" t="e">
        <f t="shared" si="50"/>
        <v>#DIV/0!</v>
      </c>
      <c r="AD234" s="30" t="e">
        <f t="shared" si="51"/>
        <v>#DIV/0!</v>
      </c>
      <c r="AE234" s="30" t="e">
        <f t="shared" si="52"/>
        <v>#DIV/0!</v>
      </c>
      <c r="AF234" s="30" t="e">
        <f t="shared" si="61"/>
        <v>#DIV/0!</v>
      </c>
    </row>
    <row r="235" spans="16:32" x14ac:dyDescent="0.2">
      <c r="P235" s="29" t="e">
        <f t="shared" si="53"/>
        <v>#DIV/0!</v>
      </c>
      <c r="Q235" s="30">
        <f t="shared" si="54"/>
        <v>6</v>
      </c>
      <c r="R235" s="30" t="e">
        <f t="shared" si="55"/>
        <v>#DIV/0!</v>
      </c>
      <c r="X235" s="12">
        <f t="shared" si="56"/>
        <v>19</v>
      </c>
      <c r="Y235" s="30" t="e">
        <f t="shared" si="57"/>
        <v>#DIV/0!</v>
      </c>
      <c r="Z235" s="30" t="e">
        <f t="shared" si="58"/>
        <v>#DIV/0!</v>
      </c>
      <c r="AA235" s="30" t="e">
        <f t="shared" si="59"/>
        <v>#DIV/0!</v>
      </c>
      <c r="AB235" s="30" t="e">
        <f t="shared" si="60"/>
        <v>#DIV/0!</v>
      </c>
      <c r="AC235" s="30" t="e">
        <f t="shared" si="50"/>
        <v>#DIV/0!</v>
      </c>
      <c r="AD235" s="30" t="e">
        <f t="shared" si="51"/>
        <v>#DIV/0!</v>
      </c>
      <c r="AE235" s="30" t="e">
        <f t="shared" si="52"/>
        <v>#DIV/0!</v>
      </c>
      <c r="AF235" s="30" t="e">
        <f t="shared" si="61"/>
        <v>#DIV/0!</v>
      </c>
    </row>
    <row r="236" spans="16:32" x14ac:dyDescent="0.2">
      <c r="P236" s="29" t="e">
        <f t="shared" si="53"/>
        <v>#DIV/0!</v>
      </c>
      <c r="Q236" s="30">
        <f t="shared" si="54"/>
        <v>6</v>
      </c>
      <c r="R236" s="30" t="e">
        <f t="shared" si="55"/>
        <v>#DIV/0!</v>
      </c>
      <c r="X236" s="12">
        <f t="shared" si="56"/>
        <v>19</v>
      </c>
      <c r="Y236" s="30" t="e">
        <f t="shared" si="57"/>
        <v>#DIV/0!</v>
      </c>
      <c r="Z236" s="30" t="e">
        <f t="shared" si="58"/>
        <v>#DIV/0!</v>
      </c>
      <c r="AA236" s="30" t="e">
        <f t="shared" si="59"/>
        <v>#DIV/0!</v>
      </c>
      <c r="AB236" s="30" t="e">
        <f t="shared" si="60"/>
        <v>#DIV/0!</v>
      </c>
      <c r="AC236" s="30" t="e">
        <f t="shared" si="50"/>
        <v>#DIV/0!</v>
      </c>
      <c r="AD236" s="30" t="e">
        <f t="shared" si="51"/>
        <v>#DIV/0!</v>
      </c>
      <c r="AE236" s="30" t="e">
        <f t="shared" si="52"/>
        <v>#DIV/0!</v>
      </c>
      <c r="AF236" s="30" t="e">
        <f t="shared" si="61"/>
        <v>#DIV/0!</v>
      </c>
    </row>
    <row r="237" spans="16:32" x14ac:dyDescent="0.2">
      <c r="P237" s="29" t="e">
        <f t="shared" si="53"/>
        <v>#DIV/0!</v>
      </c>
      <c r="Q237" s="30">
        <f t="shared" si="54"/>
        <v>6</v>
      </c>
      <c r="R237" s="30" t="e">
        <f t="shared" si="55"/>
        <v>#DIV/0!</v>
      </c>
      <c r="X237" s="12">
        <f t="shared" si="56"/>
        <v>19</v>
      </c>
      <c r="Y237" s="30" t="e">
        <f t="shared" si="57"/>
        <v>#DIV/0!</v>
      </c>
      <c r="Z237" s="30" t="e">
        <f t="shared" si="58"/>
        <v>#DIV/0!</v>
      </c>
      <c r="AA237" s="30" t="e">
        <f t="shared" si="59"/>
        <v>#DIV/0!</v>
      </c>
      <c r="AB237" s="30" t="e">
        <f t="shared" si="60"/>
        <v>#DIV/0!</v>
      </c>
      <c r="AC237" s="30" t="e">
        <f t="shared" si="50"/>
        <v>#DIV/0!</v>
      </c>
      <c r="AD237" s="30" t="e">
        <f t="shared" si="51"/>
        <v>#DIV/0!</v>
      </c>
      <c r="AE237" s="30" t="e">
        <f t="shared" si="52"/>
        <v>#DIV/0!</v>
      </c>
      <c r="AF237" s="30" t="e">
        <f t="shared" si="61"/>
        <v>#DIV/0!</v>
      </c>
    </row>
    <row r="238" spans="16:32" x14ac:dyDescent="0.2">
      <c r="P238" s="29" t="e">
        <f t="shared" si="53"/>
        <v>#DIV/0!</v>
      </c>
      <c r="Q238" s="30">
        <f t="shared" si="54"/>
        <v>6</v>
      </c>
      <c r="R238" s="30" t="e">
        <f t="shared" si="55"/>
        <v>#DIV/0!</v>
      </c>
      <c r="X238" s="12">
        <f t="shared" si="56"/>
        <v>19</v>
      </c>
      <c r="Y238" s="30" t="e">
        <f t="shared" si="57"/>
        <v>#DIV/0!</v>
      </c>
      <c r="Z238" s="30" t="e">
        <f t="shared" si="58"/>
        <v>#DIV/0!</v>
      </c>
      <c r="AA238" s="30" t="e">
        <f t="shared" si="59"/>
        <v>#DIV/0!</v>
      </c>
      <c r="AB238" s="30" t="e">
        <f t="shared" si="60"/>
        <v>#DIV/0!</v>
      </c>
      <c r="AC238" s="30" t="e">
        <f t="shared" si="50"/>
        <v>#DIV/0!</v>
      </c>
      <c r="AD238" s="30" t="e">
        <f t="shared" si="51"/>
        <v>#DIV/0!</v>
      </c>
      <c r="AE238" s="30" t="e">
        <f t="shared" si="52"/>
        <v>#DIV/0!</v>
      </c>
      <c r="AF238" s="30" t="e">
        <f t="shared" si="61"/>
        <v>#DIV/0!</v>
      </c>
    </row>
    <row r="239" spans="16:32" x14ac:dyDescent="0.2">
      <c r="P239" s="29" t="e">
        <f t="shared" si="53"/>
        <v>#DIV/0!</v>
      </c>
      <c r="Q239" s="30">
        <f t="shared" si="54"/>
        <v>6</v>
      </c>
      <c r="R239" s="30" t="e">
        <f t="shared" si="55"/>
        <v>#DIV/0!</v>
      </c>
      <c r="X239" s="12">
        <f t="shared" si="56"/>
        <v>19</v>
      </c>
      <c r="Y239" s="30" t="e">
        <f t="shared" si="57"/>
        <v>#DIV/0!</v>
      </c>
      <c r="Z239" s="30" t="e">
        <f t="shared" si="58"/>
        <v>#DIV/0!</v>
      </c>
      <c r="AA239" s="30" t="e">
        <f t="shared" si="59"/>
        <v>#DIV/0!</v>
      </c>
      <c r="AB239" s="30" t="e">
        <f t="shared" si="60"/>
        <v>#DIV/0!</v>
      </c>
      <c r="AC239" s="30" t="e">
        <f t="shared" ref="AC239:AC302" si="62">ROUND(L239/($L239+$M239+$N239)*(20-$X239), 0)</f>
        <v>#DIV/0!</v>
      </c>
      <c r="AD239" s="30" t="e">
        <f t="shared" ref="AD239:AD302" si="63">ROUND(M239/($L239+$M239+$N239)*(20-$X239), 0)</f>
        <v>#DIV/0!</v>
      </c>
      <c r="AE239" s="30" t="e">
        <f t="shared" ref="AE239:AE302" si="64">ROUND(N239/($L239+$M239+$N239)*(20-$X239), 0)</f>
        <v>#DIV/0!</v>
      </c>
      <c r="AF239" s="30" t="e">
        <f t="shared" si="61"/>
        <v>#DIV/0!</v>
      </c>
    </row>
    <row r="240" spans="16:32" x14ac:dyDescent="0.2">
      <c r="P240" s="29" t="e">
        <f t="shared" ref="P240:P303" si="65">O240/D240*9</f>
        <v>#DIV/0!</v>
      </c>
      <c r="Q240" s="30">
        <f t="shared" ref="Q240:Q303" si="66">IF(G240&lt;=1.1,6,IF(G240&lt;=1.2,5,IF(G240&lt;=1.3,4,IF(G240&lt;=1.4,3,IF(G240&lt;=1.5,2,1)))))</f>
        <v>6</v>
      </c>
      <c r="R240" s="30" t="e">
        <f t="shared" ref="R240:R303" si="67">ROUND(E240/C240, 0)</f>
        <v>#DIV/0!</v>
      </c>
      <c r="X240" s="12">
        <f t="shared" ref="X240:X303" si="68">IF(F240&lt;1.25, 19, IF(F240&lt;2, 18, IF(F240&lt;3, 17, IF(F240&lt;4.5, 16, IF(F240&lt;6, 15, 14)))))</f>
        <v>19</v>
      </c>
      <c r="Y240" s="30" t="e">
        <f t="shared" ref="Y240:Y303" si="69">ROUND($X240*H240/($H240+$I240+$J240+$K240), 0)</f>
        <v>#DIV/0!</v>
      </c>
      <c r="Z240" s="30" t="e">
        <f t="shared" ref="Z240:Z303" si="70">ROUND($X240*I240/($H240+$I240+$J240+$K240), 0)</f>
        <v>#DIV/0!</v>
      </c>
      <c r="AA240" s="30" t="e">
        <f t="shared" ref="AA240:AA303" si="71">ROUND($X240*J240/($H240+$I240+$J240+$K240), 0)</f>
        <v>#DIV/0!</v>
      </c>
      <c r="AB240" s="30" t="e">
        <f t="shared" ref="AB240:AB303" si="72">ROUND($X240*K240/($H240+$I240+$J240+$K240), 0)</f>
        <v>#DIV/0!</v>
      </c>
      <c r="AC240" s="30" t="e">
        <f t="shared" si="62"/>
        <v>#DIV/0!</v>
      </c>
      <c r="AD240" s="30" t="e">
        <f t="shared" si="63"/>
        <v>#DIV/0!</v>
      </c>
      <c r="AE240" s="30" t="e">
        <f t="shared" si="64"/>
        <v>#DIV/0!</v>
      </c>
      <c r="AF240" s="30" t="e">
        <f t="shared" ref="AF240:AF303" si="73">IF(P240&lt;0.5,28,IF(P240&lt;0.7,27,IF(P240&lt;0.8,26,IF(P240&lt;1,25,IF(P240&lt;1.1,24,IF(P240&lt;1.25,23,IF(P240&lt;1.5,22,IF(P240&lt;1.75,21,IF(P240&lt;2,21,20)))))))))</f>
        <v>#DIV/0!</v>
      </c>
    </row>
    <row r="241" spans="16:32" x14ac:dyDescent="0.2">
      <c r="P241" s="29" t="e">
        <f t="shared" si="65"/>
        <v>#DIV/0!</v>
      </c>
      <c r="Q241" s="30">
        <f t="shared" si="66"/>
        <v>6</v>
      </c>
      <c r="R241" s="30" t="e">
        <f t="shared" si="67"/>
        <v>#DIV/0!</v>
      </c>
      <c r="X241" s="12">
        <f t="shared" si="68"/>
        <v>19</v>
      </c>
      <c r="Y241" s="30" t="e">
        <f t="shared" si="69"/>
        <v>#DIV/0!</v>
      </c>
      <c r="Z241" s="30" t="e">
        <f t="shared" si="70"/>
        <v>#DIV/0!</v>
      </c>
      <c r="AA241" s="30" t="e">
        <f t="shared" si="71"/>
        <v>#DIV/0!</v>
      </c>
      <c r="AB241" s="30" t="e">
        <f t="shared" si="72"/>
        <v>#DIV/0!</v>
      </c>
      <c r="AC241" s="30" t="e">
        <f t="shared" si="62"/>
        <v>#DIV/0!</v>
      </c>
      <c r="AD241" s="30" t="e">
        <f t="shared" si="63"/>
        <v>#DIV/0!</v>
      </c>
      <c r="AE241" s="30" t="e">
        <f t="shared" si="64"/>
        <v>#DIV/0!</v>
      </c>
      <c r="AF241" s="30" t="e">
        <f t="shared" si="73"/>
        <v>#DIV/0!</v>
      </c>
    </row>
    <row r="242" spans="16:32" x14ac:dyDescent="0.2">
      <c r="P242" s="29" t="e">
        <f t="shared" si="65"/>
        <v>#DIV/0!</v>
      </c>
      <c r="Q242" s="30">
        <f t="shared" si="66"/>
        <v>6</v>
      </c>
      <c r="R242" s="30" t="e">
        <f t="shared" si="67"/>
        <v>#DIV/0!</v>
      </c>
      <c r="X242" s="12">
        <f t="shared" si="68"/>
        <v>19</v>
      </c>
      <c r="Y242" s="30" t="e">
        <f t="shared" si="69"/>
        <v>#DIV/0!</v>
      </c>
      <c r="Z242" s="30" t="e">
        <f t="shared" si="70"/>
        <v>#DIV/0!</v>
      </c>
      <c r="AA242" s="30" t="e">
        <f t="shared" si="71"/>
        <v>#DIV/0!</v>
      </c>
      <c r="AB242" s="30" t="e">
        <f t="shared" si="72"/>
        <v>#DIV/0!</v>
      </c>
      <c r="AC242" s="30" t="e">
        <f t="shared" si="62"/>
        <v>#DIV/0!</v>
      </c>
      <c r="AD242" s="30" t="e">
        <f t="shared" si="63"/>
        <v>#DIV/0!</v>
      </c>
      <c r="AE242" s="30" t="e">
        <f t="shared" si="64"/>
        <v>#DIV/0!</v>
      </c>
      <c r="AF242" s="30" t="e">
        <f t="shared" si="73"/>
        <v>#DIV/0!</v>
      </c>
    </row>
    <row r="243" spans="16:32" x14ac:dyDescent="0.2">
      <c r="P243" s="29" t="e">
        <f t="shared" si="65"/>
        <v>#DIV/0!</v>
      </c>
      <c r="Q243" s="30">
        <f t="shared" si="66"/>
        <v>6</v>
      </c>
      <c r="R243" s="30" t="e">
        <f t="shared" si="67"/>
        <v>#DIV/0!</v>
      </c>
      <c r="X243" s="12">
        <f t="shared" si="68"/>
        <v>19</v>
      </c>
      <c r="Y243" s="30" t="e">
        <f t="shared" si="69"/>
        <v>#DIV/0!</v>
      </c>
      <c r="Z243" s="30" t="e">
        <f t="shared" si="70"/>
        <v>#DIV/0!</v>
      </c>
      <c r="AA243" s="30" t="e">
        <f t="shared" si="71"/>
        <v>#DIV/0!</v>
      </c>
      <c r="AB243" s="30" t="e">
        <f t="shared" si="72"/>
        <v>#DIV/0!</v>
      </c>
      <c r="AC243" s="30" t="e">
        <f t="shared" si="62"/>
        <v>#DIV/0!</v>
      </c>
      <c r="AD243" s="30" t="e">
        <f t="shared" si="63"/>
        <v>#DIV/0!</v>
      </c>
      <c r="AE243" s="30" t="e">
        <f t="shared" si="64"/>
        <v>#DIV/0!</v>
      </c>
      <c r="AF243" s="30" t="e">
        <f t="shared" si="73"/>
        <v>#DIV/0!</v>
      </c>
    </row>
    <row r="244" spans="16:32" x14ac:dyDescent="0.2">
      <c r="P244" s="29" t="e">
        <f t="shared" si="65"/>
        <v>#DIV/0!</v>
      </c>
      <c r="Q244" s="30">
        <f t="shared" si="66"/>
        <v>6</v>
      </c>
      <c r="R244" s="30" t="e">
        <f t="shared" si="67"/>
        <v>#DIV/0!</v>
      </c>
      <c r="X244" s="12">
        <f t="shared" si="68"/>
        <v>19</v>
      </c>
      <c r="Y244" s="30" t="e">
        <f t="shared" si="69"/>
        <v>#DIV/0!</v>
      </c>
      <c r="Z244" s="30" t="e">
        <f t="shared" si="70"/>
        <v>#DIV/0!</v>
      </c>
      <c r="AA244" s="30" t="e">
        <f t="shared" si="71"/>
        <v>#DIV/0!</v>
      </c>
      <c r="AB244" s="30" t="e">
        <f t="shared" si="72"/>
        <v>#DIV/0!</v>
      </c>
      <c r="AC244" s="30" t="e">
        <f t="shared" si="62"/>
        <v>#DIV/0!</v>
      </c>
      <c r="AD244" s="30" t="e">
        <f t="shared" si="63"/>
        <v>#DIV/0!</v>
      </c>
      <c r="AE244" s="30" t="e">
        <f t="shared" si="64"/>
        <v>#DIV/0!</v>
      </c>
      <c r="AF244" s="30" t="e">
        <f t="shared" si="73"/>
        <v>#DIV/0!</v>
      </c>
    </row>
    <row r="245" spans="16:32" x14ac:dyDescent="0.2">
      <c r="P245" s="29" t="e">
        <f t="shared" si="65"/>
        <v>#DIV/0!</v>
      </c>
      <c r="Q245" s="30">
        <f t="shared" si="66"/>
        <v>6</v>
      </c>
      <c r="R245" s="30" t="e">
        <f t="shared" si="67"/>
        <v>#DIV/0!</v>
      </c>
      <c r="X245" s="12">
        <f t="shared" si="68"/>
        <v>19</v>
      </c>
      <c r="Y245" s="30" t="e">
        <f t="shared" si="69"/>
        <v>#DIV/0!</v>
      </c>
      <c r="Z245" s="30" t="e">
        <f t="shared" si="70"/>
        <v>#DIV/0!</v>
      </c>
      <c r="AA245" s="30" t="e">
        <f t="shared" si="71"/>
        <v>#DIV/0!</v>
      </c>
      <c r="AB245" s="30" t="e">
        <f t="shared" si="72"/>
        <v>#DIV/0!</v>
      </c>
      <c r="AC245" s="30" t="e">
        <f t="shared" si="62"/>
        <v>#DIV/0!</v>
      </c>
      <c r="AD245" s="30" t="e">
        <f t="shared" si="63"/>
        <v>#DIV/0!</v>
      </c>
      <c r="AE245" s="30" t="e">
        <f t="shared" si="64"/>
        <v>#DIV/0!</v>
      </c>
      <c r="AF245" s="30" t="e">
        <f t="shared" si="73"/>
        <v>#DIV/0!</v>
      </c>
    </row>
    <row r="246" spans="16:32" x14ac:dyDescent="0.2">
      <c r="P246" s="29" t="e">
        <f t="shared" si="65"/>
        <v>#DIV/0!</v>
      </c>
      <c r="Q246" s="30">
        <f t="shared" si="66"/>
        <v>6</v>
      </c>
      <c r="R246" s="30" t="e">
        <f t="shared" si="67"/>
        <v>#DIV/0!</v>
      </c>
      <c r="X246" s="12">
        <f t="shared" si="68"/>
        <v>19</v>
      </c>
      <c r="Y246" s="30" t="e">
        <f t="shared" si="69"/>
        <v>#DIV/0!</v>
      </c>
      <c r="Z246" s="30" t="e">
        <f t="shared" si="70"/>
        <v>#DIV/0!</v>
      </c>
      <c r="AA246" s="30" t="e">
        <f t="shared" si="71"/>
        <v>#DIV/0!</v>
      </c>
      <c r="AB246" s="30" t="e">
        <f t="shared" si="72"/>
        <v>#DIV/0!</v>
      </c>
      <c r="AC246" s="30" t="e">
        <f t="shared" si="62"/>
        <v>#DIV/0!</v>
      </c>
      <c r="AD246" s="30" t="e">
        <f t="shared" si="63"/>
        <v>#DIV/0!</v>
      </c>
      <c r="AE246" s="30" t="e">
        <f t="shared" si="64"/>
        <v>#DIV/0!</v>
      </c>
      <c r="AF246" s="30" t="e">
        <f t="shared" si="73"/>
        <v>#DIV/0!</v>
      </c>
    </row>
    <row r="247" spans="16:32" x14ac:dyDescent="0.2">
      <c r="P247" s="29" t="e">
        <f t="shared" si="65"/>
        <v>#DIV/0!</v>
      </c>
      <c r="Q247" s="30">
        <f t="shared" si="66"/>
        <v>6</v>
      </c>
      <c r="R247" s="30" t="e">
        <f t="shared" si="67"/>
        <v>#DIV/0!</v>
      </c>
      <c r="X247" s="12">
        <f t="shared" si="68"/>
        <v>19</v>
      </c>
      <c r="Y247" s="30" t="e">
        <f t="shared" si="69"/>
        <v>#DIV/0!</v>
      </c>
      <c r="Z247" s="30" t="e">
        <f t="shared" si="70"/>
        <v>#DIV/0!</v>
      </c>
      <c r="AA247" s="30" t="e">
        <f t="shared" si="71"/>
        <v>#DIV/0!</v>
      </c>
      <c r="AB247" s="30" t="e">
        <f t="shared" si="72"/>
        <v>#DIV/0!</v>
      </c>
      <c r="AC247" s="30" t="e">
        <f t="shared" si="62"/>
        <v>#DIV/0!</v>
      </c>
      <c r="AD247" s="30" t="e">
        <f t="shared" si="63"/>
        <v>#DIV/0!</v>
      </c>
      <c r="AE247" s="30" t="e">
        <f t="shared" si="64"/>
        <v>#DIV/0!</v>
      </c>
      <c r="AF247" s="30" t="e">
        <f t="shared" si="73"/>
        <v>#DIV/0!</v>
      </c>
    </row>
    <row r="248" spans="16:32" x14ac:dyDescent="0.2">
      <c r="P248" s="29" t="e">
        <f t="shared" si="65"/>
        <v>#DIV/0!</v>
      </c>
      <c r="Q248" s="30">
        <f t="shared" si="66"/>
        <v>6</v>
      </c>
      <c r="R248" s="30" t="e">
        <f t="shared" si="67"/>
        <v>#DIV/0!</v>
      </c>
      <c r="X248" s="12">
        <f t="shared" si="68"/>
        <v>19</v>
      </c>
      <c r="Y248" s="30" t="e">
        <f t="shared" si="69"/>
        <v>#DIV/0!</v>
      </c>
      <c r="Z248" s="30" t="e">
        <f t="shared" si="70"/>
        <v>#DIV/0!</v>
      </c>
      <c r="AA248" s="30" t="e">
        <f t="shared" si="71"/>
        <v>#DIV/0!</v>
      </c>
      <c r="AB248" s="30" t="e">
        <f t="shared" si="72"/>
        <v>#DIV/0!</v>
      </c>
      <c r="AC248" s="30" t="e">
        <f t="shared" si="62"/>
        <v>#DIV/0!</v>
      </c>
      <c r="AD248" s="30" t="e">
        <f t="shared" si="63"/>
        <v>#DIV/0!</v>
      </c>
      <c r="AE248" s="30" t="e">
        <f t="shared" si="64"/>
        <v>#DIV/0!</v>
      </c>
      <c r="AF248" s="30" t="e">
        <f t="shared" si="73"/>
        <v>#DIV/0!</v>
      </c>
    </row>
    <row r="249" spans="16:32" x14ac:dyDescent="0.2">
      <c r="P249" s="29" t="e">
        <f t="shared" si="65"/>
        <v>#DIV/0!</v>
      </c>
      <c r="Q249" s="30">
        <f t="shared" si="66"/>
        <v>6</v>
      </c>
      <c r="R249" s="30" t="e">
        <f t="shared" si="67"/>
        <v>#DIV/0!</v>
      </c>
      <c r="X249" s="12">
        <f t="shared" si="68"/>
        <v>19</v>
      </c>
      <c r="Y249" s="30" t="e">
        <f t="shared" si="69"/>
        <v>#DIV/0!</v>
      </c>
      <c r="Z249" s="30" t="e">
        <f t="shared" si="70"/>
        <v>#DIV/0!</v>
      </c>
      <c r="AA249" s="30" t="e">
        <f t="shared" si="71"/>
        <v>#DIV/0!</v>
      </c>
      <c r="AB249" s="30" t="e">
        <f t="shared" si="72"/>
        <v>#DIV/0!</v>
      </c>
      <c r="AC249" s="30" t="e">
        <f t="shared" si="62"/>
        <v>#DIV/0!</v>
      </c>
      <c r="AD249" s="30" t="e">
        <f t="shared" si="63"/>
        <v>#DIV/0!</v>
      </c>
      <c r="AE249" s="30" t="e">
        <f t="shared" si="64"/>
        <v>#DIV/0!</v>
      </c>
      <c r="AF249" s="30" t="e">
        <f t="shared" si="73"/>
        <v>#DIV/0!</v>
      </c>
    </row>
    <row r="250" spans="16:32" x14ac:dyDescent="0.2">
      <c r="P250" s="29" t="e">
        <f t="shared" si="65"/>
        <v>#DIV/0!</v>
      </c>
      <c r="Q250" s="30">
        <f t="shared" si="66"/>
        <v>6</v>
      </c>
      <c r="R250" s="30" t="e">
        <f t="shared" si="67"/>
        <v>#DIV/0!</v>
      </c>
      <c r="X250" s="12">
        <f t="shared" si="68"/>
        <v>19</v>
      </c>
      <c r="Y250" s="30" t="e">
        <f t="shared" si="69"/>
        <v>#DIV/0!</v>
      </c>
      <c r="Z250" s="30" t="e">
        <f t="shared" si="70"/>
        <v>#DIV/0!</v>
      </c>
      <c r="AA250" s="30" t="e">
        <f t="shared" si="71"/>
        <v>#DIV/0!</v>
      </c>
      <c r="AB250" s="30" t="e">
        <f t="shared" si="72"/>
        <v>#DIV/0!</v>
      </c>
      <c r="AC250" s="30" t="e">
        <f t="shared" si="62"/>
        <v>#DIV/0!</v>
      </c>
      <c r="AD250" s="30" t="e">
        <f t="shared" si="63"/>
        <v>#DIV/0!</v>
      </c>
      <c r="AE250" s="30" t="e">
        <f t="shared" si="64"/>
        <v>#DIV/0!</v>
      </c>
      <c r="AF250" s="30" t="e">
        <f t="shared" si="73"/>
        <v>#DIV/0!</v>
      </c>
    </row>
    <row r="251" spans="16:32" x14ac:dyDescent="0.2">
      <c r="P251" s="29" t="e">
        <f t="shared" si="65"/>
        <v>#DIV/0!</v>
      </c>
      <c r="Q251" s="30">
        <f t="shared" si="66"/>
        <v>6</v>
      </c>
      <c r="R251" s="30" t="e">
        <f t="shared" si="67"/>
        <v>#DIV/0!</v>
      </c>
      <c r="X251" s="12">
        <f t="shared" si="68"/>
        <v>19</v>
      </c>
      <c r="Y251" s="30" t="e">
        <f t="shared" si="69"/>
        <v>#DIV/0!</v>
      </c>
      <c r="Z251" s="30" t="e">
        <f t="shared" si="70"/>
        <v>#DIV/0!</v>
      </c>
      <c r="AA251" s="30" t="e">
        <f t="shared" si="71"/>
        <v>#DIV/0!</v>
      </c>
      <c r="AB251" s="30" t="e">
        <f t="shared" si="72"/>
        <v>#DIV/0!</v>
      </c>
      <c r="AC251" s="30" t="e">
        <f t="shared" si="62"/>
        <v>#DIV/0!</v>
      </c>
      <c r="AD251" s="30" t="e">
        <f t="shared" si="63"/>
        <v>#DIV/0!</v>
      </c>
      <c r="AE251" s="30" t="e">
        <f t="shared" si="64"/>
        <v>#DIV/0!</v>
      </c>
      <c r="AF251" s="30" t="e">
        <f t="shared" si="73"/>
        <v>#DIV/0!</v>
      </c>
    </row>
    <row r="252" spans="16:32" x14ac:dyDescent="0.2">
      <c r="P252" s="29" t="e">
        <f t="shared" si="65"/>
        <v>#DIV/0!</v>
      </c>
      <c r="Q252" s="30">
        <f t="shared" si="66"/>
        <v>6</v>
      </c>
      <c r="R252" s="30" t="e">
        <f t="shared" si="67"/>
        <v>#DIV/0!</v>
      </c>
      <c r="X252" s="12">
        <f t="shared" si="68"/>
        <v>19</v>
      </c>
      <c r="Y252" s="30" t="e">
        <f t="shared" si="69"/>
        <v>#DIV/0!</v>
      </c>
      <c r="Z252" s="30" t="e">
        <f t="shared" si="70"/>
        <v>#DIV/0!</v>
      </c>
      <c r="AA252" s="30" t="e">
        <f t="shared" si="71"/>
        <v>#DIV/0!</v>
      </c>
      <c r="AB252" s="30" t="e">
        <f t="shared" si="72"/>
        <v>#DIV/0!</v>
      </c>
      <c r="AC252" s="30" t="e">
        <f t="shared" si="62"/>
        <v>#DIV/0!</v>
      </c>
      <c r="AD252" s="30" t="e">
        <f t="shared" si="63"/>
        <v>#DIV/0!</v>
      </c>
      <c r="AE252" s="30" t="e">
        <f t="shared" si="64"/>
        <v>#DIV/0!</v>
      </c>
      <c r="AF252" s="30" t="e">
        <f t="shared" si="73"/>
        <v>#DIV/0!</v>
      </c>
    </row>
    <row r="253" spans="16:32" x14ac:dyDescent="0.2">
      <c r="P253" s="29" t="e">
        <f t="shared" si="65"/>
        <v>#DIV/0!</v>
      </c>
      <c r="Q253" s="30">
        <f t="shared" si="66"/>
        <v>6</v>
      </c>
      <c r="R253" s="30" t="e">
        <f t="shared" si="67"/>
        <v>#DIV/0!</v>
      </c>
      <c r="X253" s="12">
        <f t="shared" si="68"/>
        <v>19</v>
      </c>
      <c r="Y253" s="30" t="e">
        <f t="shared" si="69"/>
        <v>#DIV/0!</v>
      </c>
      <c r="Z253" s="30" t="e">
        <f t="shared" si="70"/>
        <v>#DIV/0!</v>
      </c>
      <c r="AA253" s="30" t="e">
        <f t="shared" si="71"/>
        <v>#DIV/0!</v>
      </c>
      <c r="AB253" s="30" t="e">
        <f t="shared" si="72"/>
        <v>#DIV/0!</v>
      </c>
      <c r="AC253" s="30" t="e">
        <f t="shared" si="62"/>
        <v>#DIV/0!</v>
      </c>
      <c r="AD253" s="30" t="e">
        <f t="shared" si="63"/>
        <v>#DIV/0!</v>
      </c>
      <c r="AE253" s="30" t="e">
        <f t="shared" si="64"/>
        <v>#DIV/0!</v>
      </c>
      <c r="AF253" s="30" t="e">
        <f t="shared" si="73"/>
        <v>#DIV/0!</v>
      </c>
    </row>
    <row r="254" spans="16:32" x14ac:dyDescent="0.2">
      <c r="P254" s="29" t="e">
        <f t="shared" si="65"/>
        <v>#DIV/0!</v>
      </c>
      <c r="Q254" s="30">
        <f t="shared" si="66"/>
        <v>6</v>
      </c>
      <c r="R254" s="30" t="e">
        <f t="shared" si="67"/>
        <v>#DIV/0!</v>
      </c>
      <c r="X254" s="12">
        <f t="shared" si="68"/>
        <v>19</v>
      </c>
      <c r="Y254" s="30" t="e">
        <f t="shared" si="69"/>
        <v>#DIV/0!</v>
      </c>
      <c r="Z254" s="30" t="e">
        <f t="shared" si="70"/>
        <v>#DIV/0!</v>
      </c>
      <c r="AA254" s="30" t="e">
        <f t="shared" si="71"/>
        <v>#DIV/0!</v>
      </c>
      <c r="AB254" s="30" t="e">
        <f t="shared" si="72"/>
        <v>#DIV/0!</v>
      </c>
      <c r="AC254" s="30" t="e">
        <f t="shared" si="62"/>
        <v>#DIV/0!</v>
      </c>
      <c r="AD254" s="30" t="e">
        <f t="shared" si="63"/>
        <v>#DIV/0!</v>
      </c>
      <c r="AE254" s="30" t="e">
        <f t="shared" si="64"/>
        <v>#DIV/0!</v>
      </c>
      <c r="AF254" s="30" t="e">
        <f t="shared" si="73"/>
        <v>#DIV/0!</v>
      </c>
    </row>
    <row r="255" spans="16:32" x14ac:dyDescent="0.2">
      <c r="P255" s="29" t="e">
        <f t="shared" si="65"/>
        <v>#DIV/0!</v>
      </c>
      <c r="Q255" s="30">
        <f t="shared" si="66"/>
        <v>6</v>
      </c>
      <c r="R255" s="30" t="e">
        <f t="shared" si="67"/>
        <v>#DIV/0!</v>
      </c>
      <c r="X255" s="12">
        <f t="shared" si="68"/>
        <v>19</v>
      </c>
      <c r="Y255" s="30" t="e">
        <f t="shared" si="69"/>
        <v>#DIV/0!</v>
      </c>
      <c r="Z255" s="30" t="e">
        <f t="shared" si="70"/>
        <v>#DIV/0!</v>
      </c>
      <c r="AA255" s="30" t="e">
        <f t="shared" si="71"/>
        <v>#DIV/0!</v>
      </c>
      <c r="AB255" s="30" t="e">
        <f t="shared" si="72"/>
        <v>#DIV/0!</v>
      </c>
      <c r="AC255" s="30" t="e">
        <f t="shared" si="62"/>
        <v>#DIV/0!</v>
      </c>
      <c r="AD255" s="30" t="e">
        <f t="shared" si="63"/>
        <v>#DIV/0!</v>
      </c>
      <c r="AE255" s="30" t="e">
        <f t="shared" si="64"/>
        <v>#DIV/0!</v>
      </c>
      <c r="AF255" s="30" t="e">
        <f t="shared" si="73"/>
        <v>#DIV/0!</v>
      </c>
    </row>
    <row r="256" spans="16:32" x14ac:dyDescent="0.2">
      <c r="P256" s="29" t="e">
        <f t="shared" si="65"/>
        <v>#DIV/0!</v>
      </c>
      <c r="Q256" s="30">
        <f t="shared" si="66"/>
        <v>6</v>
      </c>
      <c r="R256" s="30" t="e">
        <f t="shared" si="67"/>
        <v>#DIV/0!</v>
      </c>
      <c r="X256" s="12">
        <f t="shared" si="68"/>
        <v>19</v>
      </c>
      <c r="Y256" s="30" t="e">
        <f t="shared" si="69"/>
        <v>#DIV/0!</v>
      </c>
      <c r="Z256" s="30" t="e">
        <f t="shared" si="70"/>
        <v>#DIV/0!</v>
      </c>
      <c r="AA256" s="30" t="e">
        <f t="shared" si="71"/>
        <v>#DIV/0!</v>
      </c>
      <c r="AB256" s="30" t="e">
        <f t="shared" si="72"/>
        <v>#DIV/0!</v>
      </c>
      <c r="AC256" s="30" t="e">
        <f t="shared" si="62"/>
        <v>#DIV/0!</v>
      </c>
      <c r="AD256" s="30" t="e">
        <f t="shared" si="63"/>
        <v>#DIV/0!</v>
      </c>
      <c r="AE256" s="30" t="e">
        <f t="shared" si="64"/>
        <v>#DIV/0!</v>
      </c>
      <c r="AF256" s="30" t="e">
        <f t="shared" si="73"/>
        <v>#DIV/0!</v>
      </c>
    </row>
    <row r="257" spans="16:32" x14ac:dyDescent="0.2">
      <c r="P257" s="29" t="e">
        <f t="shared" si="65"/>
        <v>#DIV/0!</v>
      </c>
      <c r="Q257" s="30">
        <f t="shared" si="66"/>
        <v>6</v>
      </c>
      <c r="R257" s="30" t="e">
        <f t="shared" si="67"/>
        <v>#DIV/0!</v>
      </c>
      <c r="X257" s="12">
        <f t="shared" si="68"/>
        <v>19</v>
      </c>
      <c r="Y257" s="30" t="e">
        <f t="shared" si="69"/>
        <v>#DIV/0!</v>
      </c>
      <c r="Z257" s="30" t="e">
        <f t="shared" si="70"/>
        <v>#DIV/0!</v>
      </c>
      <c r="AA257" s="30" t="e">
        <f t="shared" si="71"/>
        <v>#DIV/0!</v>
      </c>
      <c r="AB257" s="30" t="e">
        <f t="shared" si="72"/>
        <v>#DIV/0!</v>
      </c>
      <c r="AC257" s="30" t="e">
        <f t="shared" si="62"/>
        <v>#DIV/0!</v>
      </c>
      <c r="AD257" s="30" t="e">
        <f t="shared" si="63"/>
        <v>#DIV/0!</v>
      </c>
      <c r="AE257" s="30" t="e">
        <f t="shared" si="64"/>
        <v>#DIV/0!</v>
      </c>
      <c r="AF257" s="30" t="e">
        <f t="shared" si="73"/>
        <v>#DIV/0!</v>
      </c>
    </row>
    <row r="258" spans="16:32" x14ac:dyDescent="0.2">
      <c r="P258" s="29" t="e">
        <f t="shared" si="65"/>
        <v>#DIV/0!</v>
      </c>
      <c r="Q258" s="30">
        <f t="shared" si="66"/>
        <v>6</v>
      </c>
      <c r="R258" s="30" t="e">
        <f t="shared" si="67"/>
        <v>#DIV/0!</v>
      </c>
      <c r="X258" s="12">
        <f t="shared" si="68"/>
        <v>19</v>
      </c>
      <c r="Y258" s="30" t="e">
        <f t="shared" si="69"/>
        <v>#DIV/0!</v>
      </c>
      <c r="Z258" s="30" t="e">
        <f t="shared" si="70"/>
        <v>#DIV/0!</v>
      </c>
      <c r="AA258" s="30" t="e">
        <f t="shared" si="71"/>
        <v>#DIV/0!</v>
      </c>
      <c r="AB258" s="30" t="e">
        <f t="shared" si="72"/>
        <v>#DIV/0!</v>
      </c>
      <c r="AC258" s="30" t="e">
        <f t="shared" si="62"/>
        <v>#DIV/0!</v>
      </c>
      <c r="AD258" s="30" t="e">
        <f t="shared" si="63"/>
        <v>#DIV/0!</v>
      </c>
      <c r="AE258" s="30" t="e">
        <f t="shared" si="64"/>
        <v>#DIV/0!</v>
      </c>
      <c r="AF258" s="30" t="e">
        <f t="shared" si="73"/>
        <v>#DIV/0!</v>
      </c>
    </row>
    <row r="259" spans="16:32" x14ac:dyDescent="0.2">
      <c r="P259" s="29" t="e">
        <f t="shared" si="65"/>
        <v>#DIV/0!</v>
      </c>
      <c r="Q259" s="30">
        <f t="shared" si="66"/>
        <v>6</v>
      </c>
      <c r="R259" s="30" t="e">
        <f t="shared" si="67"/>
        <v>#DIV/0!</v>
      </c>
      <c r="X259" s="12">
        <f t="shared" si="68"/>
        <v>19</v>
      </c>
      <c r="Y259" s="30" t="e">
        <f t="shared" si="69"/>
        <v>#DIV/0!</v>
      </c>
      <c r="Z259" s="30" t="e">
        <f t="shared" si="70"/>
        <v>#DIV/0!</v>
      </c>
      <c r="AA259" s="30" t="e">
        <f t="shared" si="71"/>
        <v>#DIV/0!</v>
      </c>
      <c r="AB259" s="30" t="e">
        <f t="shared" si="72"/>
        <v>#DIV/0!</v>
      </c>
      <c r="AC259" s="30" t="e">
        <f t="shared" si="62"/>
        <v>#DIV/0!</v>
      </c>
      <c r="AD259" s="30" t="e">
        <f t="shared" si="63"/>
        <v>#DIV/0!</v>
      </c>
      <c r="AE259" s="30" t="e">
        <f t="shared" si="64"/>
        <v>#DIV/0!</v>
      </c>
      <c r="AF259" s="30" t="e">
        <f t="shared" si="73"/>
        <v>#DIV/0!</v>
      </c>
    </row>
    <row r="260" spans="16:32" x14ac:dyDescent="0.2">
      <c r="P260" s="29" t="e">
        <f t="shared" si="65"/>
        <v>#DIV/0!</v>
      </c>
      <c r="Q260" s="30">
        <f t="shared" si="66"/>
        <v>6</v>
      </c>
      <c r="R260" s="30" t="e">
        <f t="shared" si="67"/>
        <v>#DIV/0!</v>
      </c>
      <c r="X260" s="12">
        <f t="shared" si="68"/>
        <v>19</v>
      </c>
      <c r="Y260" s="30" t="e">
        <f t="shared" si="69"/>
        <v>#DIV/0!</v>
      </c>
      <c r="Z260" s="30" t="e">
        <f t="shared" si="70"/>
        <v>#DIV/0!</v>
      </c>
      <c r="AA260" s="30" t="e">
        <f t="shared" si="71"/>
        <v>#DIV/0!</v>
      </c>
      <c r="AB260" s="30" t="e">
        <f t="shared" si="72"/>
        <v>#DIV/0!</v>
      </c>
      <c r="AC260" s="30" t="e">
        <f t="shared" si="62"/>
        <v>#DIV/0!</v>
      </c>
      <c r="AD260" s="30" t="e">
        <f t="shared" si="63"/>
        <v>#DIV/0!</v>
      </c>
      <c r="AE260" s="30" t="e">
        <f t="shared" si="64"/>
        <v>#DIV/0!</v>
      </c>
      <c r="AF260" s="30" t="e">
        <f t="shared" si="73"/>
        <v>#DIV/0!</v>
      </c>
    </row>
    <row r="261" spans="16:32" x14ac:dyDescent="0.2">
      <c r="P261" s="29" t="e">
        <f t="shared" si="65"/>
        <v>#DIV/0!</v>
      </c>
      <c r="Q261" s="30">
        <f t="shared" si="66"/>
        <v>6</v>
      </c>
      <c r="R261" s="30" t="e">
        <f t="shared" si="67"/>
        <v>#DIV/0!</v>
      </c>
      <c r="X261" s="12">
        <f t="shared" si="68"/>
        <v>19</v>
      </c>
      <c r="Y261" s="30" t="e">
        <f t="shared" si="69"/>
        <v>#DIV/0!</v>
      </c>
      <c r="Z261" s="30" t="e">
        <f t="shared" si="70"/>
        <v>#DIV/0!</v>
      </c>
      <c r="AA261" s="30" t="e">
        <f t="shared" si="71"/>
        <v>#DIV/0!</v>
      </c>
      <c r="AB261" s="30" t="e">
        <f t="shared" si="72"/>
        <v>#DIV/0!</v>
      </c>
      <c r="AC261" s="30" t="e">
        <f t="shared" si="62"/>
        <v>#DIV/0!</v>
      </c>
      <c r="AD261" s="30" t="e">
        <f t="shared" si="63"/>
        <v>#DIV/0!</v>
      </c>
      <c r="AE261" s="30" t="e">
        <f t="shared" si="64"/>
        <v>#DIV/0!</v>
      </c>
      <c r="AF261" s="30" t="e">
        <f t="shared" si="73"/>
        <v>#DIV/0!</v>
      </c>
    </row>
    <row r="262" spans="16:32" x14ac:dyDescent="0.2">
      <c r="P262" s="29" t="e">
        <f t="shared" si="65"/>
        <v>#DIV/0!</v>
      </c>
      <c r="Q262" s="30">
        <f t="shared" si="66"/>
        <v>6</v>
      </c>
      <c r="R262" s="30" t="e">
        <f t="shared" si="67"/>
        <v>#DIV/0!</v>
      </c>
      <c r="X262" s="12">
        <f t="shared" si="68"/>
        <v>19</v>
      </c>
      <c r="Y262" s="30" t="e">
        <f t="shared" si="69"/>
        <v>#DIV/0!</v>
      </c>
      <c r="Z262" s="30" t="e">
        <f t="shared" si="70"/>
        <v>#DIV/0!</v>
      </c>
      <c r="AA262" s="30" t="e">
        <f t="shared" si="71"/>
        <v>#DIV/0!</v>
      </c>
      <c r="AB262" s="30" t="e">
        <f t="shared" si="72"/>
        <v>#DIV/0!</v>
      </c>
      <c r="AC262" s="30" t="e">
        <f t="shared" si="62"/>
        <v>#DIV/0!</v>
      </c>
      <c r="AD262" s="30" t="e">
        <f t="shared" si="63"/>
        <v>#DIV/0!</v>
      </c>
      <c r="AE262" s="30" t="e">
        <f t="shared" si="64"/>
        <v>#DIV/0!</v>
      </c>
      <c r="AF262" s="30" t="e">
        <f t="shared" si="73"/>
        <v>#DIV/0!</v>
      </c>
    </row>
    <row r="263" spans="16:32" x14ac:dyDescent="0.2">
      <c r="P263" s="29" t="e">
        <f t="shared" si="65"/>
        <v>#DIV/0!</v>
      </c>
      <c r="Q263" s="30">
        <f t="shared" si="66"/>
        <v>6</v>
      </c>
      <c r="R263" s="30" t="e">
        <f t="shared" si="67"/>
        <v>#DIV/0!</v>
      </c>
      <c r="X263" s="12">
        <f t="shared" si="68"/>
        <v>19</v>
      </c>
      <c r="Y263" s="30" t="e">
        <f t="shared" si="69"/>
        <v>#DIV/0!</v>
      </c>
      <c r="Z263" s="30" t="e">
        <f t="shared" si="70"/>
        <v>#DIV/0!</v>
      </c>
      <c r="AA263" s="30" t="e">
        <f t="shared" si="71"/>
        <v>#DIV/0!</v>
      </c>
      <c r="AB263" s="30" t="e">
        <f t="shared" si="72"/>
        <v>#DIV/0!</v>
      </c>
      <c r="AC263" s="30" t="e">
        <f t="shared" si="62"/>
        <v>#DIV/0!</v>
      </c>
      <c r="AD263" s="30" t="e">
        <f t="shared" si="63"/>
        <v>#DIV/0!</v>
      </c>
      <c r="AE263" s="30" t="e">
        <f t="shared" si="64"/>
        <v>#DIV/0!</v>
      </c>
      <c r="AF263" s="30" t="e">
        <f t="shared" si="73"/>
        <v>#DIV/0!</v>
      </c>
    </row>
    <row r="264" spans="16:32" x14ac:dyDescent="0.2">
      <c r="P264" s="29" t="e">
        <f t="shared" si="65"/>
        <v>#DIV/0!</v>
      </c>
      <c r="Q264" s="30">
        <f t="shared" si="66"/>
        <v>6</v>
      </c>
      <c r="R264" s="30" t="e">
        <f t="shared" si="67"/>
        <v>#DIV/0!</v>
      </c>
      <c r="X264" s="12">
        <f t="shared" si="68"/>
        <v>19</v>
      </c>
      <c r="Y264" s="30" t="e">
        <f t="shared" si="69"/>
        <v>#DIV/0!</v>
      </c>
      <c r="Z264" s="30" t="e">
        <f t="shared" si="70"/>
        <v>#DIV/0!</v>
      </c>
      <c r="AA264" s="30" t="e">
        <f t="shared" si="71"/>
        <v>#DIV/0!</v>
      </c>
      <c r="AB264" s="30" t="e">
        <f t="shared" si="72"/>
        <v>#DIV/0!</v>
      </c>
      <c r="AC264" s="30" t="e">
        <f t="shared" si="62"/>
        <v>#DIV/0!</v>
      </c>
      <c r="AD264" s="30" t="e">
        <f t="shared" si="63"/>
        <v>#DIV/0!</v>
      </c>
      <c r="AE264" s="30" t="e">
        <f t="shared" si="64"/>
        <v>#DIV/0!</v>
      </c>
      <c r="AF264" s="30" t="e">
        <f t="shared" si="73"/>
        <v>#DIV/0!</v>
      </c>
    </row>
    <row r="265" spans="16:32" x14ac:dyDescent="0.2">
      <c r="P265" s="29" t="e">
        <f t="shared" si="65"/>
        <v>#DIV/0!</v>
      </c>
      <c r="Q265" s="30">
        <f t="shared" si="66"/>
        <v>6</v>
      </c>
      <c r="R265" s="30" t="e">
        <f t="shared" si="67"/>
        <v>#DIV/0!</v>
      </c>
      <c r="X265" s="12">
        <f t="shared" si="68"/>
        <v>19</v>
      </c>
      <c r="Y265" s="30" t="e">
        <f t="shared" si="69"/>
        <v>#DIV/0!</v>
      </c>
      <c r="Z265" s="30" t="e">
        <f t="shared" si="70"/>
        <v>#DIV/0!</v>
      </c>
      <c r="AA265" s="30" t="e">
        <f t="shared" si="71"/>
        <v>#DIV/0!</v>
      </c>
      <c r="AB265" s="30" t="e">
        <f t="shared" si="72"/>
        <v>#DIV/0!</v>
      </c>
      <c r="AC265" s="30" t="e">
        <f t="shared" si="62"/>
        <v>#DIV/0!</v>
      </c>
      <c r="AD265" s="30" t="e">
        <f t="shared" si="63"/>
        <v>#DIV/0!</v>
      </c>
      <c r="AE265" s="30" t="e">
        <f t="shared" si="64"/>
        <v>#DIV/0!</v>
      </c>
      <c r="AF265" s="30" t="e">
        <f t="shared" si="73"/>
        <v>#DIV/0!</v>
      </c>
    </row>
    <row r="266" spans="16:32" x14ac:dyDescent="0.2">
      <c r="P266" s="29" t="e">
        <f t="shared" si="65"/>
        <v>#DIV/0!</v>
      </c>
      <c r="Q266" s="30">
        <f t="shared" si="66"/>
        <v>6</v>
      </c>
      <c r="R266" s="30" t="e">
        <f t="shared" si="67"/>
        <v>#DIV/0!</v>
      </c>
      <c r="X266" s="12">
        <f t="shared" si="68"/>
        <v>19</v>
      </c>
      <c r="Y266" s="30" t="e">
        <f t="shared" si="69"/>
        <v>#DIV/0!</v>
      </c>
      <c r="Z266" s="30" t="e">
        <f t="shared" si="70"/>
        <v>#DIV/0!</v>
      </c>
      <c r="AA266" s="30" t="e">
        <f t="shared" si="71"/>
        <v>#DIV/0!</v>
      </c>
      <c r="AB266" s="30" t="e">
        <f t="shared" si="72"/>
        <v>#DIV/0!</v>
      </c>
      <c r="AC266" s="30" t="e">
        <f t="shared" si="62"/>
        <v>#DIV/0!</v>
      </c>
      <c r="AD266" s="30" t="e">
        <f t="shared" si="63"/>
        <v>#DIV/0!</v>
      </c>
      <c r="AE266" s="30" t="e">
        <f t="shared" si="64"/>
        <v>#DIV/0!</v>
      </c>
      <c r="AF266" s="30" t="e">
        <f t="shared" si="73"/>
        <v>#DIV/0!</v>
      </c>
    </row>
    <row r="267" spans="16:32" x14ac:dyDescent="0.2">
      <c r="P267" s="29" t="e">
        <f t="shared" si="65"/>
        <v>#DIV/0!</v>
      </c>
      <c r="Q267" s="30">
        <f t="shared" si="66"/>
        <v>6</v>
      </c>
      <c r="R267" s="30" t="e">
        <f t="shared" si="67"/>
        <v>#DIV/0!</v>
      </c>
      <c r="X267" s="12">
        <f t="shared" si="68"/>
        <v>19</v>
      </c>
      <c r="Y267" s="30" t="e">
        <f t="shared" si="69"/>
        <v>#DIV/0!</v>
      </c>
      <c r="Z267" s="30" t="e">
        <f t="shared" si="70"/>
        <v>#DIV/0!</v>
      </c>
      <c r="AA267" s="30" t="e">
        <f t="shared" si="71"/>
        <v>#DIV/0!</v>
      </c>
      <c r="AB267" s="30" t="e">
        <f t="shared" si="72"/>
        <v>#DIV/0!</v>
      </c>
      <c r="AC267" s="30" t="e">
        <f t="shared" si="62"/>
        <v>#DIV/0!</v>
      </c>
      <c r="AD267" s="30" t="e">
        <f t="shared" si="63"/>
        <v>#DIV/0!</v>
      </c>
      <c r="AE267" s="30" t="e">
        <f t="shared" si="64"/>
        <v>#DIV/0!</v>
      </c>
      <c r="AF267" s="30" t="e">
        <f t="shared" si="73"/>
        <v>#DIV/0!</v>
      </c>
    </row>
    <row r="268" spans="16:32" x14ac:dyDescent="0.2">
      <c r="P268" s="29" t="e">
        <f t="shared" si="65"/>
        <v>#DIV/0!</v>
      </c>
      <c r="Q268" s="30">
        <f t="shared" si="66"/>
        <v>6</v>
      </c>
      <c r="R268" s="30" t="e">
        <f t="shared" si="67"/>
        <v>#DIV/0!</v>
      </c>
      <c r="X268" s="12">
        <f t="shared" si="68"/>
        <v>19</v>
      </c>
      <c r="Y268" s="30" t="e">
        <f t="shared" si="69"/>
        <v>#DIV/0!</v>
      </c>
      <c r="Z268" s="30" t="e">
        <f t="shared" si="70"/>
        <v>#DIV/0!</v>
      </c>
      <c r="AA268" s="30" t="e">
        <f t="shared" si="71"/>
        <v>#DIV/0!</v>
      </c>
      <c r="AB268" s="30" t="e">
        <f t="shared" si="72"/>
        <v>#DIV/0!</v>
      </c>
      <c r="AC268" s="30" t="e">
        <f t="shared" si="62"/>
        <v>#DIV/0!</v>
      </c>
      <c r="AD268" s="30" t="e">
        <f t="shared" si="63"/>
        <v>#DIV/0!</v>
      </c>
      <c r="AE268" s="30" t="e">
        <f t="shared" si="64"/>
        <v>#DIV/0!</v>
      </c>
      <c r="AF268" s="30" t="e">
        <f t="shared" si="73"/>
        <v>#DIV/0!</v>
      </c>
    </row>
    <row r="269" spans="16:32" x14ac:dyDescent="0.2">
      <c r="P269" s="29" t="e">
        <f t="shared" si="65"/>
        <v>#DIV/0!</v>
      </c>
      <c r="Q269" s="30">
        <f t="shared" si="66"/>
        <v>6</v>
      </c>
      <c r="R269" s="30" t="e">
        <f t="shared" si="67"/>
        <v>#DIV/0!</v>
      </c>
      <c r="X269" s="12">
        <f t="shared" si="68"/>
        <v>19</v>
      </c>
      <c r="Y269" s="30" t="e">
        <f t="shared" si="69"/>
        <v>#DIV/0!</v>
      </c>
      <c r="Z269" s="30" t="e">
        <f t="shared" si="70"/>
        <v>#DIV/0!</v>
      </c>
      <c r="AA269" s="30" t="e">
        <f t="shared" si="71"/>
        <v>#DIV/0!</v>
      </c>
      <c r="AB269" s="30" t="e">
        <f t="shared" si="72"/>
        <v>#DIV/0!</v>
      </c>
      <c r="AC269" s="30" t="e">
        <f t="shared" si="62"/>
        <v>#DIV/0!</v>
      </c>
      <c r="AD269" s="30" t="e">
        <f t="shared" si="63"/>
        <v>#DIV/0!</v>
      </c>
      <c r="AE269" s="30" t="e">
        <f t="shared" si="64"/>
        <v>#DIV/0!</v>
      </c>
      <c r="AF269" s="30" t="e">
        <f t="shared" si="73"/>
        <v>#DIV/0!</v>
      </c>
    </row>
    <row r="270" spans="16:32" x14ac:dyDescent="0.2">
      <c r="P270" s="29" t="e">
        <f t="shared" si="65"/>
        <v>#DIV/0!</v>
      </c>
      <c r="Q270" s="30">
        <f t="shared" si="66"/>
        <v>6</v>
      </c>
      <c r="R270" s="30" t="e">
        <f t="shared" si="67"/>
        <v>#DIV/0!</v>
      </c>
      <c r="X270" s="12">
        <f t="shared" si="68"/>
        <v>19</v>
      </c>
      <c r="Y270" s="30" t="e">
        <f t="shared" si="69"/>
        <v>#DIV/0!</v>
      </c>
      <c r="Z270" s="30" t="e">
        <f t="shared" si="70"/>
        <v>#DIV/0!</v>
      </c>
      <c r="AA270" s="30" t="e">
        <f t="shared" si="71"/>
        <v>#DIV/0!</v>
      </c>
      <c r="AB270" s="30" t="e">
        <f t="shared" si="72"/>
        <v>#DIV/0!</v>
      </c>
      <c r="AC270" s="30" t="e">
        <f t="shared" si="62"/>
        <v>#DIV/0!</v>
      </c>
      <c r="AD270" s="30" t="e">
        <f t="shared" si="63"/>
        <v>#DIV/0!</v>
      </c>
      <c r="AE270" s="30" t="e">
        <f t="shared" si="64"/>
        <v>#DIV/0!</v>
      </c>
      <c r="AF270" s="30" t="e">
        <f t="shared" si="73"/>
        <v>#DIV/0!</v>
      </c>
    </row>
    <row r="271" spans="16:32" x14ac:dyDescent="0.2">
      <c r="P271" s="29" t="e">
        <f t="shared" si="65"/>
        <v>#DIV/0!</v>
      </c>
      <c r="Q271" s="30">
        <f t="shared" si="66"/>
        <v>6</v>
      </c>
      <c r="R271" s="30" t="e">
        <f t="shared" si="67"/>
        <v>#DIV/0!</v>
      </c>
      <c r="X271" s="12">
        <f t="shared" si="68"/>
        <v>19</v>
      </c>
      <c r="Y271" s="30" t="e">
        <f t="shared" si="69"/>
        <v>#DIV/0!</v>
      </c>
      <c r="Z271" s="30" t="e">
        <f t="shared" si="70"/>
        <v>#DIV/0!</v>
      </c>
      <c r="AA271" s="30" t="e">
        <f t="shared" si="71"/>
        <v>#DIV/0!</v>
      </c>
      <c r="AB271" s="30" t="e">
        <f t="shared" si="72"/>
        <v>#DIV/0!</v>
      </c>
      <c r="AC271" s="30" t="e">
        <f t="shared" si="62"/>
        <v>#DIV/0!</v>
      </c>
      <c r="AD271" s="30" t="e">
        <f t="shared" si="63"/>
        <v>#DIV/0!</v>
      </c>
      <c r="AE271" s="30" t="e">
        <f t="shared" si="64"/>
        <v>#DIV/0!</v>
      </c>
      <c r="AF271" s="30" t="e">
        <f t="shared" si="73"/>
        <v>#DIV/0!</v>
      </c>
    </row>
    <row r="272" spans="16:32" x14ac:dyDescent="0.2">
      <c r="P272" s="29" t="e">
        <f t="shared" si="65"/>
        <v>#DIV/0!</v>
      </c>
      <c r="Q272" s="30">
        <f t="shared" si="66"/>
        <v>6</v>
      </c>
      <c r="R272" s="30" t="e">
        <f t="shared" si="67"/>
        <v>#DIV/0!</v>
      </c>
      <c r="X272" s="12">
        <f t="shared" si="68"/>
        <v>19</v>
      </c>
      <c r="Y272" s="30" t="e">
        <f t="shared" si="69"/>
        <v>#DIV/0!</v>
      </c>
      <c r="Z272" s="30" t="e">
        <f t="shared" si="70"/>
        <v>#DIV/0!</v>
      </c>
      <c r="AA272" s="30" t="e">
        <f t="shared" si="71"/>
        <v>#DIV/0!</v>
      </c>
      <c r="AB272" s="30" t="e">
        <f t="shared" si="72"/>
        <v>#DIV/0!</v>
      </c>
      <c r="AC272" s="30" t="e">
        <f t="shared" si="62"/>
        <v>#DIV/0!</v>
      </c>
      <c r="AD272" s="30" t="e">
        <f t="shared" si="63"/>
        <v>#DIV/0!</v>
      </c>
      <c r="AE272" s="30" t="e">
        <f t="shared" si="64"/>
        <v>#DIV/0!</v>
      </c>
      <c r="AF272" s="30" t="e">
        <f t="shared" si="73"/>
        <v>#DIV/0!</v>
      </c>
    </row>
    <row r="273" spans="16:32" x14ac:dyDescent="0.2">
      <c r="P273" s="29" t="e">
        <f t="shared" si="65"/>
        <v>#DIV/0!</v>
      </c>
      <c r="Q273" s="30">
        <f t="shared" si="66"/>
        <v>6</v>
      </c>
      <c r="R273" s="30" t="e">
        <f t="shared" si="67"/>
        <v>#DIV/0!</v>
      </c>
      <c r="X273" s="12">
        <f t="shared" si="68"/>
        <v>19</v>
      </c>
      <c r="Y273" s="30" t="e">
        <f t="shared" si="69"/>
        <v>#DIV/0!</v>
      </c>
      <c r="Z273" s="30" t="e">
        <f t="shared" si="70"/>
        <v>#DIV/0!</v>
      </c>
      <c r="AA273" s="30" t="e">
        <f t="shared" si="71"/>
        <v>#DIV/0!</v>
      </c>
      <c r="AB273" s="30" t="e">
        <f t="shared" si="72"/>
        <v>#DIV/0!</v>
      </c>
      <c r="AC273" s="30" t="e">
        <f t="shared" si="62"/>
        <v>#DIV/0!</v>
      </c>
      <c r="AD273" s="30" t="e">
        <f t="shared" si="63"/>
        <v>#DIV/0!</v>
      </c>
      <c r="AE273" s="30" t="e">
        <f t="shared" si="64"/>
        <v>#DIV/0!</v>
      </c>
      <c r="AF273" s="30" t="e">
        <f t="shared" si="73"/>
        <v>#DIV/0!</v>
      </c>
    </row>
    <row r="274" spans="16:32" x14ac:dyDescent="0.2">
      <c r="P274" s="29" t="e">
        <f t="shared" si="65"/>
        <v>#DIV/0!</v>
      </c>
      <c r="Q274" s="30">
        <f t="shared" si="66"/>
        <v>6</v>
      </c>
      <c r="R274" s="30" t="e">
        <f t="shared" si="67"/>
        <v>#DIV/0!</v>
      </c>
      <c r="X274" s="12">
        <f t="shared" si="68"/>
        <v>19</v>
      </c>
      <c r="Y274" s="30" t="e">
        <f t="shared" si="69"/>
        <v>#DIV/0!</v>
      </c>
      <c r="Z274" s="30" t="e">
        <f t="shared" si="70"/>
        <v>#DIV/0!</v>
      </c>
      <c r="AA274" s="30" t="e">
        <f t="shared" si="71"/>
        <v>#DIV/0!</v>
      </c>
      <c r="AB274" s="30" t="e">
        <f t="shared" si="72"/>
        <v>#DIV/0!</v>
      </c>
      <c r="AC274" s="30" t="e">
        <f t="shared" si="62"/>
        <v>#DIV/0!</v>
      </c>
      <c r="AD274" s="30" t="e">
        <f t="shared" si="63"/>
        <v>#DIV/0!</v>
      </c>
      <c r="AE274" s="30" t="e">
        <f t="shared" si="64"/>
        <v>#DIV/0!</v>
      </c>
      <c r="AF274" s="30" t="e">
        <f t="shared" si="73"/>
        <v>#DIV/0!</v>
      </c>
    </row>
    <row r="275" spans="16:32" x14ac:dyDescent="0.2">
      <c r="P275" s="29" t="e">
        <f t="shared" si="65"/>
        <v>#DIV/0!</v>
      </c>
      <c r="Q275" s="30">
        <f t="shared" si="66"/>
        <v>6</v>
      </c>
      <c r="R275" s="30" t="e">
        <f t="shared" si="67"/>
        <v>#DIV/0!</v>
      </c>
      <c r="X275" s="12">
        <f t="shared" si="68"/>
        <v>19</v>
      </c>
      <c r="Y275" s="30" t="e">
        <f t="shared" si="69"/>
        <v>#DIV/0!</v>
      </c>
      <c r="Z275" s="30" t="e">
        <f t="shared" si="70"/>
        <v>#DIV/0!</v>
      </c>
      <c r="AA275" s="30" t="e">
        <f t="shared" si="71"/>
        <v>#DIV/0!</v>
      </c>
      <c r="AB275" s="30" t="e">
        <f t="shared" si="72"/>
        <v>#DIV/0!</v>
      </c>
      <c r="AC275" s="30" t="e">
        <f t="shared" si="62"/>
        <v>#DIV/0!</v>
      </c>
      <c r="AD275" s="30" t="e">
        <f t="shared" si="63"/>
        <v>#DIV/0!</v>
      </c>
      <c r="AE275" s="30" t="e">
        <f t="shared" si="64"/>
        <v>#DIV/0!</v>
      </c>
      <c r="AF275" s="30" t="e">
        <f t="shared" si="73"/>
        <v>#DIV/0!</v>
      </c>
    </row>
    <row r="276" spans="16:32" x14ac:dyDescent="0.2">
      <c r="P276" s="29" t="e">
        <f t="shared" si="65"/>
        <v>#DIV/0!</v>
      </c>
      <c r="Q276" s="30">
        <f t="shared" si="66"/>
        <v>6</v>
      </c>
      <c r="R276" s="30" t="e">
        <f t="shared" si="67"/>
        <v>#DIV/0!</v>
      </c>
      <c r="X276" s="12">
        <f t="shared" si="68"/>
        <v>19</v>
      </c>
      <c r="Y276" s="30" t="e">
        <f t="shared" si="69"/>
        <v>#DIV/0!</v>
      </c>
      <c r="Z276" s="30" t="e">
        <f t="shared" si="70"/>
        <v>#DIV/0!</v>
      </c>
      <c r="AA276" s="30" t="e">
        <f t="shared" si="71"/>
        <v>#DIV/0!</v>
      </c>
      <c r="AB276" s="30" t="e">
        <f t="shared" si="72"/>
        <v>#DIV/0!</v>
      </c>
      <c r="AC276" s="30" t="e">
        <f t="shared" si="62"/>
        <v>#DIV/0!</v>
      </c>
      <c r="AD276" s="30" t="e">
        <f t="shared" si="63"/>
        <v>#DIV/0!</v>
      </c>
      <c r="AE276" s="30" t="e">
        <f t="shared" si="64"/>
        <v>#DIV/0!</v>
      </c>
      <c r="AF276" s="30" t="e">
        <f t="shared" si="73"/>
        <v>#DIV/0!</v>
      </c>
    </row>
    <row r="277" spans="16:32" x14ac:dyDescent="0.2">
      <c r="P277" s="29" t="e">
        <f t="shared" si="65"/>
        <v>#DIV/0!</v>
      </c>
      <c r="Q277" s="30">
        <f t="shared" si="66"/>
        <v>6</v>
      </c>
      <c r="R277" s="30" t="e">
        <f t="shared" si="67"/>
        <v>#DIV/0!</v>
      </c>
      <c r="X277" s="12">
        <f t="shared" si="68"/>
        <v>19</v>
      </c>
      <c r="Y277" s="30" t="e">
        <f t="shared" si="69"/>
        <v>#DIV/0!</v>
      </c>
      <c r="Z277" s="30" t="e">
        <f t="shared" si="70"/>
        <v>#DIV/0!</v>
      </c>
      <c r="AA277" s="30" t="e">
        <f t="shared" si="71"/>
        <v>#DIV/0!</v>
      </c>
      <c r="AB277" s="30" t="e">
        <f t="shared" si="72"/>
        <v>#DIV/0!</v>
      </c>
      <c r="AC277" s="30" t="e">
        <f t="shared" si="62"/>
        <v>#DIV/0!</v>
      </c>
      <c r="AD277" s="30" t="e">
        <f t="shared" si="63"/>
        <v>#DIV/0!</v>
      </c>
      <c r="AE277" s="30" t="e">
        <f t="shared" si="64"/>
        <v>#DIV/0!</v>
      </c>
      <c r="AF277" s="30" t="e">
        <f t="shared" si="73"/>
        <v>#DIV/0!</v>
      </c>
    </row>
    <row r="278" spans="16:32" x14ac:dyDescent="0.2">
      <c r="P278" s="29" t="e">
        <f t="shared" si="65"/>
        <v>#DIV/0!</v>
      </c>
      <c r="Q278" s="30">
        <f t="shared" si="66"/>
        <v>6</v>
      </c>
      <c r="R278" s="30" t="e">
        <f t="shared" si="67"/>
        <v>#DIV/0!</v>
      </c>
      <c r="X278" s="12">
        <f t="shared" si="68"/>
        <v>19</v>
      </c>
      <c r="Y278" s="30" t="e">
        <f t="shared" si="69"/>
        <v>#DIV/0!</v>
      </c>
      <c r="Z278" s="30" t="e">
        <f t="shared" si="70"/>
        <v>#DIV/0!</v>
      </c>
      <c r="AA278" s="30" t="e">
        <f t="shared" si="71"/>
        <v>#DIV/0!</v>
      </c>
      <c r="AB278" s="30" t="e">
        <f t="shared" si="72"/>
        <v>#DIV/0!</v>
      </c>
      <c r="AC278" s="30" t="e">
        <f t="shared" si="62"/>
        <v>#DIV/0!</v>
      </c>
      <c r="AD278" s="30" t="e">
        <f t="shared" si="63"/>
        <v>#DIV/0!</v>
      </c>
      <c r="AE278" s="30" t="e">
        <f t="shared" si="64"/>
        <v>#DIV/0!</v>
      </c>
      <c r="AF278" s="30" t="e">
        <f t="shared" si="73"/>
        <v>#DIV/0!</v>
      </c>
    </row>
    <row r="279" spans="16:32" x14ac:dyDescent="0.2">
      <c r="P279" s="29" t="e">
        <f t="shared" si="65"/>
        <v>#DIV/0!</v>
      </c>
      <c r="Q279" s="30">
        <f t="shared" si="66"/>
        <v>6</v>
      </c>
      <c r="R279" s="30" t="e">
        <f t="shared" si="67"/>
        <v>#DIV/0!</v>
      </c>
      <c r="X279" s="12">
        <f t="shared" si="68"/>
        <v>19</v>
      </c>
      <c r="Y279" s="30" t="e">
        <f t="shared" si="69"/>
        <v>#DIV/0!</v>
      </c>
      <c r="Z279" s="30" t="e">
        <f t="shared" si="70"/>
        <v>#DIV/0!</v>
      </c>
      <c r="AA279" s="30" t="e">
        <f t="shared" si="71"/>
        <v>#DIV/0!</v>
      </c>
      <c r="AB279" s="30" t="e">
        <f t="shared" si="72"/>
        <v>#DIV/0!</v>
      </c>
      <c r="AC279" s="30" t="e">
        <f t="shared" si="62"/>
        <v>#DIV/0!</v>
      </c>
      <c r="AD279" s="30" t="e">
        <f t="shared" si="63"/>
        <v>#DIV/0!</v>
      </c>
      <c r="AE279" s="30" t="e">
        <f t="shared" si="64"/>
        <v>#DIV/0!</v>
      </c>
      <c r="AF279" s="30" t="e">
        <f t="shared" si="73"/>
        <v>#DIV/0!</v>
      </c>
    </row>
    <row r="280" spans="16:32" x14ac:dyDescent="0.2">
      <c r="P280" s="29" t="e">
        <f t="shared" si="65"/>
        <v>#DIV/0!</v>
      </c>
      <c r="Q280" s="30">
        <f t="shared" si="66"/>
        <v>6</v>
      </c>
      <c r="R280" s="30" t="e">
        <f t="shared" si="67"/>
        <v>#DIV/0!</v>
      </c>
      <c r="X280" s="12">
        <f t="shared" si="68"/>
        <v>19</v>
      </c>
      <c r="Y280" s="30" t="e">
        <f t="shared" si="69"/>
        <v>#DIV/0!</v>
      </c>
      <c r="Z280" s="30" t="e">
        <f t="shared" si="70"/>
        <v>#DIV/0!</v>
      </c>
      <c r="AA280" s="30" t="e">
        <f t="shared" si="71"/>
        <v>#DIV/0!</v>
      </c>
      <c r="AB280" s="30" t="e">
        <f t="shared" si="72"/>
        <v>#DIV/0!</v>
      </c>
      <c r="AC280" s="30" t="e">
        <f t="shared" si="62"/>
        <v>#DIV/0!</v>
      </c>
      <c r="AD280" s="30" t="e">
        <f t="shared" si="63"/>
        <v>#DIV/0!</v>
      </c>
      <c r="AE280" s="30" t="e">
        <f t="shared" si="64"/>
        <v>#DIV/0!</v>
      </c>
      <c r="AF280" s="30" t="e">
        <f t="shared" si="73"/>
        <v>#DIV/0!</v>
      </c>
    </row>
    <row r="281" spans="16:32" x14ac:dyDescent="0.2">
      <c r="P281" s="29" t="e">
        <f t="shared" si="65"/>
        <v>#DIV/0!</v>
      </c>
      <c r="Q281" s="30">
        <f t="shared" si="66"/>
        <v>6</v>
      </c>
      <c r="R281" s="30" t="e">
        <f t="shared" si="67"/>
        <v>#DIV/0!</v>
      </c>
      <c r="X281" s="12">
        <f t="shared" si="68"/>
        <v>19</v>
      </c>
      <c r="Y281" s="30" t="e">
        <f t="shared" si="69"/>
        <v>#DIV/0!</v>
      </c>
      <c r="Z281" s="30" t="e">
        <f t="shared" si="70"/>
        <v>#DIV/0!</v>
      </c>
      <c r="AA281" s="30" t="e">
        <f t="shared" si="71"/>
        <v>#DIV/0!</v>
      </c>
      <c r="AB281" s="30" t="e">
        <f t="shared" si="72"/>
        <v>#DIV/0!</v>
      </c>
      <c r="AC281" s="30" t="e">
        <f t="shared" si="62"/>
        <v>#DIV/0!</v>
      </c>
      <c r="AD281" s="30" t="e">
        <f t="shared" si="63"/>
        <v>#DIV/0!</v>
      </c>
      <c r="AE281" s="30" t="e">
        <f t="shared" si="64"/>
        <v>#DIV/0!</v>
      </c>
      <c r="AF281" s="30" t="e">
        <f t="shared" si="73"/>
        <v>#DIV/0!</v>
      </c>
    </row>
    <row r="282" spans="16:32" x14ac:dyDescent="0.2">
      <c r="P282" s="29" t="e">
        <f t="shared" si="65"/>
        <v>#DIV/0!</v>
      </c>
      <c r="Q282" s="30">
        <f t="shared" si="66"/>
        <v>6</v>
      </c>
      <c r="R282" s="30" t="e">
        <f t="shared" si="67"/>
        <v>#DIV/0!</v>
      </c>
      <c r="X282" s="12">
        <f t="shared" si="68"/>
        <v>19</v>
      </c>
      <c r="Y282" s="30" t="e">
        <f t="shared" si="69"/>
        <v>#DIV/0!</v>
      </c>
      <c r="Z282" s="30" t="e">
        <f t="shared" si="70"/>
        <v>#DIV/0!</v>
      </c>
      <c r="AA282" s="30" t="e">
        <f t="shared" si="71"/>
        <v>#DIV/0!</v>
      </c>
      <c r="AB282" s="30" t="e">
        <f t="shared" si="72"/>
        <v>#DIV/0!</v>
      </c>
      <c r="AC282" s="30" t="e">
        <f t="shared" si="62"/>
        <v>#DIV/0!</v>
      </c>
      <c r="AD282" s="30" t="e">
        <f t="shared" si="63"/>
        <v>#DIV/0!</v>
      </c>
      <c r="AE282" s="30" t="e">
        <f t="shared" si="64"/>
        <v>#DIV/0!</v>
      </c>
      <c r="AF282" s="30" t="e">
        <f t="shared" si="73"/>
        <v>#DIV/0!</v>
      </c>
    </row>
    <row r="283" spans="16:32" x14ac:dyDescent="0.2">
      <c r="P283" s="29" t="e">
        <f t="shared" si="65"/>
        <v>#DIV/0!</v>
      </c>
      <c r="Q283" s="30">
        <f t="shared" si="66"/>
        <v>6</v>
      </c>
      <c r="R283" s="30" t="e">
        <f t="shared" si="67"/>
        <v>#DIV/0!</v>
      </c>
      <c r="X283" s="12">
        <f t="shared" si="68"/>
        <v>19</v>
      </c>
      <c r="Y283" s="30" t="e">
        <f t="shared" si="69"/>
        <v>#DIV/0!</v>
      </c>
      <c r="Z283" s="30" t="e">
        <f t="shared" si="70"/>
        <v>#DIV/0!</v>
      </c>
      <c r="AA283" s="30" t="e">
        <f t="shared" si="71"/>
        <v>#DIV/0!</v>
      </c>
      <c r="AB283" s="30" t="e">
        <f t="shared" si="72"/>
        <v>#DIV/0!</v>
      </c>
      <c r="AC283" s="30" t="e">
        <f t="shared" si="62"/>
        <v>#DIV/0!</v>
      </c>
      <c r="AD283" s="30" t="e">
        <f t="shared" si="63"/>
        <v>#DIV/0!</v>
      </c>
      <c r="AE283" s="30" t="e">
        <f t="shared" si="64"/>
        <v>#DIV/0!</v>
      </c>
      <c r="AF283" s="30" t="e">
        <f t="shared" si="73"/>
        <v>#DIV/0!</v>
      </c>
    </row>
    <row r="284" spans="16:32" x14ac:dyDescent="0.2">
      <c r="P284" s="29" t="e">
        <f t="shared" si="65"/>
        <v>#DIV/0!</v>
      </c>
      <c r="Q284" s="30">
        <f t="shared" si="66"/>
        <v>6</v>
      </c>
      <c r="R284" s="30" t="e">
        <f t="shared" si="67"/>
        <v>#DIV/0!</v>
      </c>
      <c r="X284" s="12">
        <f t="shared" si="68"/>
        <v>19</v>
      </c>
      <c r="Y284" s="30" t="e">
        <f t="shared" si="69"/>
        <v>#DIV/0!</v>
      </c>
      <c r="Z284" s="30" t="e">
        <f t="shared" si="70"/>
        <v>#DIV/0!</v>
      </c>
      <c r="AA284" s="30" t="e">
        <f t="shared" si="71"/>
        <v>#DIV/0!</v>
      </c>
      <c r="AB284" s="30" t="e">
        <f t="shared" si="72"/>
        <v>#DIV/0!</v>
      </c>
      <c r="AC284" s="30" t="e">
        <f t="shared" si="62"/>
        <v>#DIV/0!</v>
      </c>
      <c r="AD284" s="30" t="e">
        <f t="shared" si="63"/>
        <v>#DIV/0!</v>
      </c>
      <c r="AE284" s="30" t="e">
        <f t="shared" si="64"/>
        <v>#DIV/0!</v>
      </c>
      <c r="AF284" s="30" t="e">
        <f t="shared" si="73"/>
        <v>#DIV/0!</v>
      </c>
    </row>
    <row r="285" spans="16:32" x14ac:dyDescent="0.2">
      <c r="P285" s="29" t="e">
        <f t="shared" si="65"/>
        <v>#DIV/0!</v>
      </c>
      <c r="Q285" s="30">
        <f t="shared" si="66"/>
        <v>6</v>
      </c>
      <c r="R285" s="30" t="e">
        <f t="shared" si="67"/>
        <v>#DIV/0!</v>
      </c>
      <c r="X285" s="12">
        <f t="shared" si="68"/>
        <v>19</v>
      </c>
      <c r="Y285" s="30" t="e">
        <f t="shared" si="69"/>
        <v>#DIV/0!</v>
      </c>
      <c r="Z285" s="30" t="e">
        <f t="shared" si="70"/>
        <v>#DIV/0!</v>
      </c>
      <c r="AA285" s="30" t="e">
        <f t="shared" si="71"/>
        <v>#DIV/0!</v>
      </c>
      <c r="AB285" s="30" t="e">
        <f t="shared" si="72"/>
        <v>#DIV/0!</v>
      </c>
      <c r="AC285" s="30" t="e">
        <f t="shared" si="62"/>
        <v>#DIV/0!</v>
      </c>
      <c r="AD285" s="30" t="e">
        <f t="shared" si="63"/>
        <v>#DIV/0!</v>
      </c>
      <c r="AE285" s="30" t="e">
        <f t="shared" si="64"/>
        <v>#DIV/0!</v>
      </c>
      <c r="AF285" s="30" t="e">
        <f t="shared" si="73"/>
        <v>#DIV/0!</v>
      </c>
    </row>
    <row r="286" spans="16:32" x14ac:dyDescent="0.2">
      <c r="P286" s="29" t="e">
        <f t="shared" si="65"/>
        <v>#DIV/0!</v>
      </c>
      <c r="Q286" s="30">
        <f t="shared" si="66"/>
        <v>6</v>
      </c>
      <c r="R286" s="30" t="e">
        <f t="shared" si="67"/>
        <v>#DIV/0!</v>
      </c>
      <c r="X286" s="12">
        <f t="shared" si="68"/>
        <v>19</v>
      </c>
      <c r="Y286" s="30" t="e">
        <f t="shared" si="69"/>
        <v>#DIV/0!</v>
      </c>
      <c r="Z286" s="30" t="e">
        <f t="shared" si="70"/>
        <v>#DIV/0!</v>
      </c>
      <c r="AA286" s="30" t="e">
        <f t="shared" si="71"/>
        <v>#DIV/0!</v>
      </c>
      <c r="AB286" s="30" t="e">
        <f t="shared" si="72"/>
        <v>#DIV/0!</v>
      </c>
      <c r="AC286" s="30" t="e">
        <f t="shared" si="62"/>
        <v>#DIV/0!</v>
      </c>
      <c r="AD286" s="30" t="e">
        <f t="shared" si="63"/>
        <v>#DIV/0!</v>
      </c>
      <c r="AE286" s="30" t="e">
        <f t="shared" si="64"/>
        <v>#DIV/0!</v>
      </c>
      <c r="AF286" s="30" t="e">
        <f t="shared" si="73"/>
        <v>#DIV/0!</v>
      </c>
    </row>
    <row r="287" spans="16:32" x14ac:dyDescent="0.2">
      <c r="P287" s="29" t="e">
        <f t="shared" si="65"/>
        <v>#DIV/0!</v>
      </c>
      <c r="Q287" s="30">
        <f t="shared" si="66"/>
        <v>6</v>
      </c>
      <c r="R287" s="30" t="e">
        <f t="shared" si="67"/>
        <v>#DIV/0!</v>
      </c>
      <c r="X287" s="12">
        <f t="shared" si="68"/>
        <v>19</v>
      </c>
      <c r="Y287" s="30" t="e">
        <f t="shared" si="69"/>
        <v>#DIV/0!</v>
      </c>
      <c r="Z287" s="30" t="e">
        <f t="shared" si="70"/>
        <v>#DIV/0!</v>
      </c>
      <c r="AA287" s="30" t="e">
        <f t="shared" si="71"/>
        <v>#DIV/0!</v>
      </c>
      <c r="AB287" s="30" t="e">
        <f t="shared" si="72"/>
        <v>#DIV/0!</v>
      </c>
      <c r="AC287" s="30" t="e">
        <f t="shared" si="62"/>
        <v>#DIV/0!</v>
      </c>
      <c r="AD287" s="30" t="e">
        <f t="shared" si="63"/>
        <v>#DIV/0!</v>
      </c>
      <c r="AE287" s="30" t="e">
        <f t="shared" si="64"/>
        <v>#DIV/0!</v>
      </c>
      <c r="AF287" s="30" t="e">
        <f t="shared" si="73"/>
        <v>#DIV/0!</v>
      </c>
    </row>
    <row r="288" spans="16:32" x14ac:dyDescent="0.2">
      <c r="P288" s="29" t="e">
        <f t="shared" si="65"/>
        <v>#DIV/0!</v>
      </c>
      <c r="Q288" s="30">
        <f t="shared" si="66"/>
        <v>6</v>
      </c>
      <c r="R288" s="30" t="e">
        <f t="shared" si="67"/>
        <v>#DIV/0!</v>
      </c>
      <c r="X288" s="12">
        <f t="shared" si="68"/>
        <v>19</v>
      </c>
      <c r="Y288" s="30" t="e">
        <f t="shared" si="69"/>
        <v>#DIV/0!</v>
      </c>
      <c r="Z288" s="30" t="e">
        <f t="shared" si="70"/>
        <v>#DIV/0!</v>
      </c>
      <c r="AA288" s="30" t="e">
        <f t="shared" si="71"/>
        <v>#DIV/0!</v>
      </c>
      <c r="AB288" s="30" t="e">
        <f t="shared" si="72"/>
        <v>#DIV/0!</v>
      </c>
      <c r="AC288" s="30" t="e">
        <f t="shared" si="62"/>
        <v>#DIV/0!</v>
      </c>
      <c r="AD288" s="30" t="e">
        <f t="shared" si="63"/>
        <v>#DIV/0!</v>
      </c>
      <c r="AE288" s="30" t="e">
        <f t="shared" si="64"/>
        <v>#DIV/0!</v>
      </c>
      <c r="AF288" s="30" t="e">
        <f t="shared" si="73"/>
        <v>#DIV/0!</v>
      </c>
    </row>
    <row r="289" spans="16:32" x14ac:dyDescent="0.2">
      <c r="P289" s="29" t="e">
        <f t="shared" si="65"/>
        <v>#DIV/0!</v>
      </c>
      <c r="Q289" s="30">
        <f t="shared" si="66"/>
        <v>6</v>
      </c>
      <c r="R289" s="30" t="e">
        <f t="shared" si="67"/>
        <v>#DIV/0!</v>
      </c>
      <c r="X289" s="12">
        <f t="shared" si="68"/>
        <v>19</v>
      </c>
      <c r="Y289" s="30" t="e">
        <f t="shared" si="69"/>
        <v>#DIV/0!</v>
      </c>
      <c r="Z289" s="30" t="e">
        <f t="shared" si="70"/>
        <v>#DIV/0!</v>
      </c>
      <c r="AA289" s="30" t="e">
        <f t="shared" si="71"/>
        <v>#DIV/0!</v>
      </c>
      <c r="AB289" s="30" t="e">
        <f t="shared" si="72"/>
        <v>#DIV/0!</v>
      </c>
      <c r="AC289" s="30" t="e">
        <f t="shared" si="62"/>
        <v>#DIV/0!</v>
      </c>
      <c r="AD289" s="30" t="e">
        <f t="shared" si="63"/>
        <v>#DIV/0!</v>
      </c>
      <c r="AE289" s="30" t="e">
        <f t="shared" si="64"/>
        <v>#DIV/0!</v>
      </c>
      <c r="AF289" s="30" t="e">
        <f t="shared" si="73"/>
        <v>#DIV/0!</v>
      </c>
    </row>
    <row r="290" spans="16:32" x14ac:dyDescent="0.2">
      <c r="P290" s="29" t="e">
        <f t="shared" si="65"/>
        <v>#DIV/0!</v>
      </c>
      <c r="Q290" s="30">
        <f t="shared" si="66"/>
        <v>6</v>
      </c>
      <c r="R290" s="30" t="e">
        <f t="shared" si="67"/>
        <v>#DIV/0!</v>
      </c>
      <c r="X290" s="12">
        <f t="shared" si="68"/>
        <v>19</v>
      </c>
      <c r="Y290" s="30" t="e">
        <f t="shared" si="69"/>
        <v>#DIV/0!</v>
      </c>
      <c r="Z290" s="30" t="e">
        <f t="shared" si="70"/>
        <v>#DIV/0!</v>
      </c>
      <c r="AA290" s="30" t="e">
        <f t="shared" si="71"/>
        <v>#DIV/0!</v>
      </c>
      <c r="AB290" s="30" t="e">
        <f t="shared" si="72"/>
        <v>#DIV/0!</v>
      </c>
      <c r="AC290" s="30" t="e">
        <f t="shared" si="62"/>
        <v>#DIV/0!</v>
      </c>
      <c r="AD290" s="30" t="e">
        <f t="shared" si="63"/>
        <v>#DIV/0!</v>
      </c>
      <c r="AE290" s="30" t="e">
        <f t="shared" si="64"/>
        <v>#DIV/0!</v>
      </c>
      <c r="AF290" s="30" t="e">
        <f t="shared" si="73"/>
        <v>#DIV/0!</v>
      </c>
    </row>
    <row r="291" spans="16:32" x14ac:dyDescent="0.2">
      <c r="P291" s="29" t="e">
        <f t="shared" si="65"/>
        <v>#DIV/0!</v>
      </c>
      <c r="Q291" s="30">
        <f t="shared" si="66"/>
        <v>6</v>
      </c>
      <c r="R291" s="30" t="e">
        <f t="shared" si="67"/>
        <v>#DIV/0!</v>
      </c>
      <c r="X291" s="12">
        <f t="shared" si="68"/>
        <v>19</v>
      </c>
      <c r="Y291" s="30" t="e">
        <f t="shared" si="69"/>
        <v>#DIV/0!</v>
      </c>
      <c r="Z291" s="30" t="e">
        <f t="shared" si="70"/>
        <v>#DIV/0!</v>
      </c>
      <c r="AA291" s="30" t="e">
        <f t="shared" si="71"/>
        <v>#DIV/0!</v>
      </c>
      <c r="AB291" s="30" t="e">
        <f t="shared" si="72"/>
        <v>#DIV/0!</v>
      </c>
      <c r="AC291" s="30" t="e">
        <f t="shared" si="62"/>
        <v>#DIV/0!</v>
      </c>
      <c r="AD291" s="30" t="e">
        <f t="shared" si="63"/>
        <v>#DIV/0!</v>
      </c>
      <c r="AE291" s="30" t="e">
        <f t="shared" si="64"/>
        <v>#DIV/0!</v>
      </c>
      <c r="AF291" s="30" t="e">
        <f t="shared" si="73"/>
        <v>#DIV/0!</v>
      </c>
    </row>
    <row r="292" spans="16:32" x14ac:dyDescent="0.2">
      <c r="P292" s="29" t="e">
        <f t="shared" si="65"/>
        <v>#DIV/0!</v>
      </c>
      <c r="Q292" s="30">
        <f t="shared" si="66"/>
        <v>6</v>
      </c>
      <c r="R292" s="30" t="e">
        <f t="shared" si="67"/>
        <v>#DIV/0!</v>
      </c>
      <c r="X292" s="12">
        <f t="shared" si="68"/>
        <v>19</v>
      </c>
      <c r="Y292" s="30" t="e">
        <f t="shared" si="69"/>
        <v>#DIV/0!</v>
      </c>
      <c r="Z292" s="30" t="e">
        <f t="shared" si="70"/>
        <v>#DIV/0!</v>
      </c>
      <c r="AA292" s="30" t="e">
        <f t="shared" si="71"/>
        <v>#DIV/0!</v>
      </c>
      <c r="AB292" s="30" t="e">
        <f t="shared" si="72"/>
        <v>#DIV/0!</v>
      </c>
      <c r="AC292" s="30" t="e">
        <f t="shared" si="62"/>
        <v>#DIV/0!</v>
      </c>
      <c r="AD292" s="30" t="e">
        <f t="shared" si="63"/>
        <v>#DIV/0!</v>
      </c>
      <c r="AE292" s="30" t="e">
        <f t="shared" si="64"/>
        <v>#DIV/0!</v>
      </c>
      <c r="AF292" s="30" t="e">
        <f t="shared" si="73"/>
        <v>#DIV/0!</v>
      </c>
    </row>
    <row r="293" spans="16:32" x14ac:dyDescent="0.2">
      <c r="P293" s="29" t="e">
        <f t="shared" si="65"/>
        <v>#DIV/0!</v>
      </c>
      <c r="Q293" s="30">
        <f t="shared" si="66"/>
        <v>6</v>
      </c>
      <c r="R293" s="30" t="e">
        <f t="shared" si="67"/>
        <v>#DIV/0!</v>
      </c>
      <c r="X293" s="12">
        <f t="shared" si="68"/>
        <v>19</v>
      </c>
      <c r="Y293" s="30" t="e">
        <f t="shared" si="69"/>
        <v>#DIV/0!</v>
      </c>
      <c r="Z293" s="30" t="e">
        <f t="shared" si="70"/>
        <v>#DIV/0!</v>
      </c>
      <c r="AA293" s="30" t="e">
        <f t="shared" si="71"/>
        <v>#DIV/0!</v>
      </c>
      <c r="AB293" s="30" t="e">
        <f t="shared" si="72"/>
        <v>#DIV/0!</v>
      </c>
      <c r="AC293" s="30" t="e">
        <f t="shared" si="62"/>
        <v>#DIV/0!</v>
      </c>
      <c r="AD293" s="30" t="e">
        <f t="shared" si="63"/>
        <v>#DIV/0!</v>
      </c>
      <c r="AE293" s="30" t="e">
        <f t="shared" si="64"/>
        <v>#DIV/0!</v>
      </c>
      <c r="AF293" s="30" t="e">
        <f t="shared" si="73"/>
        <v>#DIV/0!</v>
      </c>
    </row>
    <row r="294" spans="16:32" x14ac:dyDescent="0.2">
      <c r="P294" s="29" t="e">
        <f t="shared" si="65"/>
        <v>#DIV/0!</v>
      </c>
      <c r="Q294" s="30">
        <f t="shared" si="66"/>
        <v>6</v>
      </c>
      <c r="R294" s="30" t="e">
        <f t="shared" si="67"/>
        <v>#DIV/0!</v>
      </c>
      <c r="X294" s="12">
        <f t="shared" si="68"/>
        <v>19</v>
      </c>
      <c r="Y294" s="30" t="e">
        <f t="shared" si="69"/>
        <v>#DIV/0!</v>
      </c>
      <c r="Z294" s="30" t="e">
        <f t="shared" si="70"/>
        <v>#DIV/0!</v>
      </c>
      <c r="AA294" s="30" t="e">
        <f t="shared" si="71"/>
        <v>#DIV/0!</v>
      </c>
      <c r="AB294" s="30" t="e">
        <f t="shared" si="72"/>
        <v>#DIV/0!</v>
      </c>
      <c r="AC294" s="30" t="e">
        <f t="shared" si="62"/>
        <v>#DIV/0!</v>
      </c>
      <c r="AD294" s="30" t="e">
        <f t="shared" si="63"/>
        <v>#DIV/0!</v>
      </c>
      <c r="AE294" s="30" t="e">
        <f t="shared" si="64"/>
        <v>#DIV/0!</v>
      </c>
      <c r="AF294" s="30" t="e">
        <f t="shared" si="73"/>
        <v>#DIV/0!</v>
      </c>
    </row>
    <row r="295" spans="16:32" x14ac:dyDescent="0.2">
      <c r="P295" s="29" t="e">
        <f t="shared" si="65"/>
        <v>#DIV/0!</v>
      </c>
      <c r="Q295" s="30">
        <f t="shared" si="66"/>
        <v>6</v>
      </c>
      <c r="R295" s="30" t="e">
        <f t="shared" si="67"/>
        <v>#DIV/0!</v>
      </c>
      <c r="X295" s="12">
        <f t="shared" si="68"/>
        <v>19</v>
      </c>
      <c r="Y295" s="30" t="e">
        <f t="shared" si="69"/>
        <v>#DIV/0!</v>
      </c>
      <c r="Z295" s="30" t="e">
        <f t="shared" si="70"/>
        <v>#DIV/0!</v>
      </c>
      <c r="AA295" s="30" t="e">
        <f t="shared" si="71"/>
        <v>#DIV/0!</v>
      </c>
      <c r="AB295" s="30" t="e">
        <f t="shared" si="72"/>
        <v>#DIV/0!</v>
      </c>
      <c r="AC295" s="30" t="e">
        <f t="shared" si="62"/>
        <v>#DIV/0!</v>
      </c>
      <c r="AD295" s="30" t="e">
        <f t="shared" si="63"/>
        <v>#DIV/0!</v>
      </c>
      <c r="AE295" s="30" t="e">
        <f t="shared" si="64"/>
        <v>#DIV/0!</v>
      </c>
      <c r="AF295" s="30" t="e">
        <f t="shared" si="73"/>
        <v>#DIV/0!</v>
      </c>
    </row>
    <row r="296" spans="16:32" x14ac:dyDescent="0.2">
      <c r="P296" s="29" t="e">
        <f t="shared" si="65"/>
        <v>#DIV/0!</v>
      </c>
      <c r="Q296" s="30">
        <f t="shared" si="66"/>
        <v>6</v>
      </c>
      <c r="R296" s="30" t="e">
        <f t="shared" si="67"/>
        <v>#DIV/0!</v>
      </c>
      <c r="X296" s="12">
        <f t="shared" si="68"/>
        <v>19</v>
      </c>
      <c r="Y296" s="30" t="e">
        <f t="shared" si="69"/>
        <v>#DIV/0!</v>
      </c>
      <c r="Z296" s="30" t="e">
        <f t="shared" si="70"/>
        <v>#DIV/0!</v>
      </c>
      <c r="AA296" s="30" t="e">
        <f t="shared" si="71"/>
        <v>#DIV/0!</v>
      </c>
      <c r="AB296" s="30" t="e">
        <f t="shared" si="72"/>
        <v>#DIV/0!</v>
      </c>
      <c r="AC296" s="30" t="e">
        <f t="shared" si="62"/>
        <v>#DIV/0!</v>
      </c>
      <c r="AD296" s="30" t="e">
        <f t="shared" si="63"/>
        <v>#DIV/0!</v>
      </c>
      <c r="AE296" s="30" t="e">
        <f t="shared" si="64"/>
        <v>#DIV/0!</v>
      </c>
      <c r="AF296" s="30" t="e">
        <f t="shared" si="73"/>
        <v>#DIV/0!</v>
      </c>
    </row>
    <row r="297" spans="16:32" x14ac:dyDescent="0.2">
      <c r="P297" s="29" t="e">
        <f t="shared" si="65"/>
        <v>#DIV/0!</v>
      </c>
      <c r="Q297" s="30">
        <f t="shared" si="66"/>
        <v>6</v>
      </c>
      <c r="R297" s="30" t="e">
        <f t="shared" si="67"/>
        <v>#DIV/0!</v>
      </c>
      <c r="X297" s="12">
        <f t="shared" si="68"/>
        <v>19</v>
      </c>
      <c r="Y297" s="30" t="e">
        <f t="shared" si="69"/>
        <v>#DIV/0!</v>
      </c>
      <c r="Z297" s="30" t="e">
        <f t="shared" si="70"/>
        <v>#DIV/0!</v>
      </c>
      <c r="AA297" s="30" t="e">
        <f t="shared" si="71"/>
        <v>#DIV/0!</v>
      </c>
      <c r="AB297" s="30" t="e">
        <f t="shared" si="72"/>
        <v>#DIV/0!</v>
      </c>
      <c r="AC297" s="30" t="e">
        <f t="shared" si="62"/>
        <v>#DIV/0!</v>
      </c>
      <c r="AD297" s="30" t="e">
        <f t="shared" si="63"/>
        <v>#DIV/0!</v>
      </c>
      <c r="AE297" s="30" t="e">
        <f t="shared" si="64"/>
        <v>#DIV/0!</v>
      </c>
      <c r="AF297" s="30" t="e">
        <f t="shared" si="73"/>
        <v>#DIV/0!</v>
      </c>
    </row>
    <row r="298" spans="16:32" x14ac:dyDescent="0.2">
      <c r="P298" s="29" t="e">
        <f t="shared" si="65"/>
        <v>#DIV/0!</v>
      </c>
      <c r="Q298" s="30">
        <f t="shared" si="66"/>
        <v>6</v>
      </c>
      <c r="R298" s="30" t="e">
        <f t="shared" si="67"/>
        <v>#DIV/0!</v>
      </c>
      <c r="X298" s="12">
        <f t="shared" si="68"/>
        <v>19</v>
      </c>
      <c r="Y298" s="30" t="e">
        <f t="shared" si="69"/>
        <v>#DIV/0!</v>
      </c>
      <c r="Z298" s="30" t="e">
        <f t="shared" si="70"/>
        <v>#DIV/0!</v>
      </c>
      <c r="AA298" s="30" t="e">
        <f t="shared" si="71"/>
        <v>#DIV/0!</v>
      </c>
      <c r="AB298" s="30" t="e">
        <f t="shared" si="72"/>
        <v>#DIV/0!</v>
      </c>
      <c r="AC298" s="30" t="e">
        <f t="shared" si="62"/>
        <v>#DIV/0!</v>
      </c>
      <c r="AD298" s="30" t="e">
        <f t="shared" si="63"/>
        <v>#DIV/0!</v>
      </c>
      <c r="AE298" s="30" t="e">
        <f t="shared" si="64"/>
        <v>#DIV/0!</v>
      </c>
      <c r="AF298" s="30" t="e">
        <f t="shared" si="73"/>
        <v>#DIV/0!</v>
      </c>
    </row>
    <row r="299" spans="16:32" x14ac:dyDescent="0.2">
      <c r="P299" s="29" t="e">
        <f t="shared" si="65"/>
        <v>#DIV/0!</v>
      </c>
      <c r="Q299" s="30">
        <f t="shared" si="66"/>
        <v>6</v>
      </c>
      <c r="R299" s="30" t="e">
        <f t="shared" si="67"/>
        <v>#DIV/0!</v>
      </c>
      <c r="X299" s="12">
        <f t="shared" si="68"/>
        <v>19</v>
      </c>
      <c r="Y299" s="30" t="e">
        <f t="shared" si="69"/>
        <v>#DIV/0!</v>
      </c>
      <c r="Z299" s="30" t="e">
        <f t="shared" si="70"/>
        <v>#DIV/0!</v>
      </c>
      <c r="AA299" s="30" t="e">
        <f t="shared" si="71"/>
        <v>#DIV/0!</v>
      </c>
      <c r="AB299" s="30" t="e">
        <f t="shared" si="72"/>
        <v>#DIV/0!</v>
      </c>
      <c r="AC299" s="30" t="e">
        <f t="shared" si="62"/>
        <v>#DIV/0!</v>
      </c>
      <c r="AD299" s="30" t="e">
        <f t="shared" si="63"/>
        <v>#DIV/0!</v>
      </c>
      <c r="AE299" s="30" t="e">
        <f t="shared" si="64"/>
        <v>#DIV/0!</v>
      </c>
      <c r="AF299" s="30" t="e">
        <f t="shared" si="73"/>
        <v>#DIV/0!</v>
      </c>
    </row>
    <row r="300" spans="16:32" x14ac:dyDescent="0.2">
      <c r="P300" s="29" t="e">
        <f t="shared" si="65"/>
        <v>#DIV/0!</v>
      </c>
      <c r="Q300" s="30">
        <f t="shared" si="66"/>
        <v>6</v>
      </c>
      <c r="R300" s="30" t="e">
        <f t="shared" si="67"/>
        <v>#DIV/0!</v>
      </c>
      <c r="X300" s="12">
        <f t="shared" si="68"/>
        <v>19</v>
      </c>
      <c r="Y300" s="30" t="e">
        <f t="shared" si="69"/>
        <v>#DIV/0!</v>
      </c>
      <c r="Z300" s="30" t="e">
        <f t="shared" si="70"/>
        <v>#DIV/0!</v>
      </c>
      <c r="AA300" s="30" t="e">
        <f t="shared" si="71"/>
        <v>#DIV/0!</v>
      </c>
      <c r="AB300" s="30" t="e">
        <f t="shared" si="72"/>
        <v>#DIV/0!</v>
      </c>
      <c r="AC300" s="30" t="e">
        <f t="shared" si="62"/>
        <v>#DIV/0!</v>
      </c>
      <c r="AD300" s="30" t="e">
        <f t="shared" si="63"/>
        <v>#DIV/0!</v>
      </c>
      <c r="AE300" s="30" t="e">
        <f t="shared" si="64"/>
        <v>#DIV/0!</v>
      </c>
      <c r="AF300" s="30" t="e">
        <f t="shared" si="73"/>
        <v>#DIV/0!</v>
      </c>
    </row>
    <row r="301" spans="16:32" x14ac:dyDescent="0.2">
      <c r="P301" s="29" t="e">
        <f t="shared" si="65"/>
        <v>#DIV/0!</v>
      </c>
      <c r="Q301" s="30">
        <f t="shared" si="66"/>
        <v>6</v>
      </c>
      <c r="R301" s="30" t="e">
        <f t="shared" si="67"/>
        <v>#DIV/0!</v>
      </c>
      <c r="X301" s="12">
        <f t="shared" si="68"/>
        <v>19</v>
      </c>
      <c r="Y301" s="30" t="e">
        <f t="shared" si="69"/>
        <v>#DIV/0!</v>
      </c>
      <c r="Z301" s="30" t="e">
        <f t="shared" si="70"/>
        <v>#DIV/0!</v>
      </c>
      <c r="AA301" s="30" t="e">
        <f t="shared" si="71"/>
        <v>#DIV/0!</v>
      </c>
      <c r="AB301" s="30" t="e">
        <f t="shared" si="72"/>
        <v>#DIV/0!</v>
      </c>
      <c r="AC301" s="30" t="e">
        <f t="shared" si="62"/>
        <v>#DIV/0!</v>
      </c>
      <c r="AD301" s="30" t="e">
        <f t="shared" si="63"/>
        <v>#DIV/0!</v>
      </c>
      <c r="AE301" s="30" t="e">
        <f t="shared" si="64"/>
        <v>#DIV/0!</v>
      </c>
      <c r="AF301" s="30" t="e">
        <f t="shared" si="73"/>
        <v>#DIV/0!</v>
      </c>
    </row>
    <row r="302" spans="16:32" x14ac:dyDescent="0.2">
      <c r="P302" s="29" t="e">
        <f t="shared" si="65"/>
        <v>#DIV/0!</v>
      </c>
      <c r="Q302" s="30">
        <f t="shared" si="66"/>
        <v>6</v>
      </c>
      <c r="R302" s="30" t="e">
        <f t="shared" si="67"/>
        <v>#DIV/0!</v>
      </c>
      <c r="X302" s="12">
        <f t="shared" si="68"/>
        <v>19</v>
      </c>
      <c r="Y302" s="30" t="e">
        <f t="shared" si="69"/>
        <v>#DIV/0!</v>
      </c>
      <c r="Z302" s="30" t="e">
        <f t="shared" si="70"/>
        <v>#DIV/0!</v>
      </c>
      <c r="AA302" s="30" t="e">
        <f t="shared" si="71"/>
        <v>#DIV/0!</v>
      </c>
      <c r="AB302" s="30" t="e">
        <f t="shared" si="72"/>
        <v>#DIV/0!</v>
      </c>
      <c r="AC302" s="30" t="e">
        <f t="shared" si="62"/>
        <v>#DIV/0!</v>
      </c>
      <c r="AD302" s="30" t="e">
        <f t="shared" si="63"/>
        <v>#DIV/0!</v>
      </c>
      <c r="AE302" s="30" t="e">
        <f t="shared" si="64"/>
        <v>#DIV/0!</v>
      </c>
      <c r="AF302" s="30" t="e">
        <f t="shared" si="73"/>
        <v>#DIV/0!</v>
      </c>
    </row>
    <row r="303" spans="16:32" x14ac:dyDescent="0.2">
      <c r="P303" s="29" t="e">
        <f t="shared" si="65"/>
        <v>#DIV/0!</v>
      </c>
      <c r="Q303" s="30">
        <f t="shared" si="66"/>
        <v>6</v>
      </c>
      <c r="R303" s="30" t="e">
        <f t="shared" si="67"/>
        <v>#DIV/0!</v>
      </c>
      <c r="X303" s="12">
        <f t="shared" si="68"/>
        <v>19</v>
      </c>
      <c r="Y303" s="30" t="e">
        <f t="shared" si="69"/>
        <v>#DIV/0!</v>
      </c>
      <c r="Z303" s="30" t="e">
        <f t="shared" si="70"/>
        <v>#DIV/0!</v>
      </c>
      <c r="AA303" s="30" t="e">
        <f t="shared" si="71"/>
        <v>#DIV/0!</v>
      </c>
      <c r="AB303" s="30" t="e">
        <f t="shared" si="72"/>
        <v>#DIV/0!</v>
      </c>
      <c r="AC303" s="30" t="e">
        <f t="shared" ref="AC303:AC332" si="74">ROUND(L303/($L303+$M303+$N303)*(20-$X303), 0)</f>
        <v>#DIV/0!</v>
      </c>
      <c r="AD303" s="30" t="e">
        <f t="shared" ref="AD303:AD332" si="75">ROUND(M303/($L303+$M303+$N303)*(20-$X303), 0)</f>
        <v>#DIV/0!</v>
      </c>
      <c r="AE303" s="30" t="e">
        <f t="shared" ref="AE303:AE332" si="76">ROUND(N303/($L303+$M303+$N303)*(20-$X303), 0)</f>
        <v>#DIV/0!</v>
      </c>
      <c r="AF303" s="30" t="e">
        <f t="shared" si="73"/>
        <v>#DIV/0!</v>
      </c>
    </row>
    <row r="304" spans="16:32" x14ac:dyDescent="0.2">
      <c r="P304" s="29" t="e">
        <f t="shared" ref="P304:P332" si="77">O304/D304*9</f>
        <v>#DIV/0!</v>
      </c>
      <c r="Q304" s="30">
        <f t="shared" ref="Q304:Q332" si="78">IF(G304&lt;=1.1,6,IF(G304&lt;=1.2,5,IF(G304&lt;=1.3,4,IF(G304&lt;=1.4,3,IF(G304&lt;=1.5,2,1)))))</f>
        <v>6</v>
      </c>
      <c r="R304" s="30" t="e">
        <f t="shared" ref="R304:R332" si="79">ROUND(E304/C304, 0)</f>
        <v>#DIV/0!</v>
      </c>
      <c r="X304" s="12">
        <f t="shared" ref="X304:X332" si="80">IF(F304&lt;1.25, 19, IF(F304&lt;2, 18, IF(F304&lt;3, 17, IF(F304&lt;4.5, 16, IF(F304&lt;6, 15, 14)))))</f>
        <v>19</v>
      </c>
      <c r="Y304" s="30" t="e">
        <f t="shared" ref="Y304:Y332" si="81">ROUND($X304*H304/($H304+$I304+$J304+$K304), 0)</f>
        <v>#DIV/0!</v>
      </c>
      <c r="Z304" s="30" t="e">
        <f t="shared" ref="Z304:Z332" si="82">ROUND($X304*I304/($H304+$I304+$J304+$K304), 0)</f>
        <v>#DIV/0!</v>
      </c>
      <c r="AA304" s="30" t="e">
        <f t="shared" ref="AA304:AA332" si="83">ROUND($X304*J304/($H304+$I304+$J304+$K304), 0)</f>
        <v>#DIV/0!</v>
      </c>
      <c r="AB304" s="30" t="e">
        <f t="shared" ref="AB304:AB332" si="84">ROUND($X304*K304/($H304+$I304+$J304+$K304), 0)</f>
        <v>#DIV/0!</v>
      </c>
      <c r="AC304" s="30" t="e">
        <f t="shared" si="74"/>
        <v>#DIV/0!</v>
      </c>
      <c r="AD304" s="30" t="e">
        <f t="shared" si="75"/>
        <v>#DIV/0!</v>
      </c>
      <c r="AE304" s="30" t="e">
        <f t="shared" si="76"/>
        <v>#DIV/0!</v>
      </c>
      <c r="AF304" s="30" t="e">
        <f t="shared" ref="AF304:AF332" si="85">IF(P304&lt;0.5,28,IF(P304&lt;0.7,27,IF(P304&lt;0.8,26,IF(P304&lt;1,25,IF(P304&lt;1.1,24,IF(P304&lt;1.25,23,IF(P304&lt;1.5,22,IF(P304&lt;1.75,21,IF(P304&lt;2,21,20)))))))))</f>
        <v>#DIV/0!</v>
      </c>
    </row>
    <row r="305" spans="16:32" x14ac:dyDescent="0.2">
      <c r="P305" s="29" t="e">
        <f t="shared" si="77"/>
        <v>#DIV/0!</v>
      </c>
      <c r="Q305" s="30">
        <f t="shared" si="78"/>
        <v>6</v>
      </c>
      <c r="R305" s="30" t="e">
        <f t="shared" si="79"/>
        <v>#DIV/0!</v>
      </c>
      <c r="X305" s="12">
        <f t="shared" si="80"/>
        <v>19</v>
      </c>
      <c r="Y305" s="30" t="e">
        <f t="shared" si="81"/>
        <v>#DIV/0!</v>
      </c>
      <c r="Z305" s="30" t="e">
        <f t="shared" si="82"/>
        <v>#DIV/0!</v>
      </c>
      <c r="AA305" s="30" t="e">
        <f t="shared" si="83"/>
        <v>#DIV/0!</v>
      </c>
      <c r="AB305" s="30" t="e">
        <f t="shared" si="84"/>
        <v>#DIV/0!</v>
      </c>
      <c r="AC305" s="30" t="e">
        <f t="shared" si="74"/>
        <v>#DIV/0!</v>
      </c>
      <c r="AD305" s="30" t="e">
        <f t="shared" si="75"/>
        <v>#DIV/0!</v>
      </c>
      <c r="AE305" s="30" t="e">
        <f t="shared" si="76"/>
        <v>#DIV/0!</v>
      </c>
      <c r="AF305" s="30" t="e">
        <f t="shared" si="85"/>
        <v>#DIV/0!</v>
      </c>
    </row>
    <row r="306" spans="16:32" x14ac:dyDescent="0.2">
      <c r="P306" s="29" t="e">
        <f t="shared" si="77"/>
        <v>#DIV/0!</v>
      </c>
      <c r="Q306" s="30">
        <f t="shared" si="78"/>
        <v>6</v>
      </c>
      <c r="R306" s="30" t="e">
        <f t="shared" si="79"/>
        <v>#DIV/0!</v>
      </c>
      <c r="X306" s="12">
        <f t="shared" si="80"/>
        <v>19</v>
      </c>
      <c r="Y306" s="30" t="e">
        <f t="shared" si="81"/>
        <v>#DIV/0!</v>
      </c>
      <c r="Z306" s="30" t="e">
        <f t="shared" si="82"/>
        <v>#DIV/0!</v>
      </c>
      <c r="AA306" s="30" t="e">
        <f t="shared" si="83"/>
        <v>#DIV/0!</v>
      </c>
      <c r="AB306" s="30" t="e">
        <f t="shared" si="84"/>
        <v>#DIV/0!</v>
      </c>
      <c r="AC306" s="30" t="e">
        <f t="shared" si="74"/>
        <v>#DIV/0!</v>
      </c>
      <c r="AD306" s="30" t="e">
        <f t="shared" si="75"/>
        <v>#DIV/0!</v>
      </c>
      <c r="AE306" s="30" t="e">
        <f t="shared" si="76"/>
        <v>#DIV/0!</v>
      </c>
      <c r="AF306" s="30" t="e">
        <f t="shared" si="85"/>
        <v>#DIV/0!</v>
      </c>
    </row>
    <row r="307" spans="16:32" x14ac:dyDescent="0.2">
      <c r="P307" s="29" t="e">
        <f t="shared" si="77"/>
        <v>#DIV/0!</v>
      </c>
      <c r="Q307" s="30">
        <f t="shared" si="78"/>
        <v>6</v>
      </c>
      <c r="R307" s="30" t="e">
        <f t="shared" si="79"/>
        <v>#DIV/0!</v>
      </c>
      <c r="X307" s="12">
        <f t="shared" si="80"/>
        <v>19</v>
      </c>
      <c r="Y307" s="30" t="e">
        <f t="shared" si="81"/>
        <v>#DIV/0!</v>
      </c>
      <c r="Z307" s="30" t="e">
        <f t="shared" si="82"/>
        <v>#DIV/0!</v>
      </c>
      <c r="AA307" s="30" t="e">
        <f t="shared" si="83"/>
        <v>#DIV/0!</v>
      </c>
      <c r="AB307" s="30" t="e">
        <f t="shared" si="84"/>
        <v>#DIV/0!</v>
      </c>
      <c r="AC307" s="30" t="e">
        <f t="shared" si="74"/>
        <v>#DIV/0!</v>
      </c>
      <c r="AD307" s="30" t="e">
        <f t="shared" si="75"/>
        <v>#DIV/0!</v>
      </c>
      <c r="AE307" s="30" t="e">
        <f t="shared" si="76"/>
        <v>#DIV/0!</v>
      </c>
      <c r="AF307" s="30" t="e">
        <f t="shared" si="85"/>
        <v>#DIV/0!</v>
      </c>
    </row>
    <row r="308" spans="16:32" x14ac:dyDescent="0.2">
      <c r="P308" s="29" t="e">
        <f t="shared" si="77"/>
        <v>#DIV/0!</v>
      </c>
      <c r="Q308" s="30">
        <f t="shared" si="78"/>
        <v>6</v>
      </c>
      <c r="R308" s="30" t="e">
        <f t="shared" si="79"/>
        <v>#DIV/0!</v>
      </c>
      <c r="X308" s="12">
        <f t="shared" si="80"/>
        <v>19</v>
      </c>
      <c r="Y308" s="30" t="e">
        <f t="shared" si="81"/>
        <v>#DIV/0!</v>
      </c>
      <c r="Z308" s="30" t="e">
        <f t="shared" si="82"/>
        <v>#DIV/0!</v>
      </c>
      <c r="AA308" s="30" t="e">
        <f t="shared" si="83"/>
        <v>#DIV/0!</v>
      </c>
      <c r="AB308" s="30" t="e">
        <f t="shared" si="84"/>
        <v>#DIV/0!</v>
      </c>
      <c r="AC308" s="30" t="e">
        <f t="shared" si="74"/>
        <v>#DIV/0!</v>
      </c>
      <c r="AD308" s="30" t="e">
        <f t="shared" si="75"/>
        <v>#DIV/0!</v>
      </c>
      <c r="AE308" s="30" t="e">
        <f t="shared" si="76"/>
        <v>#DIV/0!</v>
      </c>
      <c r="AF308" s="30" t="e">
        <f t="shared" si="85"/>
        <v>#DIV/0!</v>
      </c>
    </row>
    <row r="309" spans="16:32" x14ac:dyDescent="0.2">
      <c r="P309" s="29" t="e">
        <f t="shared" si="77"/>
        <v>#DIV/0!</v>
      </c>
      <c r="Q309" s="30">
        <f t="shared" si="78"/>
        <v>6</v>
      </c>
      <c r="R309" s="30" t="e">
        <f t="shared" si="79"/>
        <v>#DIV/0!</v>
      </c>
      <c r="X309" s="12">
        <f t="shared" si="80"/>
        <v>19</v>
      </c>
      <c r="Y309" s="30" t="e">
        <f t="shared" si="81"/>
        <v>#DIV/0!</v>
      </c>
      <c r="Z309" s="30" t="e">
        <f t="shared" si="82"/>
        <v>#DIV/0!</v>
      </c>
      <c r="AA309" s="30" t="e">
        <f t="shared" si="83"/>
        <v>#DIV/0!</v>
      </c>
      <c r="AB309" s="30" t="e">
        <f t="shared" si="84"/>
        <v>#DIV/0!</v>
      </c>
      <c r="AC309" s="30" t="e">
        <f t="shared" si="74"/>
        <v>#DIV/0!</v>
      </c>
      <c r="AD309" s="30" t="e">
        <f t="shared" si="75"/>
        <v>#DIV/0!</v>
      </c>
      <c r="AE309" s="30" t="e">
        <f t="shared" si="76"/>
        <v>#DIV/0!</v>
      </c>
      <c r="AF309" s="30" t="e">
        <f t="shared" si="85"/>
        <v>#DIV/0!</v>
      </c>
    </row>
    <row r="310" spans="16:32" x14ac:dyDescent="0.2">
      <c r="P310" s="29" t="e">
        <f t="shared" si="77"/>
        <v>#DIV/0!</v>
      </c>
      <c r="Q310" s="30">
        <f t="shared" si="78"/>
        <v>6</v>
      </c>
      <c r="R310" s="30" t="e">
        <f t="shared" si="79"/>
        <v>#DIV/0!</v>
      </c>
      <c r="X310" s="12">
        <f t="shared" si="80"/>
        <v>19</v>
      </c>
      <c r="Y310" s="30" t="e">
        <f t="shared" si="81"/>
        <v>#DIV/0!</v>
      </c>
      <c r="Z310" s="30" t="e">
        <f t="shared" si="82"/>
        <v>#DIV/0!</v>
      </c>
      <c r="AA310" s="30" t="e">
        <f t="shared" si="83"/>
        <v>#DIV/0!</v>
      </c>
      <c r="AB310" s="30" t="e">
        <f t="shared" si="84"/>
        <v>#DIV/0!</v>
      </c>
      <c r="AC310" s="30" t="e">
        <f t="shared" si="74"/>
        <v>#DIV/0!</v>
      </c>
      <c r="AD310" s="30" t="e">
        <f t="shared" si="75"/>
        <v>#DIV/0!</v>
      </c>
      <c r="AE310" s="30" t="e">
        <f t="shared" si="76"/>
        <v>#DIV/0!</v>
      </c>
      <c r="AF310" s="30" t="e">
        <f t="shared" si="85"/>
        <v>#DIV/0!</v>
      </c>
    </row>
    <row r="311" spans="16:32" x14ac:dyDescent="0.2">
      <c r="P311" s="29" t="e">
        <f t="shared" si="77"/>
        <v>#DIV/0!</v>
      </c>
      <c r="Q311" s="30">
        <f t="shared" si="78"/>
        <v>6</v>
      </c>
      <c r="R311" s="30" t="e">
        <f t="shared" si="79"/>
        <v>#DIV/0!</v>
      </c>
      <c r="X311" s="12">
        <f t="shared" si="80"/>
        <v>19</v>
      </c>
      <c r="Y311" s="30" t="e">
        <f t="shared" si="81"/>
        <v>#DIV/0!</v>
      </c>
      <c r="Z311" s="30" t="e">
        <f t="shared" si="82"/>
        <v>#DIV/0!</v>
      </c>
      <c r="AA311" s="30" t="e">
        <f t="shared" si="83"/>
        <v>#DIV/0!</v>
      </c>
      <c r="AB311" s="30" t="e">
        <f t="shared" si="84"/>
        <v>#DIV/0!</v>
      </c>
      <c r="AC311" s="30" t="e">
        <f t="shared" si="74"/>
        <v>#DIV/0!</v>
      </c>
      <c r="AD311" s="30" t="e">
        <f t="shared" si="75"/>
        <v>#DIV/0!</v>
      </c>
      <c r="AE311" s="30" t="e">
        <f t="shared" si="76"/>
        <v>#DIV/0!</v>
      </c>
      <c r="AF311" s="30" t="e">
        <f t="shared" si="85"/>
        <v>#DIV/0!</v>
      </c>
    </row>
    <row r="312" spans="16:32" x14ac:dyDescent="0.2">
      <c r="P312" s="29" t="e">
        <f t="shared" si="77"/>
        <v>#DIV/0!</v>
      </c>
      <c r="Q312" s="30">
        <f t="shared" si="78"/>
        <v>6</v>
      </c>
      <c r="R312" s="30" t="e">
        <f t="shared" si="79"/>
        <v>#DIV/0!</v>
      </c>
      <c r="X312" s="12">
        <f t="shared" si="80"/>
        <v>19</v>
      </c>
      <c r="Y312" s="30" t="e">
        <f t="shared" si="81"/>
        <v>#DIV/0!</v>
      </c>
      <c r="Z312" s="30" t="e">
        <f t="shared" si="82"/>
        <v>#DIV/0!</v>
      </c>
      <c r="AA312" s="30" t="e">
        <f t="shared" si="83"/>
        <v>#DIV/0!</v>
      </c>
      <c r="AB312" s="30" t="e">
        <f t="shared" si="84"/>
        <v>#DIV/0!</v>
      </c>
      <c r="AC312" s="30" t="e">
        <f t="shared" si="74"/>
        <v>#DIV/0!</v>
      </c>
      <c r="AD312" s="30" t="e">
        <f t="shared" si="75"/>
        <v>#DIV/0!</v>
      </c>
      <c r="AE312" s="30" t="e">
        <f t="shared" si="76"/>
        <v>#DIV/0!</v>
      </c>
      <c r="AF312" s="30" t="e">
        <f t="shared" si="85"/>
        <v>#DIV/0!</v>
      </c>
    </row>
    <row r="313" spans="16:32" x14ac:dyDescent="0.2">
      <c r="P313" s="29" t="e">
        <f t="shared" si="77"/>
        <v>#DIV/0!</v>
      </c>
      <c r="Q313" s="30">
        <f t="shared" si="78"/>
        <v>6</v>
      </c>
      <c r="R313" s="30" t="e">
        <f t="shared" si="79"/>
        <v>#DIV/0!</v>
      </c>
      <c r="X313" s="12">
        <f t="shared" si="80"/>
        <v>19</v>
      </c>
      <c r="Y313" s="30" t="e">
        <f t="shared" si="81"/>
        <v>#DIV/0!</v>
      </c>
      <c r="Z313" s="30" t="e">
        <f t="shared" si="82"/>
        <v>#DIV/0!</v>
      </c>
      <c r="AA313" s="30" t="e">
        <f t="shared" si="83"/>
        <v>#DIV/0!</v>
      </c>
      <c r="AB313" s="30" t="e">
        <f t="shared" si="84"/>
        <v>#DIV/0!</v>
      </c>
      <c r="AC313" s="30" t="e">
        <f t="shared" si="74"/>
        <v>#DIV/0!</v>
      </c>
      <c r="AD313" s="30" t="e">
        <f t="shared" si="75"/>
        <v>#DIV/0!</v>
      </c>
      <c r="AE313" s="30" t="e">
        <f t="shared" si="76"/>
        <v>#DIV/0!</v>
      </c>
      <c r="AF313" s="30" t="e">
        <f t="shared" si="85"/>
        <v>#DIV/0!</v>
      </c>
    </row>
    <row r="314" spans="16:32" x14ac:dyDescent="0.2">
      <c r="P314" s="29" t="e">
        <f t="shared" si="77"/>
        <v>#DIV/0!</v>
      </c>
      <c r="Q314" s="30">
        <f t="shared" si="78"/>
        <v>6</v>
      </c>
      <c r="R314" s="30" t="e">
        <f t="shared" si="79"/>
        <v>#DIV/0!</v>
      </c>
      <c r="X314" s="12">
        <f t="shared" si="80"/>
        <v>19</v>
      </c>
      <c r="Y314" s="30" t="e">
        <f t="shared" si="81"/>
        <v>#DIV/0!</v>
      </c>
      <c r="Z314" s="30" t="e">
        <f t="shared" si="82"/>
        <v>#DIV/0!</v>
      </c>
      <c r="AA314" s="30" t="e">
        <f t="shared" si="83"/>
        <v>#DIV/0!</v>
      </c>
      <c r="AB314" s="30" t="e">
        <f t="shared" si="84"/>
        <v>#DIV/0!</v>
      </c>
      <c r="AC314" s="30" t="e">
        <f t="shared" si="74"/>
        <v>#DIV/0!</v>
      </c>
      <c r="AD314" s="30" t="e">
        <f t="shared" si="75"/>
        <v>#DIV/0!</v>
      </c>
      <c r="AE314" s="30" t="e">
        <f t="shared" si="76"/>
        <v>#DIV/0!</v>
      </c>
      <c r="AF314" s="30" t="e">
        <f t="shared" si="85"/>
        <v>#DIV/0!</v>
      </c>
    </row>
    <row r="315" spans="16:32" x14ac:dyDescent="0.2">
      <c r="P315" s="29" t="e">
        <f t="shared" si="77"/>
        <v>#DIV/0!</v>
      </c>
      <c r="Q315" s="30">
        <f t="shared" si="78"/>
        <v>6</v>
      </c>
      <c r="R315" s="30" t="e">
        <f t="shared" si="79"/>
        <v>#DIV/0!</v>
      </c>
      <c r="X315" s="12">
        <f t="shared" si="80"/>
        <v>19</v>
      </c>
      <c r="Y315" s="30" t="e">
        <f t="shared" si="81"/>
        <v>#DIV/0!</v>
      </c>
      <c r="Z315" s="30" t="e">
        <f t="shared" si="82"/>
        <v>#DIV/0!</v>
      </c>
      <c r="AA315" s="30" t="e">
        <f t="shared" si="83"/>
        <v>#DIV/0!</v>
      </c>
      <c r="AB315" s="30" t="e">
        <f t="shared" si="84"/>
        <v>#DIV/0!</v>
      </c>
      <c r="AC315" s="30" t="e">
        <f t="shared" si="74"/>
        <v>#DIV/0!</v>
      </c>
      <c r="AD315" s="30" t="e">
        <f t="shared" si="75"/>
        <v>#DIV/0!</v>
      </c>
      <c r="AE315" s="30" t="e">
        <f t="shared" si="76"/>
        <v>#DIV/0!</v>
      </c>
      <c r="AF315" s="30" t="e">
        <f t="shared" si="85"/>
        <v>#DIV/0!</v>
      </c>
    </row>
    <row r="316" spans="16:32" x14ac:dyDescent="0.2">
      <c r="P316" s="29" t="e">
        <f t="shared" si="77"/>
        <v>#DIV/0!</v>
      </c>
      <c r="Q316" s="30">
        <f t="shared" si="78"/>
        <v>6</v>
      </c>
      <c r="R316" s="30" t="e">
        <f t="shared" si="79"/>
        <v>#DIV/0!</v>
      </c>
      <c r="X316" s="12">
        <f t="shared" si="80"/>
        <v>19</v>
      </c>
      <c r="Y316" s="30" t="e">
        <f t="shared" si="81"/>
        <v>#DIV/0!</v>
      </c>
      <c r="Z316" s="30" t="e">
        <f t="shared" si="82"/>
        <v>#DIV/0!</v>
      </c>
      <c r="AA316" s="30" t="e">
        <f t="shared" si="83"/>
        <v>#DIV/0!</v>
      </c>
      <c r="AB316" s="30" t="e">
        <f t="shared" si="84"/>
        <v>#DIV/0!</v>
      </c>
      <c r="AC316" s="30" t="e">
        <f t="shared" si="74"/>
        <v>#DIV/0!</v>
      </c>
      <c r="AD316" s="30" t="e">
        <f t="shared" si="75"/>
        <v>#DIV/0!</v>
      </c>
      <c r="AE316" s="30" t="e">
        <f t="shared" si="76"/>
        <v>#DIV/0!</v>
      </c>
      <c r="AF316" s="30" t="e">
        <f t="shared" si="85"/>
        <v>#DIV/0!</v>
      </c>
    </row>
    <row r="317" spans="16:32" x14ac:dyDescent="0.2">
      <c r="P317" s="29" t="e">
        <f t="shared" si="77"/>
        <v>#DIV/0!</v>
      </c>
      <c r="Q317" s="30">
        <f t="shared" si="78"/>
        <v>6</v>
      </c>
      <c r="R317" s="30" t="e">
        <f t="shared" si="79"/>
        <v>#DIV/0!</v>
      </c>
      <c r="X317" s="12">
        <f t="shared" si="80"/>
        <v>19</v>
      </c>
      <c r="Y317" s="30" t="e">
        <f t="shared" si="81"/>
        <v>#DIV/0!</v>
      </c>
      <c r="Z317" s="30" t="e">
        <f t="shared" si="82"/>
        <v>#DIV/0!</v>
      </c>
      <c r="AA317" s="30" t="e">
        <f t="shared" si="83"/>
        <v>#DIV/0!</v>
      </c>
      <c r="AB317" s="30" t="e">
        <f t="shared" si="84"/>
        <v>#DIV/0!</v>
      </c>
      <c r="AC317" s="30" t="e">
        <f t="shared" si="74"/>
        <v>#DIV/0!</v>
      </c>
      <c r="AD317" s="30" t="e">
        <f t="shared" si="75"/>
        <v>#DIV/0!</v>
      </c>
      <c r="AE317" s="30" t="e">
        <f t="shared" si="76"/>
        <v>#DIV/0!</v>
      </c>
      <c r="AF317" s="30" t="e">
        <f t="shared" si="85"/>
        <v>#DIV/0!</v>
      </c>
    </row>
    <row r="318" spans="16:32" x14ac:dyDescent="0.2">
      <c r="P318" s="29" t="e">
        <f t="shared" si="77"/>
        <v>#DIV/0!</v>
      </c>
      <c r="Q318" s="30">
        <f t="shared" si="78"/>
        <v>6</v>
      </c>
      <c r="R318" s="30" t="e">
        <f t="shared" si="79"/>
        <v>#DIV/0!</v>
      </c>
      <c r="X318" s="12">
        <f t="shared" si="80"/>
        <v>19</v>
      </c>
      <c r="Y318" s="30" t="e">
        <f t="shared" si="81"/>
        <v>#DIV/0!</v>
      </c>
      <c r="Z318" s="30" t="e">
        <f t="shared" si="82"/>
        <v>#DIV/0!</v>
      </c>
      <c r="AA318" s="30" t="e">
        <f t="shared" si="83"/>
        <v>#DIV/0!</v>
      </c>
      <c r="AB318" s="30" t="e">
        <f t="shared" si="84"/>
        <v>#DIV/0!</v>
      </c>
      <c r="AC318" s="30" t="e">
        <f t="shared" si="74"/>
        <v>#DIV/0!</v>
      </c>
      <c r="AD318" s="30" t="e">
        <f t="shared" si="75"/>
        <v>#DIV/0!</v>
      </c>
      <c r="AE318" s="30" t="e">
        <f t="shared" si="76"/>
        <v>#DIV/0!</v>
      </c>
      <c r="AF318" s="30" t="e">
        <f t="shared" si="85"/>
        <v>#DIV/0!</v>
      </c>
    </row>
    <row r="319" spans="16:32" x14ac:dyDescent="0.2">
      <c r="P319" s="29" t="e">
        <f t="shared" si="77"/>
        <v>#DIV/0!</v>
      </c>
      <c r="Q319" s="30">
        <f t="shared" si="78"/>
        <v>6</v>
      </c>
      <c r="R319" s="30" t="e">
        <f t="shared" si="79"/>
        <v>#DIV/0!</v>
      </c>
      <c r="X319" s="12">
        <f t="shared" si="80"/>
        <v>19</v>
      </c>
      <c r="Y319" s="30" t="e">
        <f t="shared" si="81"/>
        <v>#DIV/0!</v>
      </c>
      <c r="Z319" s="30" t="e">
        <f t="shared" si="82"/>
        <v>#DIV/0!</v>
      </c>
      <c r="AA319" s="30" t="e">
        <f t="shared" si="83"/>
        <v>#DIV/0!</v>
      </c>
      <c r="AB319" s="30" t="e">
        <f t="shared" si="84"/>
        <v>#DIV/0!</v>
      </c>
      <c r="AC319" s="30" t="e">
        <f t="shared" si="74"/>
        <v>#DIV/0!</v>
      </c>
      <c r="AD319" s="30" t="e">
        <f t="shared" si="75"/>
        <v>#DIV/0!</v>
      </c>
      <c r="AE319" s="30" t="e">
        <f t="shared" si="76"/>
        <v>#DIV/0!</v>
      </c>
      <c r="AF319" s="30" t="e">
        <f t="shared" si="85"/>
        <v>#DIV/0!</v>
      </c>
    </row>
    <row r="320" spans="16:32" x14ac:dyDescent="0.2">
      <c r="P320" s="29" t="e">
        <f t="shared" si="77"/>
        <v>#DIV/0!</v>
      </c>
      <c r="Q320" s="30">
        <f t="shared" si="78"/>
        <v>6</v>
      </c>
      <c r="R320" s="30" t="e">
        <f t="shared" si="79"/>
        <v>#DIV/0!</v>
      </c>
      <c r="X320" s="12">
        <f t="shared" si="80"/>
        <v>19</v>
      </c>
      <c r="Y320" s="30" t="e">
        <f t="shared" si="81"/>
        <v>#DIV/0!</v>
      </c>
      <c r="Z320" s="30" t="e">
        <f t="shared" si="82"/>
        <v>#DIV/0!</v>
      </c>
      <c r="AA320" s="30" t="e">
        <f t="shared" si="83"/>
        <v>#DIV/0!</v>
      </c>
      <c r="AB320" s="30" t="e">
        <f t="shared" si="84"/>
        <v>#DIV/0!</v>
      </c>
      <c r="AC320" s="30" t="e">
        <f t="shared" si="74"/>
        <v>#DIV/0!</v>
      </c>
      <c r="AD320" s="30" t="e">
        <f t="shared" si="75"/>
        <v>#DIV/0!</v>
      </c>
      <c r="AE320" s="30" t="e">
        <f t="shared" si="76"/>
        <v>#DIV/0!</v>
      </c>
      <c r="AF320" s="30" t="e">
        <f t="shared" si="85"/>
        <v>#DIV/0!</v>
      </c>
    </row>
    <row r="321" spans="16:32" x14ac:dyDescent="0.2">
      <c r="P321" s="29" t="e">
        <f t="shared" si="77"/>
        <v>#DIV/0!</v>
      </c>
      <c r="Q321" s="30">
        <f t="shared" si="78"/>
        <v>6</v>
      </c>
      <c r="R321" s="30" t="e">
        <f t="shared" si="79"/>
        <v>#DIV/0!</v>
      </c>
      <c r="X321" s="12">
        <f t="shared" si="80"/>
        <v>19</v>
      </c>
      <c r="Y321" s="30" t="e">
        <f t="shared" si="81"/>
        <v>#DIV/0!</v>
      </c>
      <c r="Z321" s="30" t="e">
        <f t="shared" si="82"/>
        <v>#DIV/0!</v>
      </c>
      <c r="AA321" s="30" t="e">
        <f t="shared" si="83"/>
        <v>#DIV/0!</v>
      </c>
      <c r="AB321" s="30" t="e">
        <f t="shared" si="84"/>
        <v>#DIV/0!</v>
      </c>
      <c r="AC321" s="30" t="e">
        <f t="shared" si="74"/>
        <v>#DIV/0!</v>
      </c>
      <c r="AD321" s="30" t="e">
        <f t="shared" si="75"/>
        <v>#DIV/0!</v>
      </c>
      <c r="AE321" s="30" t="e">
        <f t="shared" si="76"/>
        <v>#DIV/0!</v>
      </c>
      <c r="AF321" s="30" t="e">
        <f t="shared" si="85"/>
        <v>#DIV/0!</v>
      </c>
    </row>
    <row r="322" spans="16:32" x14ac:dyDescent="0.2">
      <c r="P322" s="29" t="e">
        <f t="shared" si="77"/>
        <v>#DIV/0!</v>
      </c>
      <c r="Q322" s="30">
        <f t="shared" si="78"/>
        <v>6</v>
      </c>
      <c r="R322" s="30" t="e">
        <f t="shared" si="79"/>
        <v>#DIV/0!</v>
      </c>
      <c r="X322" s="12">
        <f t="shared" si="80"/>
        <v>19</v>
      </c>
      <c r="Y322" s="30" t="e">
        <f t="shared" si="81"/>
        <v>#DIV/0!</v>
      </c>
      <c r="Z322" s="30" t="e">
        <f t="shared" si="82"/>
        <v>#DIV/0!</v>
      </c>
      <c r="AA322" s="30" t="e">
        <f t="shared" si="83"/>
        <v>#DIV/0!</v>
      </c>
      <c r="AB322" s="30" t="e">
        <f t="shared" si="84"/>
        <v>#DIV/0!</v>
      </c>
      <c r="AC322" s="30" t="e">
        <f t="shared" si="74"/>
        <v>#DIV/0!</v>
      </c>
      <c r="AD322" s="30" t="e">
        <f t="shared" si="75"/>
        <v>#DIV/0!</v>
      </c>
      <c r="AE322" s="30" t="e">
        <f t="shared" si="76"/>
        <v>#DIV/0!</v>
      </c>
      <c r="AF322" s="30" t="e">
        <f t="shared" si="85"/>
        <v>#DIV/0!</v>
      </c>
    </row>
    <row r="323" spans="16:32" x14ac:dyDescent="0.2">
      <c r="P323" s="29" t="e">
        <f t="shared" si="77"/>
        <v>#DIV/0!</v>
      </c>
      <c r="Q323" s="30">
        <f t="shared" si="78"/>
        <v>6</v>
      </c>
      <c r="R323" s="30" t="e">
        <f t="shared" si="79"/>
        <v>#DIV/0!</v>
      </c>
      <c r="X323" s="12">
        <f t="shared" si="80"/>
        <v>19</v>
      </c>
      <c r="Y323" s="30" t="e">
        <f t="shared" si="81"/>
        <v>#DIV/0!</v>
      </c>
      <c r="Z323" s="30" t="e">
        <f t="shared" si="82"/>
        <v>#DIV/0!</v>
      </c>
      <c r="AA323" s="30" t="e">
        <f t="shared" si="83"/>
        <v>#DIV/0!</v>
      </c>
      <c r="AB323" s="30" t="e">
        <f t="shared" si="84"/>
        <v>#DIV/0!</v>
      </c>
      <c r="AC323" s="30" t="e">
        <f t="shared" si="74"/>
        <v>#DIV/0!</v>
      </c>
      <c r="AD323" s="30" t="e">
        <f t="shared" si="75"/>
        <v>#DIV/0!</v>
      </c>
      <c r="AE323" s="30" t="e">
        <f t="shared" si="76"/>
        <v>#DIV/0!</v>
      </c>
      <c r="AF323" s="30" t="e">
        <f t="shared" si="85"/>
        <v>#DIV/0!</v>
      </c>
    </row>
    <row r="324" spans="16:32" x14ac:dyDescent="0.2">
      <c r="P324" s="29" t="e">
        <f t="shared" si="77"/>
        <v>#DIV/0!</v>
      </c>
      <c r="Q324" s="30">
        <f t="shared" si="78"/>
        <v>6</v>
      </c>
      <c r="R324" s="30" t="e">
        <f t="shared" si="79"/>
        <v>#DIV/0!</v>
      </c>
      <c r="X324" s="12">
        <f t="shared" si="80"/>
        <v>19</v>
      </c>
      <c r="Y324" s="30" t="e">
        <f t="shared" si="81"/>
        <v>#DIV/0!</v>
      </c>
      <c r="Z324" s="30" t="e">
        <f t="shared" si="82"/>
        <v>#DIV/0!</v>
      </c>
      <c r="AA324" s="30" t="e">
        <f t="shared" si="83"/>
        <v>#DIV/0!</v>
      </c>
      <c r="AB324" s="30" t="e">
        <f t="shared" si="84"/>
        <v>#DIV/0!</v>
      </c>
      <c r="AC324" s="30" t="e">
        <f t="shared" si="74"/>
        <v>#DIV/0!</v>
      </c>
      <c r="AD324" s="30" t="e">
        <f t="shared" si="75"/>
        <v>#DIV/0!</v>
      </c>
      <c r="AE324" s="30" t="e">
        <f t="shared" si="76"/>
        <v>#DIV/0!</v>
      </c>
      <c r="AF324" s="30" t="e">
        <f t="shared" si="85"/>
        <v>#DIV/0!</v>
      </c>
    </row>
    <row r="325" spans="16:32" x14ac:dyDescent="0.2">
      <c r="P325" s="29" t="e">
        <f t="shared" si="77"/>
        <v>#DIV/0!</v>
      </c>
      <c r="Q325" s="30">
        <f t="shared" si="78"/>
        <v>6</v>
      </c>
      <c r="R325" s="30" t="e">
        <f t="shared" si="79"/>
        <v>#DIV/0!</v>
      </c>
      <c r="X325" s="12">
        <f t="shared" si="80"/>
        <v>19</v>
      </c>
      <c r="Y325" s="30" t="e">
        <f t="shared" si="81"/>
        <v>#DIV/0!</v>
      </c>
      <c r="Z325" s="30" t="e">
        <f t="shared" si="82"/>
        <v>#DIV/0!</v>
      </c>
      <c r="AA325" s="30" t="e">
        <f t="shared" si="83"/>
        <v>#DIV/0!</v>
      </c>
      <c r="AB325" s="30" t="e">
        <f t="shared" si="84"/>
        <v>#DIV/0!</v>
      </c>
      <c r="AC325" s="30" t="e">
        <f t="shared" si="74"/>
        <v>#DIV/0!</v>
      </c>
      <c r="AD325" s="30" t="e">
        <f t="shared" si="75"/>
        <v>#DIV/0!</v>
      </c>
      <c r="AE325" s="30" t="e">
        <f t="shared" si="76"/>
        <v>#DIV/0!</v>
      </c>
      <c r="AF325" s="30" t="e">
        <f t="shared" si="85"/>
        <v>#DIV/0!</v>
      </c>
    </row>
    <row r="326" spans="16:32" x14ac:dyDescent="0.2">
      <c r="P326" s="29" t="e">
        <f t="shared" si="77"/>
        <v>#DIV/0!</v>
      </c>
      <c r="Q326" s="30">
        <f t="shared" si="78"/>
        <v>6</v>
      </c>
      <c r="R326" s="30" t="e">
        <f t="shared" si="79"/>
        <v>#DIV/0!</v>
      </c>
      <c r="X326" s="12">
        <f t="shared" si="80"/>
        <v>19</v>
      </c>
      <c r="Y326" s="30" t="e">
        <f t="shared" si="81"/>
        <v>#DIV/0!</v>
      </c>
      <c r="Z326" s="30" t="e">
        <f t="shared" si="82"/>
        <v>#DIV/0!</v>
      </c>
      <c r="AA326" s="30" t="e">
        <f t="shared" si="83"/>
        <v>#DIV/0!</v>
      </c>
      <c r="AB326" s="30" t="e">
        <f t="shared" si="84"/>
        <v>#DIV/0!</v>
      </c>
      <c r="AC326" s="30" t="e">
        <f t="shared" si="74"/>
        <v>#DIV/0!</v>
      </c>
      <c r="AD326" s="30" t="e">
        <f t="shared" si="75"/>
        <v>#DIV/0!</v>
      </c>
      <c r="AE326" s="30" t="e">
        <f t="shared" si="76"/>
        <v>#DIV/0!</v>
      </c>
      <c r="AF326" s="30" t="e">
        <f t="shared" si="85"/>
        <v>#DIV/0!</v>
      </c>
    </row>
    <row r="327" spans="16:32" x14ac:dyDescent="0.2">
      <c r="P327" s="29" t="e">
        <f t="shared" si="77"/>
        <v>#DIV/0!</v>
      </c>
      <c r="Q327" s="30">
        <f t="shared" si="78"/>
        <v>6</v>
      </c>
      <c r="R327" s="30" t="e">
        <f t="shared" si="79"/>
        <v>#DIV/0!</v>
      </c>
      <c r="X327" s="12">
        <f t="shared" si="80"/>
        <v>19</v>
      </c>
      <c r="Y327" s="30" t="e">
        <f t="shared" si="81"/>
        <v>#DIV/0!</v>
      </c>
      <c r="Z327" s="30" t="e">
        <f t="shared" si="82"/>
        <v>#DIV/0!</v>
      </c>
      <c r="AA327" s="30" t="e">
        <f t="shared" si="83"/>
        <v>#DIV/0!</v>
      </c>
      <c r="AB327" s="30" t="e">
        <f t="shared" si="84"/>
        <v>#DIV/0!</v>
      </c>
      <c r="AC327" s="30" t="e">
        <f t="shared" si="74"/>
        <v>#DIV/0!</v>
      </c>
      <c r="AD327" s="30" t="e">
        <f t="shared" si="75"/>
        <v>#DIV/0!</v>
      </c>
      <c r="AE327" s="30" t="e">
        <f t="shared" si="76"/>
        <v>#DIV/0!</v>
      </c>
      <c r="AF327" s="30" t="e">
        <f t="shared" si="85"/>
        <v>#DIV/0!</v>
      </c>
    </row>
    <row r="328" spans="16:32" x14ac:dyDescent="0.2">
      <c r="P328" s="29" t="e">
        <f t="shared" si="77"/>
        <v>#DIV/0!</v>
      </c>
      <c r="Q328" s="30">
        <f t="shared" si="78"/>
        <v>6</v>
      </c>
      <c r="R328" s="30" t="e">
        <f t="shared" si="79"/>
        <v>#DIV/0!</v>
      </c>
      <c r="X328" s="12">
        <f t="shared" si="80"/>
        <v>19</v>
      </c>
      <c r="Y328" s="30" t="e">
        <f t="shared" si="81"/>
        <v>#DIV/0!</v>
      </c>
      <c r="Z328" s="30" t="e">
        <f t="shared" si="82"/>
        <v>#DIV/0!</v>
      </c>
      <c r="AA328" s="30" t="e">
        <f t="shared" si="83"/>
        <v>#DIV/0!</v>
      </c>
      <c r="AB328" s="30" t="e">
        <f t="shared" si="84"/>
        <v>#DIV/0!</v>
      </c>
      <c r="AC328" s="30" t="e">
        <f t="shared" si="74"/>
        <v>#DIV/0!</v>
      </c>
      <c r="AD328" s="30" t="e">
        <f t="shared" si="75"/>
        <v>#DIV/0!</v>
      </c>
      <c r="AE328" s="30" t="e">
        <f t="shared" si="76"/>
        <v>#DIV/0!</v>
      </c>
      <c r="AF328" s="30" t="e">
        <f t="shared" si="85"/>
        <v>#DIV/0!</v>
      </c>
    </row>
    <row r="329" spans="16:32" x14ac:dyDescent="0.2">
      <c r="P329" s="29" t="e">
        <f t="shared" si="77"/>
        <v>#DIV/0!</v>
      </c>
      <c r="Q329" s="30">
        <f t="shared" si="78"/>
        <v>6</v>
      </c>
      <c r="R329" s="30" t="e">
        <f t="shared" si="79"/>
        <v>#DIV/0!</v>
      </c>
      <c r="X329" s="12">
        <f t="shared" si="80"/>
        <v>19</v>
      </c>
      <c r="Y329" s="30" t="e">
        <f t="shared" si="81"/>
        <v>#DIV/0!</v>
      </c>
      <c r="Z329" s="30" t="e">
        <f t="shared" si="82"/>
        <v>#DIV/0!</v>
      </c>
      <c r="AA329" s="30" t="e">
        <f t="shared" si="83"/>
        <v>#DIV/0!</v>
      </c>
      <c r="AB329" s="30" t="e">
        <f t="shared" si="84"/>
        <v>#DIV/0!</v>
      </c>
      <c r="AC329" s="30" t="e">
        <f t="shared" si="74"/>
        <v>#DIV/0!</v>
      </c>
      <c r="AD329" s="30" t="e">
        <f t="shared" si="75"/>
        <v>#DIV/0!</v>
      </c>
      <c r="AE329" s="30" t="e">
        <f t="shared" si="76"/>
        <v>#DIV/0!</v>
      </c>
      <c r="AF329" s="30" t="e">
        <f t="shared" si="85"/>
        <v>#DIV/0!</v>
      </c>
    </row>
    <row r="330" spans="16:32" x14ac:dyDescent="0.2">
      <c r="P330" s="29" t="e">
        <f t="shared" si="77"/>
        <v>#DIV/0!</v>
      </c>
      <c r="Q330" s="30">
        <f t="shared" si="78"/>
        <v>6</v>
      </c>
      <c r="R330" s="30" t="e">
        <f t="shared" si="79"/>
        <v>#DIV/0!</v>
      </c>
      <c r="X330" s="12">
        <f t="shared" si="80"/>
        <v>19</v>
      </c>
      <c r="Y330" s="30" t="e">
        <f t="shared" si="81"/>
        <v>#DIV/0!</v>
      </c>
      <c r="Z330" s="30" t="e">
        <f t="shared" si="82"/>
        <v>#DIV/0!</v>
      </c>
      <c r="AA330" s="30" t="e">
        <f t="shared" si="83"/>
        <v>#DIV/0!</v>
      </c>
      <c r="AB330" s="30" t="e">
        <f t="shared" si="84"/>
        <v>#DIV/0!</v>
      </c>
      <c r="AC330" s="30" t="e">
        <f t="shared" si="74"/>
        <v>#DIV/0!</v>
      </c>
      <c r="AD330" s="30" t="e">
        <f t="shared" si="75"/>
        <v>#DIV/0!</v>
      </c>
      <c r="AE330" s="30" t="e">
        <f t="shared" si="76"/>
        <v>#DIV/0!</v>
      </c>
      <c r="AF330" s="30" t="e">
        <f t="shared" si="85"/>
        <v>#DIV/0!</v>
      </c>
    </row>
    <row r="331" spans="16:32" x14ac:dyDescent="0.2">
      <c r="P331" s="29" t="e">
        <f t="shared" si="77"/>
        <v>#DIV/0!</v>
      </c>
      <c r="Q331" s="30">
        <f t="shared" si="78"/>
        <v>6</v>
      </c>
      <c r="R331" s="30" t="e">
        <f t="shared" si="79"/>
        <v>#DIV/0!</v>
      </c>
      <c r="X331" s="12">
        <f t="shared" si="80"/>
        <v>19</v>
      </c>
      <c r="Y331" s="30" t="e">
        <f t="shared" si="81"/>
        <v>#DIV/0!</v>
      </c>
      <c r="Z331" s="30" t="e">
        <f t="shared" si="82"/>
        <v>#DIV/0!</v>
      </c>
      <c r="AA331" s="30" t="e">
        <f t="shared" si="83"/>
        <v>#DIV/0!</v>
      </c>
      <c r="AB331" s="30" t="e">
        <f t="shared" si="84"/>
        <v>#DIV/0!</v>
      </c>
      <c r="AC331" s="30" t="e">
        <f t="shared" si="74"/>
        <v>#DIV/0!</v>
      </c>
      <c r="AD331" s="30" t="e">
        <f t="shared" si="75"/>
        <v>#DIV/0!</v>
      </c>
      <c r="AE331" s="30" t="e">
        <f t="shared" si="76"/>
        <v>#DIV/0!</v>
      </c>
      <c r="AF331" s="30" t="e">
        <f t="shared" si="85"/>
        <v>#DIV/0!</v>
      </c>
    </row>
    <row r="332" spans="16:32" x14ac:dyDescent="0.2">
      <c r="P332" s="29" t="e">
        <f t="shared" si="77"/>
        <v>#DIV/0!</v>
      </c>
      <c r="Q332" s="30">
        <f t="shared" si="78"/>
        <v>6</v>
      </c>
      <c r="R332" s="30" t="e">
        <f t="shared" si="79"/>
        <v>#DIV/0!</v>
      </c>
      <c r="X332" s="12">
        <f t="shared" si="80"/>
        <v>19</v>
      </c>
      <c r="Y332" s="30" t="e">
        <f t="shared" si="81"/>
        <v>#DIV/0!</v>
      </c>
      <c r="Z332" s="30" t="e">
        <f t="shared" si="82"/>
        <v>#DIV/0!</v>
      </c>
      <c r="AA332" s="30" t="e">
        <f t="shared" si="83"/>
        <v>#DIV/0!</v>
      </c>
      <c r="AB332" s="30" t="e">
        <f t="shared" si="84"/>
        <v>#DIV/0!</v>
      </c>
      <c r="AC332" s="30" t="e">
        <f t="shared" si="74"/>
        <v>#DIV/0!</v>
      </c>
      <c r="AD332" s="30" t="e">
        <f t="shared" si="75"/>
        <v>#DIV/0!</v>
      </c>
      <c r="AE332" s="30" t="e">
        <f t="shared" si="76"/>
        <v>#DIV/0!</v>
      </c>
      <c r="AF332" s="30" t="e">
        <f t="shared" si="85"/>
        <v>#DIV/0!</v>
      </c>
    </row>
  </sheetData>
  <sortState ref="A3:AF24">
    <sortCondition ref="S3:S24"/>
    <sortCondition ref="A3:A24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751"/>
  <sheetViews>
    <sheetView tabSelected="1" topLeftCell="A163" zoomScale="85" zoomScaleNormal="85" workbookViewId="0">
      <selection activeCell="O177" sqref="O177:W190"/>
    </sheetView>
  </sheetViews>
  <sheetFormatPr defaultRowHeight="15" x14ac:dyDescent="0.25"/>
  <cols>
    <col min="1" max="1" width="6.42578125" customWidth="1"/>
    <col min="2" max="2" width="18.28515625" bestFit="1" customWidth="1"/>
    <col min="3" max="3" width="9.140625" bestFit="1" customWidth="1"/>
    <col min="4" max="5" width="4.42578125" customWidth="1"/>
    <col min="6" max="6" width="7.28515625" customWidth="1"/>
    <col min="7" max="7" width="6.7109375" customWidth="1"/>
    <col min="8" max="8" width="7.28515625" customWidth="1"/>
    <col min="9" max="9" width="6.28515625" customWidth="1"/>
    <col min="10" max="10" width="5.140625" customWidth="1"/>
    <col min="11" max="11" width="5.28515625" customWidth="1"/>
    <col min="12" max="12" width="5.7109375" customWidth="1"/>
    <col min="14" max="14" width="3.7109375" customWidth="1"/>
    <col min="15" max="15" width="4.140625" customWidth="1"/>
    <col min="16" max="16" width="3.85546875" customWidth="1"/>
    <col min="17" max="18" width="4.42578125" customWidth="1"/>
    <col min="19" max="19" width="4.28515625" customWidth="1"/>
    <col min="20" max="20" width="3.140625" customWidth="1"/>
    <col min="21" max="21" width="4.42578125" customWidth="1"/>
    <col min="22" max="22" width="3.5703125" customWidth="1"/>
    <col min="23" max="23" width="3.28515625" customWidth="1"/>
    <col min="24" max="24" width="22.5703125" bestFit="1" customWidth="1"/>
    <col min="25" max="25" width="11.5703125" bestFit="1" customWidth="1"/>
    <col min="26" max="26" width="12" bestFit="1" customWidth="1"/>
    <col min="27" max="27" width="11.85546875" customWidth="1"/>
  </cols>
  <sheetData>
    <row r="1" spans="1:26" x14ac:dyDescent="0.25">
      <c r="A1" t="s">
        <v>211</v>
      </c>
      <c r="B1" t="s">
        <v>228</v>
      </c>
      <c r="C1" t="s">
        <v>18</v>
      </c>
      <c r="D1" t="s">
        <v>19</v>
      </c>
      <c r="E1" t="s">
        <v>20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218</v>
      </c>
      <c r="L1" t="s">
        <v>217</v>
      </c>
      <c r="M1" t="s">
        <v>219</v>
      </c>
      <c r="N1" t="s">
        <v>64</v>
      </c>
      <c r="O1" t="s">
        <v>11</v>
      </c>
      <c r="P1" t="s">
        <v>12</v>
      </c>
      <c r="Q1" t="s">
        <v>220</v>
      </c>
      <c r="R1" t="s">
        <v>10</v>
      </c>
      <c r="S1" t="s">
        <v>221</v>
      </c>
      <c r="T1" t="s">
        <v>222</v>
      </c>
      <c r="U1" t="s">
        <v>223</v>
      </c>
      <c r="V1" t="s">
        <v>224</v>
      </c>
      <c r="W1" t="s">
        <v>8</v>
      </c>
      <c r="X1" t="s">
        <v>225</v>
      </c>
      <c r="Y1" t="s">
        <v>226</v>
      </c>
      <c r="Z1" t="s">
        <v>227</v>
      </c>
    </row>
    <row r="2" spans="1:26" x14ac:dyDescent="0.25">
      <c r="A2" s="33">
        <v>14001</v>
      </c>
      <c r="B2" s="2" t="s">
        <v>36</v>
      </c>
      <c r="C2" s="2" t="s">
        <v>31</v>
      </c>
      <c r="D2" s="4"/>
      <c r="E2" s="2" t="s">
        <v>32</v>
      </c>
      <c r="F2" s="2" t="s">
        <v>37</v>
      </c>
      <c r="G2" s="6">
        <v>3</v>
      </c>
      <c r="H2" s="10"/>
      <c r="I2" s="10"/>
      <c r="J2" s="2" t="s">
        <v>38</v>
      </c>
      <c r="K2" s="33">
        <v>10</v>
      </c>
      <c r="L2" s="6">
        <v>16</v>
      </c>
      <c r="M2" s="33"/>
      <c r="N2" s="33">
        <v>0</v>
      </c>
      <c r="O2" s="33">
        <v>1</v>
      </c>
      <c r="P2" s="33">
        <v>4</v>
      </c>
      <c r="Q2" s="33">
        <v>6</v>
      </c>
      <c r="R2" s="33">
        <v>8</v>
      </c>
      <c r="S2" s="33">
        <v>16</v>
      </c>
      <c r="T2" s="33">
        <v>17</v>
      </c>
      <c r="U2" s="33">
        <v>19</v>
      </c>
      <c r="V2" s="33">
        <v>20</v>
      </c>
      <c r="W2" s="33">
        <v>21</v>
      </c>
      <c r="X2" s="33" t="str">
        <f>CONCATENATE(LOWER(SUBSTITUTE(SUBSTITUTE(B2," ","_"), ".", "")), ".png")</f>
        <v>erick_aybar.png</v>
      </c>
      <c r="Y2" s="33" t="s">
        <v>229</v>
      </c>
      <c r="Z2" s="33" t="str">
        <f>RIGHT(B2, LEN(B2)-SEARCH(" ", B2, 1))</f>
        <v>Aybar</v>
      </c>
    </row>
    <row r="3" spans="1:26" x14ac:dyDescent="0.25">
      <c r="A3" s="33">
        <f>A2+1</f>
        <v>14002</v>
      </c>
      <c r="B3" s="2" t="s">
        <v>46</v>
      </c>
      <c r="C3" s="2" t="s">
        <v>31</v>
      </c>
      <c r="D3" s="4"/>
      <c r="E3" s="2" t="s">
        <v>32</v>
      </c>
      <c r="F3" s="2" t="s">
        <v>41</v>
      </c>
      <c r="G3" s="6">
        <v>2</v>
      </c>
      <c r="H3" s="10"/>
      <c r="I3" s="10"/>
      <c r="J3" s="2" t="s">
        <v>42</v>
      </c>
      <c r="K3" s="33">
        <v>11</v>
      </c>
      <c r="L3" s="6">
        <v>13</v>
      </c>
      <c r="M3" s="33"/>
      <c r="N3" s="33">
        <v>0</v>
      </c>
      <c r="O3" s="33">
        <v>2</v>
      </c>
      <c r="P3" s="33">
        <v>4</v>
      </c>
      <c r="Q3" s="33">
        <v>6</v>
      </c>
      <c r="R3" s="33">
        <v>9</v>
      </c>
      <c r="S3" s="33">
        <v>15</v>
      </c>
      <c r="T3" s="33">
        <v>15</v>
      </c>
      <c r="U3" s="33">
        <v>17</v>
      </c>
      <c r="V3" s="33">
        <v>18</v>
      </c>
      <c r="W3" s="33">
        <v>19</v>
      </c>
      <c r="X3" s="33" t="str">
        <f>CONCATENATE(LOWER(SUBSTITUTE(SUBSTITUTE(B3," ","_"), ".", "")), ".png")</f>
        <v>kole_calhoun.png</v>
      </c>
      <c r="Y3" s="33" t="s">
        <v>229</v>
      </c>
      <c r="Z3" s="33" t="str">
        <f>RIGHT(B3, LEN(B3)-SEARCH(" ", B3, 1))</f>
        <v>Calhoun</v>
      </c>
    </row>
    <row r="4" spans="1:26" x14ac:dyDescent="0.25">
      <c r="A4" s="33">
        <f>A3+1</f>
        <v>14003</v>
      </c>
      <c r="B4" s="22" t="s">
        <v>71</v>
      </c>
      <c r="C4" s="4" t="s">
        <v>31</v>
      </c>
      <c r="D4" s="4"/>
      <c r="E4" s="10" t="s">
        <v>32</v>
      </c>
      <c r="F4" s="10" t="s">
        <v>32</v>
      </c>
      <c r="G4" s="10">
        <v>4</v>
      </c>
      <c r="H4" s="10"/>
      <c r="I4" s="10"/>
      <c r="J4" s="10" t="s">
        <v>42</v>
      </c>
      <c r="K4" s="33">
        <v>10</v>
      </c>
      <c r="L4" s="11">
        <v>8</v>
      </c>
      <c r="M4" s="33"/>
      <c r="N4" s="33">
        <v>0</v>
      </c>
      <c r="O4" s="33">
        <v>2</v>
      </c>
      <c r="P4" s="33">
        <v>4</v>
      </c>
      <c r="Q4" s="33">
        <v>7</v>
      </c>
      <c r="R4" s="33">
        <v>11</v>
      </c>
      <c r="S4" s="33">
        <v>16</v>
      </c>
      <c r="T4" s="33">
        <v>16</v>
      </c>
      <c r="U4" s="33">
        <v>19</v>
      </c>
      <c r="V4" s="33">
        <v>19</v>
      </c>
      <c r="W4" s="33">
        <v>20</v>
      </c>
      <c r="X4" s="33" t="str">
        <f>CONCATENATE(LOWER(SUBSTITUTE(SUBSTITUTE(B4," ","_"), ".", "")), ".png")</f>
        <v>hank_conger.png</v>
      </c>
      <c r="Y4" s="33" t="s">
        <v>229</v>
      </c>
      <c r="Z4" s="33" t="str">
        <f>RIGHT(B4, LEN(B4)-SEARCH(" ", B4, 1))</f>
        <v>Conger</v>
      </c>
    </row>
    <row r="5" spans="1:26" x14ac:dyDescent="0.25">
      <c r="A5" s="33">
        <f>A4+1</f>
        <v>14004</v>
      </c>
      <c r="B5" s="22" t="s">
        <v>72</v>
      </c>
      <c r="C5" s="4" t="s">
        <v>31</v>
      </c>
      <c r="D5" s="4">
        <v>20</v>
      </c>
      <c r="E5" s="10" t="s">
        <v>32</v>
      </c>
      <c r="F5" s="10" t="s">
        <v>56</v>
      </c>
      <c r="G5" s="10">
        <v>2</v>
      </c>
      <c r="H5" s="10"/>
      <c r="I5" s="10"/>
      <c r="J5" s="10" t="s">
        <v>33</v>
      </c>
      <c r="K5" s="33">
        <v>9</v>
      </c>
      <c r="L5" s="11">
        <v>10</v>
      </c>
      <c r="M5" s="33"/>
      <c r="N5" s="33">
        <v>0</v>
      </c>
      <c r="O5" s="33">
        <v>2</v>
      </c>
      <c r="P5" s="33">
        <v>5</v>
      </c>
      <c r="Q5" s="33">
        <v>7</v>
      </c>
      <c r="R5" s="33">
        <v>10</v>
      </c>
      <c r="S5" s="33">
        <v>17</v>
      </c>
      <c r="T5" s="33">
        <v>17</v>
      </c>
      <c r="U5" s="33">
        <v>19</v>
      </c>
      <c r="V5" s="33">
        <v>20</v>
      </c>
      <c r="W5" s="33">
        <v>21</v>
      </c>
      <c r="X5" s="33" t="str">
        <f>CONCATENATE(LOWER(SUBSTITUTE(SUBSTITUTE(B5," ","_"), ".", "")), ".png")</f>
        <v>collin_cowgill.png</v>
      </c>
      <c r="Y5" s="33" t="s">
        <v>229</v>
      </c>
      <c r="Z5" s="33" t="str">
        <f>RIGHT(B5, LEN(B5)-SEARCH(" ", B5, 1))</f>
        <v>Cowgill</v>
      </c>
    </row>
    <row r="6" spans="1:26" x14ac:dyDescent="0.25">
      <c r="A6" s="33">
        <f>A5+1</f>
        <v>14005</v>
      </c>
      <c r="B6" s="2" t="s">
        <v>39</v>
      </c>
      <c r="C6" s="2" t="s">
        <v>31</v>
      </c>
      <c r="D6" s="4"/>
      <c r="E6" s="2" t="s">
        <v>32</v>
      </c>
      <c r="F6" s="2" t="s">
        <v>7</v>
      </c>
      <c r="G6" s="6">
        <v>1</v>
      </c>
      <c r="H6" s="10"/>
      <c r="I6" s="10"/>
      <c r="J6" s="2" t="s">
        <v>33</v>
      </c>
      <c r="K6" s="33">
        <v>11</v>
      </c>
      <c r="L6" s="6">
        <v>9</v>
      </c>
      <c r="M6" s="33"/>
      <c r="N6" s="33">
        <v>0</v>
      </c>
      <c r="O6" s="33">
        <v>2</v>
      </c>
      <c r="P6" s="33">
        <v>5</v>
      </c>
      <c r="Q6" s="33">
        <v>6</v>
      </c>
      <c r="R6" s="33">
        <v>10</v>
      </c>
      <c r="S6" s="33">
        <v>16</v>
      </c>
      <c r="T6" s="33">
        <v>16</v>
      </c>
      <c r="U6" s="33">
        <v>18</v>
      </c>
      <c r="V6" s="33">
        <v>19</v>
      </c>
      <c r="W6" s="33">
        <v>20</v>
      </c>
      <c r="X6" s="33" t="str">
        <f>CONCATENATE(LOWER(SUBSTITUTE(SUBSTITUTE(B6," ","_"), ".", "")), ".png")</f>
        <v>david_freese.png</v>
      </c>
      <c r="Y6" s="33" t="s">
        <v>229</v>
      </c>
      <c r="Z6" s="33" t="str">
        <f>RIGHT(B6, LEN(B6)-SEARCH(" ", B6, 1))</f>
        <v>Freese</v>
      </c>
    </row>
    <row r="7" spans="1:26" x14ac:dyDescent="0.25">
      <c r="A7" s="33">
        <f>A6+1</f>
        <v>14006</v>
      </c>
      <c r="B7" s="21" t="s">
        <v>83</v>
      </c>
      <c r="C7" s="1" t="s">
        <v>31</v>
      </c>
      <c r="D7" s="33"/>
      <c r="E7" s="12" t="s">
        <v>32</v>
      </c>
      <c r="F7" s="12" t="s">
        <v>82</v>
      </c>
      <c r="G7" s="33"/>
      <c r="H7" s="33"/>
      <c r="I7" s="33"/>
      <c r="J7" s="12" t="s">
        <v>33</v>
      </c>
      <c r="K7" s="33">
        <v>4</v>
      </c>
      <c r="L7" s="33">
        <v>1</v>
      </c>
      <c r="M7" s="33"/>
      <c r="N7" s="33">
        <v>3</v>
      </c>
      <c r="O7" s="33">
        <v>10</v>
      </c>
      <c r="P7" s="33">
        <v>12</v>
      </c>
      <c r="Q7" s="33">
        <v>16</v>
      </c>
      <c r="R7" s="33">
        <v>18</v>
      </c>
      <c r="S7" s="33">
        <v>19</v>
      </c>
      <c r="T7" s="33">
        <v>19</v>
      </c>
      <c r="U7" s="1">
        <v>21</v>
      </c>
      <c r="V7" s="1">
        <v>21</v>
      </c>
      <c r="W7" s="33">
        <v>22</v>
      </c>
      <c r="X7" s="33" t="str">
        <f>CONCATENATE(LOWER(SUBSTITUTE(SUBSTITUTE(B7," ","_"), ".", "")), ".png")</f>
        <v>ernesto_frieri.png</v>
      </c>
      <c r="Y7" s="33" t="s">
        <v>231</v>
      </c>
      <c r="Z7" s="33" t="str">
        <f>RIGHT(B7, LEN(B7)-SEARCH(" ", B7, 1))</f>
        <v>Frieri</v>
      </c>
    </row>
    <row r="8" spans="1:26" x14ac:dyDescent="0.25">
      <c r="A8" s="33">
        <f>A7+1</f>
        <v>14007</v>
      </c>
      <c r="B8" s="22" t="s">
        <v>75</v>
      </c>
      <c r="C8" s="4" t="s">
        <v>31</v>
      </c>
      <c r="D8" s="4"/>
      <c r="E8" s="10" t="s">
        <v>32</v>
      </c>
      <c r="F8" s="10" t="s">
        <v>6</v>
      </c>
      <c r="G8" s="10">
        <v>3</v>
      </c>
      <c r="H8" s="10"/>
      <c r="I8" s="10"/>
      <c r="J8" s="10" t="s">
        <v>33</v>
      </c>
      <c r="K8" s="33">
        <v>10</v>
      </c>
      <c r="L8" s="11">
        <v>8</v>
      </c>
      <c r="M8" s="33"/>
      <c r="N8" s="33">
        <v>0</v>
      </c>
      <c r="O8" s="33">
        <v>2</v>
      </c>
      <c r="P8" s="33">
        <v>4</v>
      </c>
      <c r="Q8" s="33">
        <v>6</v>
      </c>
      <c r="R8" s="33">
        <v>9</v>
      </c>
      <c r="S8" s="33">
        <v>17</v>
      </c>
      <c r="T8" s="33">
        <v>17</v>
      </c>
      <c r="U8" s="33">
        <v>19</v>
      </c>
      <c r="V8" s="33">
        <v>20</v>
      </c>
      <c r="W8" s="33">
        <v>21</v>
      </c>
      <c r="X8" s="33" t="str">
        <f>CONCATENATE(LOWER(SUBSTITUTE(SUBSTITUTE(B8," ","_"), ".", "")), ".png")</f>
        <v>grant_green.png</v>
      </c>
      <c r="Y8" s="33" t="s">
        <v>229</v>
      </c>
      <c r="Z8" s="33" t="str">
        <f>RIGHT(B8, LEN(B8)-SEARCH(" ", B8, 1))</f>
        <v>Green</v>
      </c>
    </row>
    <row r="9" spans="1:26" x14ac:dyDescent="0.25">
      <c r="A9" s="33">
        <f>A8+1</f>
        <v>14008</v>
      </c>
      <c r="B9" s="2" t="s">
        <v>40</v>
      </c>
      <c r="C9" s="2" t="s">
        <v>31</v>
      </c>
      <c r="D9" s="4"/>
      <c r="E9" s="2" t="s">
        <v>32</v>
      </c>
      <c r="F9" s="2" t="s">
        <v>41</v>
      </c>
      <c r="G9" s="6">
        <v>1</v>
      </c>
      <c r="H9" s="10"/>
      <c r="I9" s="10"/>
      <c r="J9" s="2" t="s">
        <v>42</v>
      </c>
      <c r="K9" s="33">
        <v>10</v>
      </c>
      <c r="L9" s="6">
        <v>14</v>
      </c>
      <c r="M9" s="33"/>
      <c r="N9" s="33">
        <v>0</v>
      </c>
      <c r="O9" s="33">
        <v>2</v>
      </c>
      <c r="P9" s="33">
        <v>4</v>
      </c>
      <c r="Q9" s="33">
        <v>6</v>
      </c>
      <c r="R9" s="33">
        <v>9</v>
      </c>
      <c r="S9" s="33">
        <v>14</v>
      </c>
      <c r="T9" s="33">
        <v>14</v>
      </c>
      <c r="U9" s="33">
        <v>16</v>
      </c>
      <c r="V9" s="33">
        <v>18</v>
      </c>
      <c r="W9" s="33">
        <v>19</v>
      </c>
      <c r="X9" s="33" t="str">
        <f>CONCATENATE(LOWER(SUBSTITUTE(SUBSTITUTE(B9," ","_"), ".", "")), ".png")</f>
        <v>josh_hamilton.png</v>
      </c>
      <c r="Y9" s="33" t="s">
        <v>229</v>
      </c>
      <c r="Z9" s="33" t="str">
        <f>RIGHT(B9, LEN(B9)-SEARCH(" ", B9, 1))</f>
        <v>Hamilton</v>
      </c>
    </row>
    <row r="10" spans="1:26" x14ac:dyDescent="0.25">
      <c r="A10" s="33">
        <f>A9+1</f>
        <v>14009</v>
      </c>
      <c r="B10" s="2" t="s">
        <v>30</v>
      </c>
      <c r="C10" s="2" t="s">
        <v>31</v>
      </c>
      <c r="D10" s="4"/>
      <c r="E10" s="2" t="s">
        <v>32</v>
      </c>
      <c r="F10" s="2" t="s">
        <v>32</v>
      </c>
      <c r="G10" s="6">
        <v>4</v>
      </c>
      <c r="H10" s="10"/>
      <c r="I10" s="10"/>
      <c r="J10" s="2" t="s">
        <v>33</v>
      </c>
      <c r="K10" s="33">
        <v>11</v>
      </c>
      <c r="L10" s="6">
        <v>8</v>
      </c>
      <c r="M10" s="33"/>
      <c r="N10" s="33">
        <v>0</v>
      </c>
      <c r="O10" s="33">
        <v>3</v>
      </c>
      <c r="P10" s="33">
        <v>5</v>
      </c>
      <c r="Q10" s="33">
        <v>7</v>
      </c>
      <c r="R10" s="33">
        <v>13</v>
      </c>
      <c r="S10" s="33">
        <v>17</v>
      </c>
      <c r="T10" s="33">
        <v>17</v>
      </c>
      <c r="U10" s="33">
        <v>19</v>
      </c>
      <c r="V10" s="33">
        <v>19</v>
      </c>
      <c r="W10" s="33">
        <v>20</v>
      </c>
      <c r="X10" s="33" t="str">
        <f>CONCATENATE(LOWER(SUBSTITUTE(SUBSTITUTE(B10," ","_"), ".", "")), ".png")</f>
        <v>chris_iannetta.png</v>
      </c>
      <c r="Y10" s="33" t="s">
        <v>229</v>
      </c>
      <c r="Z10" s="33" t="str">
        <f>RIGHT(B10, LEN(B10)-SEARCH(" ", B10, 1))</f>
        <v>Iannetta</v>
      </c>
    </row>
    <row r="11" spans="1:26" x14ac:dyDescent="0.25">
      <c r="A11" s="33">
        <f>A10+1</f>
        <v>14010</v>
      </c>
      <c r="B11" s="2" t="s">
        <v>47</v>
      </c>
      <c r="C11" s="2" t="s">
        <v>31</v>
      </c>
      <c r="D11" s="4"/>
      <c r="E11" s="2" t="s">
        <v>32</v>
      </c>
      <c r="F11" s="2" t="s">
        <v>41</v>
      </c>
      <c r="G11" s="6">
        <v>0</v>
      </c>
      <c r="H11" s="10"/>
      <c r="I11" s="10"/>
      <c r="J11" s="2" t="s">
        <v>42</v>
      </c>
      <c r="K11" s="33">
        <v>10</v>
      </c>
      <c r="L11" s="6">
        <v>8</v>
      </c>
      <c r="M11" s="33"/>
      <c r="N11" s="33">
        <v>0</v>
      </c>
      <c r="O11" s="33">
        <v>2</v>
      </c>
      <c r="P11" s="33">
        <v>4</v>
      </c>
      <c r="Q11" s="33">
        <v>7</v>
      </c>
      <c r="R11" s="33">
        <v>11</v>
      </c>
      <c r="S11" s="33">
        <v>15</v>
      </c>
      <c r="T11" s="33">
        <v>15</v>
      </c>
      <c r="U11" s="33">
        <v>17</v>
      </c>
      <c r="V11" s="33">
        <v>17</v>
      </c>
      <c r="W11" s="33">
        <v>18</v>
      </c>
      <c r="X11" s="33" t="str">
        <f>CONCATENATE(LOWER(SUBSTITUTE(SUBSTITUTE(B11," ","_"), ".", "")), ".png")</f>
        <v>raul_ibanez.png</v>
      </c>
      <c r="Y11" s="33" t="s">
        <v>229</v>
      </c>
      <c r="Z11" s="33" t="str">
        <f>RIGHT(B11, LEN(B11)-SEARCH(" ", B11, 1))</f>
        <v>Ibanez</v>
      </c>
    </row>
    <row r="12" spans="1:26" x14ac:dyDescent="0.25">
      <c r="A12" s="33">
        <f>A11+1</f>
        <v>14011</v>
      </c>
      <c r="B12" s="21" t="s">
        <v>87</v>
      </c>
      <c r="C12" s="1" t="s">
        <v>31</v>
      </c>
      <c r="D12" s="33">
        <v>30</v>
      </c>
      <c r="E12" s="12" t="s">
        <v>32</v>
      </c>
      <c r="F12" s="12" t="s">
        <v>85</v>
      </c>
      <c r="G12" s="33"/>
      <c r="H12" s="33"/>
      <c r="I12" s="33"/>
      <c r="J12" s="12" t="s">
        <v>33</v>
      </c>
      <c r="K12" s="33">
        <v>1</v>
      </c>
      <c r="L12" s="33">
        <v>1</v>
      </c>
      <c r="M12" s="33"/>
      <c r="N12" s="33">
        <v>2</v>
      </c>
      <c r="O12" s="33">
        <v>7</v>
      </c>
      <c r="P12" s="33">
        <v>11</v>
      </c>
      <c r="Q12" s="33">
        <v>15</v>
      </c>
      <c r="R12" s="33">
        <v>16</v>
      </c>
      <c r="S12" s="33">
        <v>19</v>
      </c>
      <c r="T12" s="33">
        <v>19</v>
      </c>
      <c r="U12" s="1">
        <v>25</v>
      </c>
      <c r="V12" s="1">
        <v>25</v>
      </c>
      <c r="W12" s="33">
        <v>26</v>
      </c>
      <c r="X12" s="33" t="str">
        <f>CONCATENATE(LOWER(SUBSTITUTE(SUBSTITUTE(B12," ","_"), ".", "")), ".png")</f>
        <v>kevin_jepsen.png</v>
      </c>
      <c r="Y12" s="33" t="s">
        <v>231</v>
      </c>
      <c r="Z12" s="33" t="str">
        <f>RIGHT(B12, LEN(B12)-SEARCH(" ", B12, 1))</f>
        <v>Jepsen</v>
      </c>
    </row>
    <row r="13" spans="1:26" x14ac:dyDescent="0.25">
      <c r="A13" s="33">
        <f>A12+1</f>
        <v>14012</v>
      </c>
      <c r="B13" s="2" t="s">
        <v>35</v>
      </c>
      <c r="C13" s="2" t="s">
        <v>31</v>
      </c>
      <c r="D13" s="4"/>
      <c r="E13" s="2" t="s">
        <v>32</v>
      </c>
      <c r="F13" s="2" t="s">
        <v>6</v>
      </c>
      <c r="G13" s="6">
        <v>2</v>
      </c>
      <c r="H13" s="10"/>
      <c r="I13" s="10"/>
      <c r="J13" s="2" t="s">
        <v>33</v>
      </c>
      <c r="K13" s="33">
        <v>10</v>
      </c>
      <c r="L13" s="6">
        <v>14</v>
      </c>
      <c r="M13" s="33"/>
      <c r="N13" s="33">
        <v>0</v>
      </c>
      <c r="O13" s="33">
        <v>2</v>
      </c>
      <c r="P13" s="33">
        <v>5</v>
      </c>
      <c r="Q13" s="33">
        <v>6</v>
      </c>
      <c r="R13" s="33">
        <v>8</v>
      </c>
      <c r="S13" s="33">
        <v>16</v>
      </c>
      <c r="T13" s="33">
        <v>16</v>
      </c>
      <c r="U13" s="33">
        <v>18</v>
      </c>
      <c r="V13" s="33">
        <v>19</v>
      </c>
      <c r="W13" s="33">
        <v>20</v>
      </c>
      <c r="X13" s="33" t="str">
        <f>CONCATENATE(LOWER(SUBSTITUTE(SUBSTITUTE(B13," ","_"), ".", "")), ".png")</f>
        <v>howie_kendrick.png</v>
      </c>
      <c r="Y13" s="33" t="s">
        <v>229</v>
      </c>
      <c r="Z13" s="33" t="str">
        <f>RIGHT(B13, LEN(B13)-SEARCH(" ", B13, 1))</f>
        <v>Kendrick</v>
      </c>
    </row>
    <row r="14" spans="1:26" x14ac:dyDescent="0.25">
      <c r="A14" s="33">
        <f>A13+1</f>
        <v>14013</v>
      </c>
      <c r="B14" s="21" t="s">
        <v>84</v>
      </c>
      <c r="C14" s="1" t="s">
        <v>31</v>
      </c>
      <c r="D14" s="33"/>
      <c r="E14" s="12" t="s">
        <v>32</v>
      </c>
      <c r="F14" s="12" t="s">
        <v>85</v>
      </c>
      <c r="G14" s="33"/>
      <c r="H14" s="33"/>
      <c r="I14" s="33"/>
      <c r="J14" s="12" t="s">
        <v>33</v>
      </c>
      <c r="K14" s="33">
        <v>3</v>
      </c>
      <c r="L14" s="33">
        <v>1</v>
      </c>
      <c r="M14" s="33"/>
      <c r="N14" s="33">
        <v>2</v>
      </c>
      <c r="O14" s="33">
        <v>7</v>
      </c>
      <c r="P14" s="33">
        <v>10</v>
      </c>
      <c r="Q14" s="33">
        <v>16</v>
      </c>
      <c r="R14" s="33">
        <v>18</v>
      </c>
      <c r="S14" s="33">
        <v>19</v>
      </c>
      <c r="T14" s="33">
        <v>19</v>
      </c>
      <c r="U14" s="1">
        <v>22</v>
      </c>
      <c r="V14" s="1">
        <v>22</v>
      </c>
      <c r="W14" s="33">
        <v>23</v>
      </c>
      <c r="X14" s="33" t="str">
        <f>CONCATENATE(LOWER(SUBSTITUTE(SUBSTITUTE(B14," ","_"), ".", "")), ".png")</f>
        <v>michael_kohn.png</v>
      </c>
      <c r="Y14" s="33" t="s">
        <v>231</v>
      </c>
      <c r="Z14" s="33" t="str">
        <f>RIGHT(B14, LEN(B14)-SEARCH(" ", B14, 1))</f>
        <v>Kohn</v>
      </c>
    </row>
    <row r="15" spans="1:26" x14ac:dyDescent="0.25">
      <c r="A15" s="33">
        <f>A14+1</f>
        <v>14014</v>
      </c>
      <c r="B15" s="21" t="s">
        <v>89</v>
      </c>
      <c r="C15" s="1" t="s">
        <v>31</v>
      </c>
      <c r="D15" s="33">
        <v>10</v>
      </c>
      <c r="E15" s="12" t="s">
        <v>32</v>
      </c>
      <c r="F15" s="12" t="s">
        <v>85</v>
      </c>
      <c r="G15" s="33"/>
      <c r="H15" s="33"/>
      <c r="I15" s="33"/>
      <c r="J15" s="12" t="s">
        <v>42</v>
      </c>
      <c r="K15" s="33">
        <v>1</v>
      </c>
      <c r="L15" s="33">
        <v>1</v>
      </c>
      <c r="M15" s="33"/>
      <c r="N15" s="33">
        <v>0</v>
      </c>
      <c r="O15" s="33">
        <v>4</v>
      </c>
      <c r="P15" s="33">
        <v>10</v>
      </c>
      <c r="Q15" s="33">
        <v>14</v>
      </c>
      <c r="R15" s="33">
        <v>17</v>
      </c>
      <c r="S15" s="33">
        <v>19</v>
      </c>
      <c r="T15" s="33">
        <v>19</v>
      </c>
      <c r="U15" s="1">
        <v>20</v>
      </c>
      <c r="V15" s="1">
        <v>20</v>
      </c>
      <c r="W15" s="33">
        <v>21</v>
      </c>
      <c r="X15" s="33" t="str">
        <f>CONCATENATE(LOWER(SUBSTITUTE(SUBSTITUTE(B15," ","_"), ".", "")), ".png")</f>
        <v>nick_maronde.png</v>
      </c>
      <c r="Y15" s="33" t="s">
        <v>231</v>
      </c>
      <c r="Z15" s="33" t="str">
        <f>RIGHT(B15, LEN(B15)-SEARCH(" ", B15, 1))</f>
        <v>Maronde</v>
      </c>
    </row>
    <row r="16" spans="1:26" x14ac:dyDescent="0.25">
      <c r="A16" s="33">
        <f>A15+1</f>
        <v>14015</v>
      </c>
      <c r="B16" s="2" t="s">
        <v>34</v>
      </c>
      <c r="C16" s="2" t="s">
        <v>31</v>
      </c>
      <c r="D16" s="4"/>
      <c r="E16" s="2" t="s">
        <v>32</v>
      </c>
      <c r="F16" s="2" t="s">
        <v>5</v>
      </c>
      <c r="G16" s="6">
        <v>0</v>
      </c>
      <c r="H16" s="10"/>
      <c r="I16" s="10"/>
      <c r="J16" s="2" t="s">
        <v>33</v>
      </c>
      <c r="K16" s="33">
        <v>10</v>
      </c>
      <c r="L16" s="6">
        <v>10</v>
      </c>
      <c r="M16" s="33"/>
      <c r="N16" s="33">
        <v>0</v>
      </c>
      <c r="O16" s="33">
        <v>1</v>
      </c>
      <c r="P16" s="33">
        <v>3</v>
      </c>
      <c r="Q16" s="33">
        <v>6</v>
      </c>
      <c r="R16" s="33">
        <v>10</v>
      </c>
      <c r="S16" s="33">
        <v>16</v>
      </c>
      <c r="T16" s="33">
        <v>16</v>
      </c>
      <c r="U16" s="33">
        <v>18</v>
      </c>
      <c r="V16" s="33">
        <v>18</v>
      </c>
      <c r="W16" s="33">
        <v>19</v>
      </c>
      <c r="X16" s="33" t="str">
        <f>CONCATENATE(LOWER(SUBSTITUTE(SUBSTITUTE(B16," ","_"), ".", "")), ".png")</f>
        <v>albert_pujols.png</v>
      </c>
      <c r="Y16" s="33" t="s">
        <v>229</v>
      </c>
      <c r="Z16" s="33" t="str">
        <f>RIGHT(B16, LEN(B16)-SEARCH(" ", B16, 1))</f>
        <v>Pujols</v>
      </c>
    </row>
    <row r="17" spans="1:26" x14ac:dyDescent="0.25">
      <c r="A17" s="33">
        <f>A16+1</f>
        <v>14016</v>
      </c>
      <c r="B17" s="21" t="s">
        <v>77</v>
      </c>
      <c r="C17" s="1" t="s">
        <v>31</v>
      </c>
      <c r="D17" s="33"/>
      <c r="E17" s="12" t="s">
        <v>32</v>
      </c>
      <c r="F17" s="12" t="s">
        <v>69</v>
      </c>
      <c r="G17" s="33"/>
      <c r="H17" s="33"/>
      <c r="I17" s="33"/>
      <c r="J17" s="12" t="s">
        <v>33</v>
      </c>
      <c r="K17" s="33">
        <v>3</v>
      </c>
      <c r="L17" s="33">
        <v>6</v>
      </c>
      <c r="M17" s="33"/>
      <c r="N17" s="33">
        <v>1</v>
      </c>
      <c r="O17" s="33">
        <v>7</v>
      </c>
      <c r="P17" s="33">
        <v>14</v>
      </c>
      <c r="Q17" s="33">
        <v>16</v>
      </c>
      <c r="R17" s="33">
        <v>17</v>
      </c>
      <c r="S17" s="33">
        <v>19</v>
      </c>
      <c r="T17" s="33">
        <v>19</v>
      </c>
      <c r="U17" s="1">
        <v>25</v>
      </c>
      <c r="V17" s="1">
        <v>25</v>
      </c>
      <c r="W17" s="33">
        <v>26</v>
      </c>
      <c r="X17" s="33" t="str">
        <f>CONCATENATE(LOWER(SUBSTITUTE(SUBSTITUTE(B17," ","_"), ".", "")), ".png")</f>
        <v>garrett_richards.png</v>
      </c>
      <c r="Y17" s="33" t="s">
        <v>231</v>
      </c>
      <c r="Z17" s="33" t="str">
        <f>RIGHT(B17, LEN(B17)-SEARCH(" ", B17, 1))</f>
        <v>Richards</v>
      </c>
    </row>
    <row r="18" spans="1:26" x14ac:dyDescent="0.25">
      <c r="A18" s="33">
        <f>A17+1</f>
        <v>14017</v>
      </c>
      <c r="B18" s="21" t="s">
        <v>88</v>
      </c>
      <c r="C18" s="1" t="s">
        <v>31</v>
      </c>
      <c r="D18" s="33"/>
      <c r="E18" s="12" t="s">
        <v>32</v>
      </c>
      <c r="F18" s="12" t="s">
        <v>85</v>
      </c>
      <c r="G18" s="33"/>
      <c r="H18" s="33"/>
      <c r="I18" s="33"/>
      <c r="J18" s="12" t="s">
        <v>33</v>
      </c>
      <c r="K18" s="33">
        <v>5</v>
      </c>
      <c r="L18" s="33">
        <v>1</v>
      </c>
      <c r="M18" s="33"/>
      <c r="N18" s="33">
        <v>1</v>
      </c>
      <c r="O18" s="33">
        <v>6</v>
      </c>
      <c r="P18" s="33">
        <v>9</v>
      </c>
      <c r="Q18" s="33">
        <v>15</v>
      </c>
      <c r="R18" s="33">
        <v>17</v>
      </c>
      <c r="S18" s="33">
        <v>19</v>
      </c>
      <c r="T18" s="33">
        <v>19</v>
      </c>
      <c r="U18" s="1">
        <v>24</v>
      </c>
      <c r="V18" s="1">
        <v>24</v>
      </c>
      <c r="W18" s="33">
        <v>25</v>
      </c>
      <c r="X18" s="33" t="str">
        <f>CONCATENATE(LOWER(SUBSTITUTE(SUBSTITUTE(B18," ","_"), ".", "")), ".png")</f>
        <v>fernando_salas.png</v>
      </c>
      <c r="Y18" s="33" t="s">
        <v>231</v>
      </c>
      <c r="Z18" s="33" t="str">
        <f>RIGHT(B18, LEN(B18)-SEARCH(" ", B18, 1))</f>
        <v>Salas</v>
      </c>
    </row>
    <row r="19" spans="1:26" x14ac:dyDescent="0.25">
      <c r="A19" s="33">
        <f>A18+1</f>
        <v>14018</v>
      </c>
      <c r="B19" s="21" t="s">
        <v>81</v>
      </c>
      <c r="C19" s="1" t="s">
        <v>31</v>
      </c>
      <c r="D19" s="33"/>
      <c r="E19" s="12" t="s">
        <v>32</v>
      </c>
      <c r="F19" s="12" t="s">
        <v>69</v>
      </c>
      <c r="G19" s="33"/>
      <c r="H19" s="33"/>
      <c r="I19" s="33"/>
      <c r="J19" s="12" t="s">
        <v>42</v>
      </c>
      <c r="K19" s="33">
        <v>3</v>
      </c>
      <c r="L19" s="33">
        <v>6</v>
      </c>
      <c r="M19" s="33"/>
      <c r="N19" s="33">
        <v>3</v>
      </c>
      <c r="O19" s="33">
        <v>9</v>
      </c>
      <c r="P19" s="33">
        <v>12</v>
      </c>
      <c r="Q19" s="33">
        <v>16</v>
      </c>
      <c r="R19" s="33">
        <v>18</v>
      </c>
      <c r="S19" s="33">
        <v>20</v>
      </c>
      <c r="T19" s="33">
        <v>20</v>
      </c>
      <c r="U19" s="1">
        <v>23</v>
      </c>
      <c r="V19" s="1">
        <v>23</v>
      </c>
      <c r="W19" s="33">
        <v>24</v>
      </c>
      <c r="X19" s="33" t="str">
        <f>CONCATENATE(LOWER(SUBSTITUTE(SUBSTITUTE(B19," ","_"), ".", "")), ".png")</f>
        <v>hector_santiago.png</v>
      </c>
      <c r="Y19" s="33" t="s">
        <v>231</v>
      </c>
      <c r="Z19" s="33" t="str">
        <f>RIGHT(B19, LEN(B19)-SEARCH(" ", B19, 1))</f>
        <v>Santiago</v>
      </c>
    </row>
    <row r="20" spans="1:26" x14ac:dyDescent="0.25">
      <c r="A20" s="33">
        <f>A19+1</f>
        <v>14019</v>
      </c>
      <c r="B20" s="22" t="s">
        <v>74</v>
      </c>
      <c r="C20" s="4" t="s">
        <v>31</v>
      </c>
      <c r="D20" s="4"/>
      <c r="E20" s="10" t="s">
        <v>32</v>
      </c>
      <c r="F20" s="10" t="s">
        <v>41</v>
      </c>
      <c r="G20" s="10">
        <v>2</v>
      </c>
      <c r="H20" s="10"/>
      <c r="I20" s="10"/>
      <c r="J20" s="10" t="s">
        <v>42</v>
      </c>
      <c r="K20" s="33">
        <v>10</v>
      </c>
      <c r="L20" s="11">
        <v>15</v>
      </c>
      <c r="M20" s="33"/>
      <c r="N20" s="33">
        <v>0</v>
      </c>
      <c r="O20" s="33">
        <v>1</v>
      </c>
      <c r="P20" s="33">
        <v>4</v>
      </c>
      <c r="Q20" s="33">
        <v>6</v>
      </c>
      <c r="R20" s="33">
        <v>9</v>
      </c>
      <c r="S20" s="33">
        <v>16</v>
      </c>
      <c r="T20" s="33">
        <v>17</v>
      </c>
      <c r="U20" s="33">
        <v>19</v>
      </c>
      <c r="V20" s="33">
        <v>20</v>
      </c>
      <c r="W20" s="33">
        <v>21</v>
      </c>
      <c r="X20" s="33" t="str">
        <f>CONCATENATE(LOWER(SUBSTITUTE(SUBSTITUTE(B20," ","_"), ".", "")), ".png")</f>
        <v>jb_shuck.png</v>
      </c>
      <c r="Y20" s="33" t="s">
        <v>229</v>
      </c>
      <c r="Z20" s="33" t="str">
        <f>RIGHT(B20, LEN(B20)-SEARCH(" ", B20, 1))</f>
        <v>Shuck</v>
      </c>
    </row>
    <row r="21" spans="1:26" x14ac:dyDescent="0.25">
      <c r="A21" s="33">
        <f>A20+1</f>
        <v>14020</v>
      </c>
      <c r="B21" s="21" t="s">
        <v>78</v>
      </c>
      <c r="C21" s="1" t="s">
        <v>31</v>
      </c>
      <c r="D21" s="33"/>
      <c r="E21" s="12" t="s">
        <v>32</v>
      </c>
      <c r="F21" s="12" t="s">
        <v>69</v>
      </c>
      <c r="G21" s="33"/>
      <c r="H21" s="33"/>
      <c r="I21" s="33"/>
      <c r="J21" s="12" t="s">
        <v>42</v>
      </c>
      <c r="K21" s="33">
        <v>3</v>
      </c>
      <c r="L21" s="33">
        <v>6</v>
      </c>
      <c r="M21" s="33"/>
      <c r="N21" s="33">
        <v>3</v>
      </c>
      <c r="O21" s="33">
        <v>8</v>
      </c>
      <c r="P21" s="33">
        <v>12</v>
      </c>
      <c r="Q21" s="33">
        <v>15</v>
      </c>
      <c r="R21" s="33">
        <v>16</v>
      </c>
      <c r="S21" s="33">
        <v>18</v>
      </c>
      <c r="T21" s="33">
        <v>18</v>
      </c>
      <c r="U21" s="1">
        <v>20</v>
      </c>
      <c r="V21" s="1">
        <v>20</v>
      </c>
      <c r="W21" s="33">
        <v>21</v>
      </c>
      <c r="X21" s="33" t="str">
        <f>CONCATENATE(LOWER(SUBSTITUTE(SUBSTITUTE(B21," ","_"), ".", "")), ".png")</f>
        <v>tyler_skaggs.png</v>
      </c>
      <c r="Y21" s="33" t="s">
        <v>231</v>
      </c>
      <c r="Z21" s="33" t="str">
        <f>RIGHT(B21, LEN(B21)-SEARCH(" ", B21, 1))</f>
        <v>Skaggs</v>
      </c>
    </row>
    <row r="22" spans="1:26" x14ac:dyDescent="0.25">
      <c r="A22" s="33">
        <f>A21+1</f>
        <v>14021</v>
      </c>
      <c r="B22" s="21" t="s">
        <v>86</v>
      </c>
      <c r="C22" s="1" t="s">
        <v>31</v>
      </c>
      <c r="D22" s="33">
        <v>190</v>
      </c>
      <c r="E22" s="12" t="s">
        <v>32</v>
      </c>
      <c r="F22" s="12" t="s">
        <v>85</v>
      </c>
      <c r="G22" s="33"/>
      <c r="H22" s="33"/>
      <c r="I22" s="33"/>
      <c r="J22" s="12" t="s">
        <v>33</v>
      </c>
      <c r="K22" s="33">
        <v>4</v>
      </c>
      <c r="L22" s="33">
        <v>1</v>
      </c>
      <c r="M22" s="33"/>
      <c r="N22" s="33">
        <v>1</v>
      </c>
      <c r="O22" s="33">
        <v>6</v>
      </c>
      <c r="P22" s="33">
        <v>12</v>
      </c>
      <c r="Q22" s="33">
        <v>17</v>
      </c>
      <c r="R22" s="33">
        <v>18</v>
      </c>
      <c r="S22" s="33">
        <v>20</v>
      </c>
      <c r="T22" s="33">
        <v>20</v>
      </c>
      <c r="U22" s="1">
        <v>25</v>
      </c>
      <c r="V22" s="1">
        <v>25</v>
      </c>
      <c r="W22" s="33">
        <v>26</v>
      </c>
      <c r="X22" s="33" t="str">
        <f>CONCATENATE(LOWER(SUBSTITUTE(SUBSTITUTE(B22," ","_"), ".", "")), ".png")</f>
        <v>joe_smith.png</v>
      </c>
      <c r="Y22" s="33" t="s">
        <v>231</v>
      </c>
      <c r="Z22" s="33" t="str">
        <f>RIGHT(B22, LEN(B22)-SEARCH(" ", B22, 1))</f>
        <v>Smith</v>
      </c>
    </row>
    <row r="23" spans="1:26" x14ac:dyDescent="0.25">
      <c r="A23" s="33">
        <f>A22+1</f>
        <v>14022</v>
      </c>
      <c r="B23" s="22" t="s">
        <v>73</v>
      </c>
      <c r="C23" s="4" t="s">
        <v>31</v>
      </c>
      <c r="D23" s="4"/>
      <c r="E23" s="10" t="s">
        <v>32</v>
      </c>
      <c r="F23" s="10" t="s">
        <v>7</v>
      </c>
      <c r="G23" s="10">
        <v>1</v>
      </c>
      <c r="H23" s="10"/>
      <c r="I23" s="10"/>
      <c r="J23" s="10" t="s">
        <v>42</v>
      </c>
      <c r="K23" s="33">
        <v>9</v>
      </c>
      <c r="L23" s="11">
        <v>8</v>
      </c>
      <c r="M23" s="33"/>
      <c r="N23" s="33">
        <v>0</v>
      </c>
      <c r="O23" s="33">
        <v>3</v>
      </c>
      <c r="P23" s="33">
        <v>6</v>
      </c>
      <c r="Q23" s="33">
        <v>8</v>
      </c>
      <c r="R23" s="33">
        <v>13</v>
      </c>
      <c r="S23" s="33">
        <v>17</v>
      </c>
      <c r="T23" s="33">
        <v>17</v>
      </c>
      <c r="U23" s="33">
        <v>19</v>
      </c>
      <c r="V23" s="33">
        <v>19</v>
      </c>
      <c r="W23" s="33">
        <v>20</v>
      </c>
      <c r="X23" s="33" t="str">
        <f>CONCATENATE(LOWER(SUBSTITUTE(SUBSTITUTE(B23," ","_"), ".", "")), ".png")</f>
        <v>ian_stewert.png</v>
      </c>
      <c r="Y23" s="33" t="s">
        <v>229</v>
      </c>
      <c r="Z23" s="33" t="str">
        <f>RIGHT(B23, LEN(B23)-SEARCH(" ", B23, 1))</f>
        <v>Stewert</v>
      </c>
    </row>
    <row r="24" spans="1:26" x14ac:dyDescent="0.25">
      <c r="A24" s="33">
        <f>A23+1</f>
        <v>14023</v>
      </c>
      <c r="B24" s="2" t="s">
        <v>43</v>
      </c>
      <c r="C24" s="2" t="s">
        <v>31</v>
      </c>
      <c r="D24" s="3">
        <v>690</v>
      </c>
      <c r="E24" s="2" t="s">
        <v>44</v>
      </c>
      <c r="F24" s="2" t="s">
        <v>45</v>
      </c>
      <c r="G24" s="6">
        <v>3</v>
      </c>
      <c r="H24" s="2" t="s">
        <v>41</v>
      </c>
      <c r="I24" s="6">
        <v>2</v>
      </c>
      <c r="J24" s="2" t="s">
        <v>33</v>
      </c>
      <c r="K24" s="33">
        <v>14</v>
      </c>
      <c r="L24" s="6">
        <v>20</v>
      </c>
      <c r="M24" s="33"/>
      <c r="N24" s="33">
        <v>0</v>
      </c>
      <c r="O24" s="33">
        <v>1</v>
      </c>
      <c r="P24" s="33">
        <v>3</v>
      </c>
      <c r="Q24" s="33">
        <v>5</v>
      </c>
      <c r="R24" s="33">
        <v>8</v>
      </c>
      <c r="S24" s="33">
        <v>12</v>
      </c>
      <c r="T24" s="33">
        <v>14</v>
      </c>
      <c r="U24" s="33">
        <v>16</v>
      </c>
      <c r="V24" s="33">
        <v>18</v>
      </c>
      <c r="W24" s="33">
        <v>19</v>
      </c>
      <c r="X24" s="33" t="str">
        <f>CONCATENATE(LOWER(SUBSTITUTE(SUBSTITUTE(B24," ","_"), ".", "")), ".png")</f>
        <v>mike_trout.png</v>
      </c>
      <c r="Y24" s="33" t="s">
        <v>229</v>
      </c>
      <c r="Z24" s="33" t="str">
        <f>RIGHT(B24, LEN(B24)-SEARCH(" ", B24, 1))</f>
        <v>Trout</v>
      </c>
    </row>
    <row r="25" spans="1:26" x14ac:dyDescent="0.25">
      <c r="A25" s="33">
        <f>A24+1</f>
        <v>14024</v>
      </c>
      <c r="B25" s="2" t="s">
        <v>273</v>
      </c>
      <c r="C25" s="1" t="s">
        <v>31</v>
      </c>
      <c r="D25" s="33"/>
      <c r="E25" s="2" t="s">
        <v>32</v>
      </c>
      <c r="F25" s="2" t="s">
        <v>69</v>
      </c>
      <c r="G25" s="33"/>
      <c r="H25" s="33"/>
      <c r="I25" s="33"/>
      <c r="J25" s="2" t="s">
        <v>33</v>
      </c>
      <c r="K25" s="33">
        <v>5</v>
      </c>
      <c r="L25" s="33">
        <v>6</v>
      </c>
      <c r="M25" s="33"/>
      <c r="N25" s="33">
        <v>3</v>
      </c>
      <c r="O25" s="33">
        <v>7</v>
      </c>
      <c r="P25" s="33">
        <v>10</v>
      </c>
      <c r="Q25" s="33">
        <v>16</v>
      </c>
      <c r="R25" s="33">
        <v>17</v>
      </c>
      <c r="S25" s="33">
        <v>19</v>
      </c>
      <c r="T25" s="33">
        <v>19</v>
      </c>
      <c r="U25" s="6">
        <v>24</v>
      </c>
      <c r="V25" s="6">
        <v>24</v>
      </c>
      <c r="W25" s="33">
        <v>25</v>
      </c>
      <c r="X25" s="33" t="str">
        <f>CONCATENATE(LOWER(SUBSTITUTE(SUBSTITUTE(B25," ","_"), ".", "")), ".png")</f>
        <v>jered_weaver.png</v>
      </c>
      <c r="Y25" s="33" t="s">
        <v>231</v>
      </c>
      <c r="Z25" s="33" t="str">
        <f>RIGHT(B25, LEN(B25)-SEARCH(" ", B25, 1))</f>
        <v>Weaver</v>
      </c>
    </row>
    <row r="26" spans="1:26" x14ac:dyDescent="0.25">
      <c r="A26" s="33">
        <f>A25+1</f>
        <v>14025</v>
      </c>
      <c r="B26" s="21" t="s">
        <v>76</v>
      </c>
      <c r="C26" s="1" t="s">
        <v>31</v>
      </c>
      <c r="D26" s="33"/>
      <c r="E26" s="12" t="s">
        <v>32</v>
      </c>
      <c r="F26" s="12" t="s">
        <v>69</v>
      </c>
      <c r="G26" s="33"/>
      <c r="H26" s="33"/>
      <c r="I26" s="33"/>
      <c r="J26" s="12" t="s">
        <v>42</v>
      </c>
      <c r="K26" s="33">
        <v>3</v>
      </c>
      <c r="L26" s="33">
        <v>6</v>
      </c>
      <c r="M26" s="33"/>
      <c r="N26" s="33">
        <v>1</v>
      </c>
      <c r="O26" s="33">
        <v>6</v>
      </c>
      <c r="P26" s="33">
        <v>12</v>
      </c>
      <c r="Q26" s="33">
        <v>16</v>
      </c>
      <c r="R26" s="33">
        <v>18</v>
      </c>
      <c r="S26" s="33">
        <v>19</v>
      </c>
      <c r="T26" s="33">
        <v>19</v>
      </c>
      <c r="U26" s="1">
        <v>26</v>
      </c>
      <c r="V26" s="1">
        <v>26</v>
      </c>
      <c r="W26" s="33">
        <v>27</v>
      </c>
      <c r="X26" s="33" t="str">
        <f>CONCATENATE(LOWER(SUBSTITUTE(SUBSTITUTE(B26," ","_"), ".", "")), ".png")</f>
        <v>cj_wilson.png</v>
      </c>
      <c r="Y26" s="33" t="s">
        <v>231</v>
      </c>
      <c r="Z26" s="33" t="str">
        <f>RIGHT(B26, LEN(B26)-SEARCH(" ", B26, 1))</f>
        <v>Wilson</v>
      </c>
    </row>
    <row r="27" spans="1:26" x14ac:dyDescent="0.25">
      <c r="A27" s="33">
        <f>A26+1</f>
        <v>14026</v>
      </c>
      <c r="B27" s="22" t="s">
        <v>105</v>
      </c>
      <c r="C27" s="4" t="s">
        <v>117</v>
      </c>
      <c r="D27" s="4"/>
      <c r="E27" s="10" t="s">
        <v>32</v>
      </c>
      <c r="F27" s="10" t="s">
        <v>6</v>
      </c>
      <c r="G27" s="10">
        <v>3</v>
      </c>
      <c r="H27" s="10"/>
      <c r="I27" s="10"/>
      <c r="J27" s="10" t="s">
        <v>33</v>
      </c>
      <c r="K27" s="33">
        <v>10</v>
      </c>
      <c r="L27" s="11">
        <v>21</v>
      </c>
      <c r="M27" s="33"/>
      <c r="N27" s="33">
        <v>0</v>
      </c>
      <c r="O27" s="33">
        <v>1</v>
      </c>
      <c r="P27" s="33">
        <v>4</v>
      </c>
      <c r="Q27" s="33">
        <v>6</v>
      </c>
      <c r="R27" s="33">
        <v>9</v>
      </c>
      <c r="S27" s="33">
        <v>15</v>
      </c>
      <c r="T27" s="33">
        <v>17</v>
      </c>
      <c r="U27" s="33">
        <v>19</v>
      </c>
      <c r="V27" s="33">
        <v>20</v>
      </c>
      <c r="W27" s="33">
        <v>21</v>
      </c>
      <c r="X27" s="33" t="str">
        <f>CONCATENATE(LOWER(SUBSTITUTE(SUBSTITUTE(B27," ","_"), ".", "")), ".png")</f>
        <v>jose_altuve.png</v>
      </c>
      <c r="Y27" s="33" t="s">
        <v>229</v>
      </c>
      <c r="Z27" s="33" t="str">
        <f>RIGHT(B27, LEN(B27)-SEARCH(" ", B27, 1))</f>
        <v>Altuve</v>
      </c>
    </row>
    <row r="28" spans="1:26" x14ac:dyDescent="0.25">
      <c r="A28" s="33">
        <f>A27+1</f>
        <v>14027</v>
      </c>
      <c r="B28" s="21" t="s">
        <v>126</v>
      </c>
      <c r="C28" s="1" t="s">
        <v>117</v>
      </c>
      <c r="D28" s="33"/>
      <c r="E28" s="12" t="s">
        <v>32</v>
      </c>
      <c r="F28" s="12" t="s">
        <v>85</v>
      </c>
      <c r="G28" s="33"/>
      <c r="H28" s="33"/>
      <c r="I28" s="33"/>
      <c r="J28" s="12" t="s">
        <v>33</v>
      </c>
      <c r="K28" s="33">
        <v>1</v>
      </c>
      <c r="L28" s="33">
        <v>2</v>
      </c>
      <c r="M28" s="33"/>
      <c r="N28" s="33">
        <v>1</v>
      </c>
      <c r="O28" s="33">
        <v>5</v>
      </c>
      <c r="P28" s="33">
        <v>11</v>
      </c>
      <c r="Q28" s="33">
        <v>15</v>
      </c>
      <c r="R28" s="33">
        <v>17</v>
      </c>
      <c r="S28" s="33">
        <v>19</v>
      </c>
      <c r="T28" s="33">
        <v>19</v>
      </c>
      <c r="U28" s="1">
        <v>24</v>
      </c>
      <c r="V28" s="1">
        <v>24</v>
      </c>
      <c r="W28" s="33">
        <v>25</v>
      </c>
      <c r="X28" s="33" t="str">
        <f>CONCATENATE(LOWER(SUBSTITUTE(SUBSTITUTE(B28," ","_"), ".", "")), ".png")</f>
        <v>anthony_bass.png</v>
      </c>
      <c r="Y28" s="33" t="s">
        <v>231</v>
      </c>
      <c r="Z28" s="33" t="str">
        <f>RIGHT(B28, LEN(B28)-SEARCH(" ", B28, 1))</f>
        <v>Bass</v>
      </c>
    </row>
    <row r="29" spans="1:26" x14ac:dyDescent="0.25">
      <c r="A29" s="33">
        <f>A28+1</f>
        <v>14028</v>
      </c>
      <c r="B29" s="22" t="s">
        <v>109</v>
      </c>
      <c r="C29" s="4" t="s">
        <v>117</v>
      </c>
      <c r="D29" s="4"/>
      <c r="E29" s="10" t="s">
        <v>32</v>
      </c>
      <c r="F29" s="10" t="s">
        <v>5</v>
      </c>
      <c r="G29" s="10">
        <v>0</v>
      </c>
      <c r="H29" s="10" t="s">
        <v>41</v>
      </c>
      <c r="I29" s="10">
        <v>0</v>
      </c>
      <c r="J29" s="10" t="s">
        <v>33</v>
      </c>
      <c r="K29" s="33">
        <v>10</v>
      </c>
      <c r="L29" s="11">
        <v>10</v>
      </c>
      <c r="M29" s="33"/>
      <c r="N29" s="33">
        <v>0</v>
      </c>
      <c r="O29" s="33">
        <v>4</v>
      </c>
      <c r="P29" s="33">
        <v>5</v>
      </c>
      <c r="Q29" s="33">
        <v>7</v>
      </c>
      <c r="R29" s="33">
        <v>11</v>
      </c>
      <c r="S29" s="33">
        <v>15</v>
      </c>
      <c r="T29" s="33">
        <v>15</v>
      </c>
      <c r="U29" s="33">
        <v>17</v>
      </c>
      <c r="V29" s="33">
        <v>17</v>
      </c>
      <c r="W29" s="33">
        <v>18</v>
      </c>
      <c r="X29" s="33" t="str">
        <f>CONCATENATE(LOWER(SUBSTITUTE(SUBSTITUTE(B29," ","_"), ".", "")), ".png")</f>
        <v>chris_carter.png</v>
      </c>
      <c r="Y29" s="33" t="s">
        <v>229</v>
      </c>
      <c r="Z29" s="33" t="str">
        <f>RIGHT(B29, LEN(B29)-SEARCH(" ", B29, 1))</f>
        <v>Carter</v>
      </c>
    </row>
    <row r="30" spans="1:26" x14ac:dyDescent="0.25">
      <c r="A30" s="33">
        <f>A29+1</f>
        <v>14029</v>
      </c>
      <c r="B30" s="22" t="s">
        <v>110</v>
      </c>
      <c r="C30" s="4" t="s">
        <v>117</v>
      </c>
      <c r="D30" s="4"/>
      <c r="E30" s="10" t="s">
        <v>44</v>
      </c>
      <c r="F30" s="10" t="s">
        <v>32</v>
      </c>
      <c r="G30" s="10">
        <v>7</v>
      </c>
      <c r="H30" s="10"/>
      <c r="I30" s="10"/>
      <c r="J30" s="10" t="s">
        <v>42</v>
      </c>
      <c r="K30" s="33">
        <v>11</v>
      </c>
      <c r="L30" s="11">
        <v>11</v>
      </c>
      <c r="M30" s="33"/>
      <c r="N30" s="33">
        <v>0</v>
      </c>
      <c r="O30" s="33">
        <v>2</v>
      </c>
      <c r="P30" s="33">
        <v>4</v>
      </c>
      <c r="Q30" s="33">
        <v>6</v>
      </c>
      <c r="R30" s="33">
        <v>10</v>
      </c>
      <c r="S30" s="33">
        <v>15</v>
      </c>
      <c r="T30" s="33">
        <v>15</v>
      </c>
      <c r="U30" s="33">
        <v>18</v>
      </c>
      <c r="V30" s="33">
        <v>18</v>
      </c>
      <c r="W30" s="33">
        <v>19</v>
      </c>
      <c r="X30" s="33" t="str">
        <f>CONCATENATE(LOWER(SUBSTITUTE(SUBSTITUTE(B30," ","_"), ".", "")), ".png")</f>
        <v>jason_castro.png</v>
      </c>
      <c r="Y30" s="33" t="s">
        <v>229</v>
      </c>
      <c r="Z30" s="33" t="str">
        <f>RIGHT(B30, LEN(B30)-SEARCH(" ", B30, 1))</f>
        <v>Castro</v>
      </c>
    </row>
    <row r="31" spans="1:26" x14ac:dyDescent="0.25">
      <c r="A31" s="33">
        <f>A30+1</f>
        <v>14030</v>
      </c>
      <c r="B31" s="22" t="s">
        <v>116</v>
      </c>
      <c r="C31" s="4" t="s">
        <v>117</v>
      </c>
      <c r="D31" s="4"/>
      <c r="E31" s="10" t="s">
        <v>32</v>
      </c>
      <c r="F31" s="10" t="s">
        <v>32</v>
      </c>
      <c r="G31" s="10">
        <v>6</v>
      </c>
      <c r="H31" s="10"/>
      <c r="I31" s="10"/>
      <c r="J31" s="10" t="s">
        <v>38</v>
      </c>
      <c r="K31" s="33">
        <v>9</v>
      </c>
      <c r="L31" s="11">
        <v>8</v>
      </c>
      <c r="M31" s="33"/>
      <c r="N31" s="33">
        <v>0</v>
      </c>
      <c r="O31" s="33">
        <v>3</v>
      </c>
      <c r="P31" s="33">
        <v>5</v>
      </c>
      <c r="Q31" s="33">
        <v>7</v>
      </c>
      <c r="R31" s="33">
        <v>11</v>
      </c>
      <c r="S31" s="33">
        <v>17</v>
      </c>
      <c r="T31" s="33">
        <v>17</v>
      </c>
      <c r="U31" s="33">
        <v>19</v>
      </c>
      <c r="V31" s="33">
        <v>19</v>
      </c>
      <c r="W31" s="33">
        <v>20</v>
      </c>
      <c r="X31" s="33" t="str">
        <f>CONCATENATE(LOWER(SUBSTITUTE(SUBSTITUTE(B31," ","_"), ".", "")), ".png")</f>
        <v>carlos_corporan.png</v>
      </c>
      <c r="Y31" s="33" t="s">
        <v>229</v>
      </c>
      <c r="Z31" s="33" t="str">
        <f>RIGHT(B31, LEN(B31)-SEARCH(" ", B31, 1))</f>
        <v>Corporan</v>
      </c>
    </row>
    <row r="32" spans="1:26" x14ac:dyDescent="0.25">
      <c r="A32" s="33">
        <f>A31+1</f>
        <v>14031</v>
      </c>
      <c r="B32" s="21" t="s">
        <v>120</v>
      </c>
      <c r="C32" s="1" t="s">
        <v>117</v>
      </c>
      <c r="D32" s="33"/>
      <c r="E32" s="12" t="s">
        <v>32</v>
      </c>
      <c r="F32" s="12" t="s">
        <v>69</v>
      </c>
      <c r="G32" s="33"/>
      <c r="H32" s="33"/>
      <c r="I32" s="33"/>
      <c r="J32" s="12" t="s">
        <v>33</v>
      </c>
      <c r="K32" s="33">
        <v>3</v>
      </c>
      <c r="L32" s="33">
        <v>6</v>
      </c>
      <c r="M32" s="33"/>
      <c r="N32" s="33">
        <v>1</v>
      </c>
      <c r="O32" s="33">
        <v>4</v>
      </c>
      <c r="P32" s="33">
        <v>14</v>
      </c>
      <c r="Q32" s="33">
        <v>18</v>
      </c>
      <c r="R32" s="33">
        <v>19</v>
      </c>
      <c r="S32" s="33">
        <v>22</v>
      </c>
      <c r="T32" s="33">
        <v>22</v>
      </c>
      <c r="U32" s="1">
        <v>27</v>
      </c>
      <c r="V32" s="1">
        <v>27</v>
      </c>
      <c r="W32" s="33">
        <v>28</v>
      </c>
      <c r="X32" s="33" t="str">
        <f>CONCATENATE(LOWER(SUBSTITUTE(SUBSTITUTE(B32," ","_"), ".", "")), ".png")</f>
        <v>jarred_cosart.png</v>
      </c>
      <c r="Y32" s="33" t="s">
        <v>231</v>
      </c>
      <c r="Z32" s="33" t="str">
        <f>RIGHT(B32, LEN(B32)-SEARCH(" ", B32, 1))</f>
        <v>Cosart</v>
      </c>
    </row>
    <row r="33" spans="1:26" x14ac:dyDescent="0.25">
      <c r="A33" s="33">
        <f>A32+1</f>
        <v>14032</v>
      </c>
      <c r="B33" s="22" t="s">
        <v>106</v>
      </c>
      <c r="C33" s="4" t="s">
        <v>117</v>
      </c>
      <c r="D33" s="4"/>
      <c r="E33" s="10" t="s">
        <v>32</v>
      </c>
      <c r="F33" s="10" t="s">
        <v>7</v>
      </c>
      <c r="G33" s="10">
        <v>0</v>
      </c>
      <c r="H33" s="10"/>
      <c r="I33" s="10"/>
      <c r="J33" s="10" t="s">
        <v>33</v>
      </c>
      <c r="K33" s="33">
        <v>9</v>
      </c>
      <c r="L33" s="11">
        <v>8</v>
      </c>
      <c r="M33" s="33"/>
      <c r="N33" s="33">
        <v>0</v>
      </c>
      <c r="O33" s="33">
        <v>1</v>
      </c>
      <c r="P33" s="33">
        <v>4</v>
      </c>
      <c r="Q33" s="33">
        <v>7</v>
      </c>
      <c r="R33" s="33">
        <v>10</v>
      </c>
      <c r="S33" s="33">
        <v>16</v>
      </c>
      <c r="T33" s="33">
        <v>16</v>
      </c>
      <c r="U33" s="33">
        <v>17</v>
      </c>
      <c r="V33" s="33">
        <v>17</v>
      </c>
      <c r="W33" s="33">
        <v>19</v>
      </c>
      <c r="X33" s="33" t="str">
        <f>CONCATENATE(LOWER(SUBSTITUTE(SUBSTITUTE(B33," ","_"), ".", "")), ".png")</f>
        <v>matt_dominguez.png</v>
      </c>
      <c r="Y33" s="33" t="s">
        <v>229</v>
      </c>
      <c r="Z33" s="33" t="str">
        <f>RIGHT(B33, LEN(B33)-SEARCH(" ", B33, 1))</f>
        <v>Dominguez</v>
      </c>
    </row>
    <row r="34" spans="1:26" x14ac:dyDescent="0.25">
      <c r="A34" s="33">
        <f>A33+1</f>
        <v>14033</v>
      </c>
      <c r="B34" s="21" t="s">
        <v>127</v>
      </c>
      <c r="C34" s="1" t="s">
        <v>117</v>
      </c>
      <c r="D34" s="33"/>
      <c r="E34" s="12" t="s">
        <v>32</v>
      </c>
      <c r="F34" s="12" t="s">
        <v>85</v>
      </c>
      <c r="G34" s="33"/>
      <c r="H34" s="33"/>
      <c r="I34" s="33"/>
      <c r="J34" s="12" t="s">
        <v>42</v>
      </c>
      <c r="K34" s="33">
        <v>3</v>
      </c>
      <c r="L34" s="33">
        <v>1</v>
      </c>
      <c r="M34" s="33"/>
      <c r="N34" s="33">
        <v>0</v>
      </c>
      <c r="O34" s="33">
        <v>5</v>
      </c>
      <c r="P34" s="33">
        <v>10</v>
      </c>
      <c r="Q34" s="33">
        <v>15</v>
      </c>
      <c r="R34" s="33">
        <v>17</v>
      </c>
      <c r="S34" s="33">
        <v>19</v>
      </c>
      <c r="T34" s="33">
        <v>19</v>
      </c>
      <c r="U34" s="1">
        <v>23</v>
      </c>
      <c r="V34" s="1">
        <v>23</v>
      </c>
      <c r="W34" s="33">
        <v>24</v>
      </c>
      <c r="X34" s="33" t="str">
        <f>CONCATENATE(LOWER(SUBSTITUTE(SUBSTITUTE(B34," ","_"), ".", "")), ".png")</f>
        <v>darin_downs.png</v>
      </c>
      <c r="Y34" s="33" t="s">
        <v>231</v>
      </c>
      <c r="Z34" s="33" t="str">
        <f>RIGHT(B34, LEN(B34)-SEARCH(" ", B34, 1))</f>
        <v>Downs</v>
      </c>
    </row>
    <row r="35" spans="1:26" x14ac:dyDescent="0.25">
      <c r="A35" s="33">
        <f>A34+1</f>
        <v>14034</v>
      </c>
      <c r="B35" s="21" t="s">
        <v>122</v>
      </c>
      <c r="C35" s="1" t="s">
        <v>117</v>
      </c>
      <c r="D35" s="33"/>
      <c r="E35" s="12" t="s">
        <v>32</v>
      </c>
      <c r="F35" s="12" t="s">
        <v>69</v>
      </c>
      <c r="G35" s="33"/>
      <c r="H35" s="33"/>
      <c r="I35" s="33"/>
      <c r="J35" s="12" t="s">
        <v>33</v>
      </c>
      <c r="K35" s="33">
        <v>5</v>
      </c>
      <c r="L35" s="33">
        <v>6</v>
      </c>
      <c r="M35" s="33"/>
      <c r="N35" s="33">
        <v>1</v>
      </c>
      <c r="O35" s="33">
        <v>5</v>
      </c>
      <c r="P35" s="33">
        <v>11</v>
      </c>
      <c r="Q35" s="33">
        <v>16</v>
      </c>
      <c r="R35" s="33">
        <v>17</v>
      </c>
      <c r="S35" s="33">
        <v>19</v>
      </c>
      <c r="T35" s="33">
        <v>19</v>
      </c>
      <c r="U35" s="1">
        <v>24</v>
      </c>
      <c r="V35" s="1">
        <v>24</v>
      </c>
      <c r="W35" s="33">
        <v>25</v>
      </c>
      <c r="X35" s="33" t="str">
        <f>CONCATENATE(LOWER(SUBSTITUTE(SUBSTITUTE(B35," ","_"), ".", "")), ".png")</f>
        <v>scott_feldman.png</v>
      </c>
      <c r="Y35" s="33" t="s">
        <v>231</v>
      </c>
      <c r="Z35" s="33" t="str">
        <f>RIGHT(B35, LEN(B35)-SEARCH(" ", B35, 1))</f>
        <v>Feldman</v>
      </c>
    </row>
    <row r="36" spans="1:26" x14ac:dyDescent="0.25">
      <c r="A36" s="33">
        <f>A35+1</f>
        <v>14035</v>
      </c>
      <c r="B36" s="21" t="s">
        <v>124</v>
      </c>
      <c r="C36" s="1" t="s">
        <v>117</v>
      </c>
      <c r="D36" s="33"/>
      <c r="E36" s="12" t="s">
        <v>32</v>
      </c>
      <c r="F36" s="12" t="s">
        <v>85</v>
      </c>
      <c r="G36" s="33"/>
      <c r="H36" s="33"/>
      <c r="I36" s="33"/>
      <c r="J36" s="12" t="s">
        <v>33</v>
      </c>
      <c r="K36" s="33">
        <v>4</v>
      </c>
      <c r="L36" s="33">
        <v>1</v>
      </c>
      <c r="M36" s="33"/>
      <c r="N36" s="33">
        <v>2</v>
      </c>
      <c r="O36" s="33">
        <v>7</v>
      </c>
      <c r="P36" s="33">
        <v>10</v>
      </c>
      <c r="Q36" s="33">
        <v>15</v>
      </c>
      <c r="R36" s="33">
        <v>17</v>
      </c>
      <c r="S36" s="33">
        <v>18</v>
      </c>
      <c r="T36" s="33">
        <v>18</v>
      </c>
      <c r="U36" s="1">
        <v>20</v>
      </c>
      <c r="V36" s="1">
        <v>20</v>
      </c>
      <c r="W36" s="33">
        <v>21</v>
      </c>
      <c r="X36" s="33" t="str">
        <f>CONCATENATE(LOWER(SUBSTITUTE(SUBSTITUTE(B36," ","_"), ".", "")), ".png")</f>
        <v>josh_fields.png</v>
      </c>
      <c r="Y36" s="33" t="s">
        <v>231</v>
      </c>
      <c r="Z36" s="33" t="str">
        <f>RIGHT(B36, LEN(B36)-SEARCH(" ", B36, 1))</f>
        <v>Fields</v>
      </c>
    </row>
    <row r="37" spans="1:26" x14ac:dyDescent="0.25">
      <c r="A37" s="33">
        <f>A36+1</f>
        <v>14036</v>
      </c>
      <c r="B37" s="22" t="s">
        <v>108</v>
      </c>
      <c r="C37" s="4" t="s">
        <v>117</v>
      </c>
      <c r="D37" s="4"/>
      <c r="E37" s="10" t="s">
        <v>32</v>
      </c>
      <c r="F37" s="10" t="s">
        <v>45</v>
      </c>
      <c r="G37" s="10">
        <v>2</v>
      </c>
      <c r="H37" s="10"/>
      <c r="I37" s="10"/>
      <c r="J37" s="10" t="s">
        <v>38</v>
      </c>
      <c r="K37" s="33">
        <v>12</v>
      </c>
      <c r="L37" s="11">
        <v>19</v>
      </c>
      <c r="M37" s="33"/>
      <c r="N37" s="33">
        <v>0</v>
      </c>
      <c r="O37" s="33">
        <v>2</v>
      </c>
      <c r="P37" s="33">
        <v>4</v>
      </c>
      <c r="Q37" s="33">
        <v>6</v>
      </c>
      <c r="R37" s="33">
        <v>11</v>
      </c>
      <c r="S37" s="33">
        <v>16</v>
      </c>
      <c r="T37" s="33">
        <v>17</v>
      </c>
      <c r="U37" s="33">
        <v>18</v>
      </c>
      <c r="V37" s="33">
        <v>19</v>
      </c>
      <c r="W37" s="33">
        <v>20</v>
      </c>
      <c r="X37" s="33" t="str">
        <f>CONCATENATE(LOWER(SUBSTITUTE(SUBSTITUTE(B37," ","_"), ".", "")), ".png")</f>
        <v>dexter_fowler.png</v>
      </c>
      <c r="Y37" s="33" t="s">
        <v>229</v>
      </c>
      <c r="Z37" s="33" t="str">
        <f>RIGHT(B37, LEN(B37)-SEARCH(" ", B37, 1))</f>
        <v>Fowler</v>
      </c>
    </row>
    <row r="38" spans="1:26" x14ac:dyDescent="0.25">
      <c r="A38" s="33">
        <f>A37+1</f>
        <v>14037</v>
      </c>
      <c r="B38" s="22" t="s">
        <v>115</v>
      </c>
      <c r="C38" s="4" t="s">
        <v>117</v>
      </c>
      <c r="D38" s="4"/>
      <c r="E38" s="10" t="s">
        <v>32</v>
      </c>
      <c r="F38" s="10" t="s">
        <v>53</v>
      </c>
      <c r="G38" s="10">
        <v>2</v>
      </c>
      <c r="H38" s="10"/>
      <c r="I38" s="10"/>
      <c r="J38" s="10" t="s">
        <v>38</v>
      </c>
      <c r="K38" s="33">
        <v>9</v>
      </c>
      <c r="L38" s="11">
        <v>16</v>
      </c>
      <c r="M38" s="33"/>
      <c r="N38" s="33">
        <v>0</v>
      </c>
      <c r="O38" s="33">
        <v>1</v>
      </c>
      <c r="P38" s="33">
        <v>5</v>
      </c>
      <c r="Q38" s="33">
        <v>7</v>
      </c>
      <c r="R38" s="33">
        <v>9</v>
      </c>
      <c r="S38" s="33">
        <v>17</v>
      </c>
      <c r="T38" s="33">
        <v>18</v>
      </c>
      <c r="U38" s="33">
        <v>20</v>
      </c>
      <c r="V38" s="33">
        <v>20</v>
      </c>
      <c r="W38" s="33">
        <v>21</v>
      </c>
      <c r="X38" s="33" t="str">
        <f>CONCATENATE(LOWER(SUBSTITUTE(SUBSTITUTE(B38," ","_"), ".", "")), ".png")</f>
        <v>marwin_gonzalez.png</v>
      </c>
      <c r="Y38" s="33" t="s">
        <v>229</v>
      </c>
      <c r="Z38" s="33" t="str">
        <f>RIGHT(B38, LEN(B38)-SEARCH(" ", B38, 1))</f>
        <v>Gonzalez</v>
      </c>
    </row>
    <row r="39" spans="1:26" x14ac:dyDescent="0.25">
      <c r="A39" s="33">
        <f>A38+1</f>
        <v>14038</v>
      </c>
      <c r="B39" s="22" t="s">
        <v>230</v>
      </c>
      <c r="C39" s="4" t="s">
        <v>117</v>
      </c>
      <c r="D39" s="4"/>
      <c r="E39" s="10" t="s">
        <v>32</v>
      </c>
      <c r="F39" s="10" t="s">
        <v>56</v>
      </c>
      <c r="G39" s="10">
        <v>2</v>
      </c>
      <c r="H39" s="10"/>
      <c r="I39" s="10"/>
      <c r="J39" s="10" t="s">
        <v>38</v>
      </c>
      <c r="K39" s="33">
        <v>10</v>
      </c>
      <c r="L39" s="11">
        <v>16</v>
      </c>
      <c r="M39" s="33"/>
      <c r="N39" s="33">
        <v>0</v>
      </c>
      <c r="O39" s="33">
        <v>2</v>
      </c>
      <c r="P39" s="33">
        <v>4</v>
      </c>
      <c r="Q39" s="33">
        <v>6</v>
      </c>
      <c r="R39" s="33">
        <v>9</v>
      </c>
      <c r="S39" s="33">
        <v>16</v>
      </c>
      <c r="T39" s="33">
        <v>17</v>
      </c>
      <c r="U39" s="33">
        <v>19</v>
      </c>
      <c r="V39" s="33">
        <v>19</v>
      </c>
      <c r="W39" s="33">
        <v>20</v>
      </c>
      <c r="X39" s="34" t="str">
        <f>CONCATENATE(LOWER(SUBSTITUTE(SUBSTITUTE(B39," ","_"), ".", "")), ".png")</f>
        <v>robbie_grossman.png</v>
      </c>
      <c r="Y39" s="33" t="s">
        <v>229</v>
      </c>
      <c r="Z39" s="34" t="str">
        <f>RIGHT(B39, LEN(B39)-SEARCH(" ", B39, 1))</f>
        <v>Grossman</v>
      </c>
    </row>
    <row r="40" spans="1:26" x14ac:dyDescent="0.25">
      <c r="A40" s="33">
        <f>A39+1</f>
        <v>14039</v>
      </c>
      <c r="B40" s="22" t="s">
        <v>111</v>
      </c>
      <c r="C40" s="4" t="s">
        <v>117</v>
      </c>
      <c r="D40" s="4"/>
      <c r="E40" s="10" t="s">
        <v>32</v>
      </c>
      <c r="F40" s="10" t="s">
        <v>118</v>
      </c>
      <c r="G40" s="10">
        <v>0</v>
      </c>
      <c r="H40" s="10" t="s">
        <v>41</v>
      </c>
      <c r="I40" s="10">
        <v>1</v>
      </c>
      <c r="J40" s="10" t="s">
        <v>33</v>
      </c>
      <c r="K40" s="33">
        <v>9</v>
      </c>
      <c r="L40" s="11">
        <v>12</v>
      </c>
      <c r="M40" s="33"/>
      <c r="N40" s="33">
        <v>0</v>
      </c>
      <c r="O40" s="33">
        <v>2</v>
      </c>
      <c r="P40" s="33">
        <v>5</v>
      </c>
      <c r="Q40" s="33">
        <v>7</v>
      </c>
      <c r="R40" s="33">
        <v>11</v>
      </c>
      <c r="S40" s="33">
        <v>17</v>
      </c>
      <c r="T40" s="33">
        <v>17</v>
      </c>
      <c r="U40" s="33">
        <v>19</v>
      </c>
      <c r="V40" s="33">
        <v>19</v>
      </c>
      <c r="W40" s="33">
        <v>20</v>
      </c>
      <c r="X40" s="33" t="str">
        <f>CONCATENATE(LOWER(SUBSTITUTE(SUBSTITUTE(B40," ","_"), ".", "")), ".png")</f>
        <v>jesus_guzman.png</v>
      </c>
      <c r="Y40" s="33" t="s">
        <v>229</v>
      </c>
      <c r="Z40" s="33" t="str">
        <f>RIGHT(B40, LEN(B40)-SEARCH(" ", B40, 1))</f>
        <v>Guzman</v>
      </c>
    </row>
    <row r="41" spans="1:26" x14ac:dyDescent="0.25">
      <c r="A41" s="33">
        <f>A40+1</f>
        <v>14040</v>
      </c>
      <c r="B41" s="22" t="s">
        <v>114</v>
      </c>
      <c r="C41" s="4" t="s">
        <v>117</v>
      </c>
      <c r="D41" s="4"/>
      <c r="E41" s="10" t="s">
        <v>32</v>
      </c>
      <c r="F41" s="10" t="s">
        <v>56</v>
      </c>
      <c r="G41" s="10">
        <v>1</v>
      </c>
      <c r="H41" s="10"/>
      <c r="I41" s="10"/>
      <c r="J41" s="10" t="s">
        <v>33</v>
      </c>
      <c r="K41" s="33">
        <v>10</v>
      </c>
      <c r="L41" s="11">
        <v>18</v>
      </c>
      <c r="M41" s="33"/>
      <c r="N41" s="33">
        <v>0</v>
      </c>
      <c r="O41" s="33">
        <v>1</v>
      </c>
      <c r="P41" s="33">
        <v>5</v>
      </c>
      <c r="Q41" s="33">
        <v>6</v>
      </c>
      <c r="R41" s="33">
        <v>9</v>
      </c>
      <c r="S41" s="33">
        <v>17</v>
      </c>
      <c r="T41" s="33">
        <v>17</v>
      </c>
      <c r="U41" s="33">
        <v>19</v>
      </c>
      <c r="V41" s="33">
        <v>20</v>
      </c>
      <c r="W41" s="33">
        <v>21</v>
      </c>
      <c r="X41" s="33" t="str">
        <f>CONCATENATE(LOWER(SUBSTITUTE(SUBSTITUTE(B41," ","_"), ".", "")), ".png")</f>
        <v>lj_hoes.png</v>
      </c>
      <c r="Y41" s="33" t="s">
        <v>229</v>
      </c>
      <c r="Z41" s="33" t="str">
        <f>RIGHT(B41, LEN(B41)-SEARCH(" ", B41, 1))</f>
        <v>Hoes</v>
      </c>
    </row>
    <row r="42" spans="1:26" x14ac:dyDescent="0.25">
      <c r="A42" s="33">
        <f>A41+1</f>
        <v>14041</v>
      </c>
      <c r="B42" s="21" t="s">
        <v>119</v>
      </c>
      <c r="C42" s="1" t="s">
        <v>117</v>
      </c>
      <c r="D42" s="33"/>
      <c r="E42" s="12" t="s">
        <v>32</v>
      </c>
      <c r="F42" s="12" t="s">
        <v>69</v>
      </c>
      <c r="G42" s="33"/>
      <c r="H42" s="33"/>
      <c r="I42" s="33"/>
      <c r="J42" s="12" t="s">
        <v>42</v>
      </c>
      <c r="K42" s="33">
        <v>1</v>
      </c>
      <c r="L42" s="33">
        <v>6</v>
      </c>
      <c r="M42" s="33"/>
      <c r="N42" s="33">
        <v>0</v>
      </c>
      <c r="O42" s="33">
        <v>4</v>
      </c>
      <c r="P42" s="33">
        <v>12</v>
      </c>
      <c r="Q42" s="33">
        <v>15</v>
      </c>
      <c r="R42" s="33">
        <v>16</v>
      </c>
      <c r="S42" s="33">
        <v>19</v>
      </c>
      <c r="T42" s="33">
        <v>19</v>
      </c>
      <c r="U42" s="1">
        <v>22</v>
      </c>
      <c r="V42" s="1">
        <v>22</v>
      </c>
      <c r="W42" s="33">
        <v>23</v>
      </c>
      <c r="X42" s="33" t="str">
        <f>CONCATENATE(LOWER(SUBSTITUTE(SUBSTITUTE(B42," ","_"), ".", "")), ".png")</f>
        <v>dallas_keuchel.png</v>
      </c>
      <c r="Y42" s="33" t="s">
        <v>231</v>
      </c>
      <c r="Z42" s="33" t="str">
        <f>RIGHT(B42, LEN(B42)-SEARCH(" ", B42, 1))</f>
        <v>Keuchel</v>
      </c>
    </row>
    <row r="43" spans="1:26" x14ac:dyDescent="0.25">
      <c r="A43" s="33">
        <f>A42+1</f>
        <v>14042</v>
      </c>
      <c r="B43" s="22" t="s">
        <v>208</v>
      </c>
      <c r="C43" s="4" t="s">
        <v>117</v>
      </c>
      <c r="D43" s="4"/>
      <c r="E43" s="10" t="s">
        <v>32</v>
      </c>
      <c r="F43" s="10" t="s">
        <v>41</v>
      </c>
      <c r="G43" s="10">
        <v>1</v>
      </c>
      <c r="H43" s="10" t="s">
        <v>5</v>
      </c>
      <c r="I43" s="10">
        <v>0</v>
      </c>
      <c r="J43" s="10" t="s">
        <v>42</v>
      </c>
      <c r="K43" s="33">
        <v>9</v>
      </c>
      <c r="L43" s="11">
        <v>13</v>
      </c>
      <c r="M43" s="33"/>
      <c r="N43" s="33">
        <v>0</v>
      </c>
      <c r="O43" s="33">
        <v>3</v>
      </c>
      <c r="P43" s="33">
        <v>5</v>
      </c>
      <c r="Q43" s="33">
        <v>7</v>
      </c>
      <c r="R43" s="33">
        <v>10</v>
      </c>
      <c r="S43" s="33">
        <v>16</v>
      </c>
      <c r="T43" s="33">
        <v>16</v>
      </c>
      <c r="U43" s="33">
        <v>19</v>
      </c>
      <c r="V43" s="33">
        <v>19</v>
      </c>
      <c r="W43" s="33">
        <v>20</v>
      </c>
      <c r="X43" s="33" t="str">
        <f>CONCATENATE(LOWER(SUBSTITUTE(SUBSTITUTE(B43," ","_"), ".", "")), ".png")</f>
        <v>marc_krauss.png</v>
      </c>
      <c r="Y43" s="33" t="s">
        <v>229</v>
      </c>
      <c r="Z43" s="33" t="str">
        <f>RIGHT(B43, LEN(B43)-SEARCH(" ", B43, 1))</f>
        <v>Krauss</v>
      </c>
    </row>
    <row r="44" spans="1:26" x14ac:dyDescent="0.25">
      <c r="A44" s="33">
        <f>A43+1</f>
        <v>14043</v>
      </c>
      <c r="B44" s="21" t="s">
        <v>121</v>
      </c>
      <c r="C44" s="1" t="s">
        <v>117</v>
      </c>
      <c r="D44" s="33"/>
      <c r="E44" s="12" t="s">
        <v>32</v>
      </c>
      <c r="F44" s="12" t="s">
        <v>69</v>
      </c>
      <c r="G44" s="33"/>
      <c r="H44" s="33"/>
      <c r="I44" s="33"/>
      <c r="J44" s="12" t="s">
        <v>42</v>
      </c>
      <c r="K44" s="33">
        <v>5</v>
      </c>
      <c r="L44" s="33">
        <v>6</v>
      </c>
      <c r="M44" s="33"/>
      <c r="N44" s="33">
        <v>2</v>
      </c>
      <c r="O44" s="33">
        <v>6</v>
      </c>
      <c r="P44" s="33">
        <v>11</v>
      </c>
      <c r="Q44" s="33">
        <v>17</v>
      </c>
      <c r="R44" s="33">
        <v>18</v>
      </c>
      <c r="S44" s="33">
        <v>20</v>
      </c>
      <c r="T44" s="33">
        <v>20</v>
      </c>
      <c r="U44" s="1">
        <v>24</v>
      </c>
      <c r="V44" s="1">
        <v>24</v>
      </c>
      <c r="W44" s="33">
        <v>25</v>
      </c>
      <c r="X44" s="33" t="str">
        <f>CONCATENATE(LOWER(SUBSTITUTE(SUBSTITUTE(B44," ","_"), ".", "")), ".png")</f>
        <v>brett_oberholtzer.png</v>
      </c>
      <c r="Y44" s="33" t="s">
        <v>231</v>
      </c>
      <c r="Z44" s="33" t="str">
        <f>RIGHT(B44, LEN(B44)-SEARCH(" ", B44, 1))</f>
        <v>Oberholtzer</v>
      </c>
    </row>
    <row r="45" spans="1:26" x14ac:dyDescent="0.25">
      <c r="A45" s="33">
        <f>A44+1</f>
        <v>14044</v>
      </c>
      <c r="B45" s="21" t="s">
        <v>123</v>
      </c>
      <c r="C45" s="1" t="s">
        <v>117</v>
      </c>
      <c r="D45" s="33"/>
      <c r="E45" s="12" t="s">
        <v>32</v>
      </c>
      <c r="F45" s="12" t="s">
        <v>69</v>
      </c>
      <c r="G45" s="33"/>
      <c r="H45" s="33"/>
      <c r="I45" s="33"/>
      <c r="J45" s="12" t="s">
        <v>33</v>
      </c>
      <c r="K45" s="33">
        <v>3</v>
      </c>
      <c r="L45" s="33">
        <v>5</v>
      </c>
      <c r="M45" s="33"/>
      <c r="N45" s="33">
        <v>2</v>
      </c>
      <c r="O45" s="33">
        <v>6</v>
      </c>
      <c r="P45" s="33">
        <v>10</v>
      </c>
      <c r="Q45" s="33">
        <v>15</v>
      </c>
      <c r="R45" s="33">
        <v>17</v>
      </c>
      <c r="S45" s="33">
        <v>19</v>
      </c>
      <c r="T45" s="33">
        <v>19</v>
      </c>
      <c r="U45" s="1">
        <v>20</v>
      </c>
      <c r="V45" s="1">
        <v>20</v>
      </c>
      <c r="W45" s="33">
        <v>21</v>
      </c>
      <c r="X45" s="33" t="str">
        <f>CONCATENATE(LOWER(SUBSTITUTE(SUBSTITUTE(B45," ","_"), ".", "")), ".png")</f>
        <v>brad_peacock.png</v>
      </c>
      <c r="Y45" s="33" t="s">
        <v>231</v>
      </c>
      <c r="Z45" s="33" t="str">
        <f>RIGHT(B45, LEN(B45)-SEARCH(" ", B45, 1))</f>
        <v>Peacock</v>
      </c>
    </row>
    <row r="46" spans="1:26" x14ac:dyDescent="0.25">
      <c r="A46" s="33">
        <f>A45+1</f>
        <v>14045</v>
      </c>
      <c r="B46" s="22" t="s">
        <v>112</v>
      </c>
      <c r="C46" s="4" t="s">
        <v>117</v>
      </c>
      <c r="D46" s="4"/>
      <c r="E46" s="10" t="s">
        <v>32</v>
      </c>
      <c r="F46" s="10" t="s">
        <v>56</v>
      </c>
      <c r="G46" s="10">
        <v>2</v>
      </c>
      <c r="H46" s="10"/>
      <c r="I46" s="10"/>
      <c r="J46" s="10" t="s">
        <v>42</v>
      </c>
      <c r="K46" s="33">
        <v>10</v>
      </c>
      <c r="L46" s="11">
        <v>11</v>
      </c>
      <c r="M46" s="33"/>
      <c r="N46" s="33">
        <v>0</v>
      </c>
      <c r="O46" s="33">
        <v>2</v>
      </c>
      <c r="P46" s="33">
        <v>5</v>
      </c>
      <c r="Q46" s="33">
        <v>6</v>
      </c>
      <c r="R46" s="33">
        <v>9</v>
      </c>
      <c r="S46" s="33">
        <v>18</v>
      </c>
      <c r="T46" s="33">
        <v>18</v>
      </c>
      <c r="U46" s="33">
        <v>19</v>
      </c>
      <c r="V46" s="33">
        <v>20</v>
      </c>
      <c r="W46" s="33">
        <v>21</v>
      </c>
      <c r="X46" s="33" t="str">
        <f>CONCATENATE(LOWER(SUBSTITUTE(SUBSTITUTE(B46," ","_"), ".", "")), ".png")</f>
        <v>alex_presley.png</v>
      </c>
      <c r="Y46" s="33" t="s">
        <v>229</v>
      </c>
      <c r="Z46" s="33" t="str">
        <f>RIGHT(B46, LEN(B46)-SEARCH(" ", B46, 1))</f>
        <v>Presley</v>
      </c>
    </row>
    <row r="47" spans="1:26" x14ac:dyDescent="0.25">
      <c r="A47" s="33">
        <f>A46+1</f>
        <v>14046</v>
      </c>
      <c r="B47" s="21" t="s">
        <v>277</v>
      </c>
      <c r="C47" s="1" t="s">
        <v>117</v>
      </c>
      <c r="D47" s="33"/>
      <c r="E47" s="12" t="s">
        <v>32</v>
      </c>
      <c r="F47" s="12" t="s">
        <v>82</v>
      </c>
      <c r="G47" s="33"/>
      <c r="H47" s="33"/>
      <c r="I47" s="33"/>
      <c r="J47" s="12" t="s">
        <v>33</v>
      </c>
      <c r="K47" s="33">
        <v>4</v>
      </c>
      <c r="L47" s="33">
        <v>1</v>
      </c>
      <c r="M47" s="33"/>
      <c r="N47" s="33">
        <v>0</v>
      </c>
      <c r="O47" s="33">
        <v>4</v>
      </c>
      <c r="P47" s="33">
        <v>14</v>
      </c>
      <c r="Q47" s="33">
        <v>17</v>
      </c>
      <c r="R47" s="33">
        <v>18</v>
      </c>
      <c r="S47" s="33">
        <v>22</v>
      </c>
      <c r="T47" s="33">
        <v>22</v>
      </c>
      <c r="U47" s="1">
        <v>26</v>
      </c>
      <c r="V47" s="1">
        <v>26</v>
      </c>
      <c r="W47" s="33">
        <v>27</v>
      </c>
      <c r="X47" s="33" t="str">
        <f>CONCATENATE(LOWER(SUBSTITUTE(SUBSTITUTE(B47," ","_"), ".", "")), ".png")</f>
        <v>chad_qualls.png</v>
      </c>
      <c r="Y47" s="33" t="s">
        <v>231</v>
      </c>
      <c r="Z47" s="33" t="str">
        <f>RIGHT(B47, LEN(B47)-SEARCH(" ", B47, 1))</f>
        <v>Qualls</v>
      </c>
    </row>
    <row r="48" spans="1:26" x14ac:dyDescent="0.25">
      <c r="A48" s="33">
        <f>A47+1</f>
        <v>14047</v>
      </c>
      <c r="B48" s="21" t="s">
        <v>128</v>
      </c>
      <c r="C48" s="1" t="s">
        <v>117</v>
      </c>
      <c r="D48" s="33"/>
      <c r="E48" s="12" t="s">
        <v>32</v>
      </c>
      <c r="F48" s="12" t="s">
        <v>85</v>
      </c>
      <c r="G48" s="33"/>
      <c r="H48" s="33"/>
      <c r="I48" s="33"/>
      <c r="J48" s="12" t="s">
        <v>42</v>
      </c>
      <c r="K48" s="33">
        <v>1</v>
      </c>
      <c r="L48" s="33">
        <v>1</v>
      </c>
      <c r="M48" s="33"/>
      <c r="N48" s="33">
        <v>2</v>
      </c>
      <c r="O48" s="33">
        <v>8</v>
      </c>
      <c r="P48" s="33">
        <v>10</v>
      </c>
      <c r="Q48" s="33">
        <v>15</v>
      </c>
      <c r="R48" s="33">
        <v>17</v>
      </c>
      <c r="S48" s="33">
        <v>19</v>
      </c>
      <c r="T48" s="33">
        <v>19</v>
      </c>
      <c r="U48" s="1">
        <v>21</v>
      </c>
      <c r="V48" s="1">
        <v>21</v>
      </c>
      <c r="W48" s="33">
        <v>22</v>
      </c>
      <c r="X48" s="33" t="str">
        <f>CONCATENATE(LOWER(SUBSTITUTE(SUBSTITUTE(B48," ","_"), ".", "")), ".png")</f>
        <v>tony_sipp.png</v>
      </c>
      <c r="Y48" s="33" t="s">
        <v>231</v>
      </c>
      <c r="Z48" s="33" t="str">
        <f>RIGHT(B48, LEN(B48)-SEARCH(" ", B48, 1))</f>
        <v>Sipp</v>
      </c>
    </row>
    <row r="49" spans="1:26" x14ac:dyDescent="0.25">
      <c r="A49" s="33">
        <f>A48+1</f>
        <v>14048</v>
      </c>
      <c r="B49" s="22" t="s">
        <v>113</v>
      </c>
      <c r="C49" s="4" t="s">
        <v>117</v>
      </c>
      <c r="D49" s="4"/>
      <c r="E49" s="10" t="s">
        <v>32</v>
      </c>
      <c r="F49" s="10" t="s">
        <v>41</v>
      </c>
      <c r="G49" s="10">
        <v>0</v>
      </c>
      <c r="H49" s="10"/>
      <c r="I49" s="10"/>
      <c r="J49" s="10" t="s">
        <v>33</v>
      </c>
      <c r="K49" s="33">
        <v>10</v>
      </c>
      <c r="L49" s="11">
        <v>24</v>
      </c>
      <c r="M49" s="33"/>
      <c r="N49" s="33">
        <v>0</v>
      </c>
      <c r="O49" s="33">
        <v>1</v>
      </c>
      <c r="P49" s="33">
        <v>4</v>
      </c>
      <c r="Q49" s="33">
        <v>6</v>
      </c>
      <c r="R49" s="33">
        <v>10</v>
      </c>
      <c r="S49" s="33">
        <v>14</v>
      </c>
      <c r="T49" s="33">
        <v>15</v>
      </c>
      <c r="U49" s="33">
        <v>17</v>
      </c>
      <c r="V49" s="33">
        <v>18</v>
      </c>
      <c r="W49" s="33">
        <v>19</v>
      </c>
      <c r="X49" s="33" t="str">
        <f>CONCATENATE(LOWER(SUBSTITUTE(SUBSTITUTE(B49," ","_"), ".", "")), ".png")</f>
        <v>george_springer.png</v>
      </c>
      <c r="Y49" s="33" t="s">
        <v>229</v>
      </c>
      <c r="Z49" s="33" t="str">
        <f>RIGHT(B49, LEN(B49)-SEARCH(" ", B49, 1))</f>
        <v>Springer</v>
      </c>
    </row>
    <row r="50" spans="1:26" x14ac:dyDescent="0.25">
      <c r="A50" s="33">
        <f>A49+1</f>
        <v>14049</v>
      </c>
      <c r="B50" s="22" t="s">
        <v>107</v>
      </c>
      <c r="C50" s="4" t="s">
        <v>117</v>
      </c>
      <c r="D50" s="4"/>
      <c r="E50" s="10" t="s">
        <v>32</v>
      </c>
      <c r="F50" s="10" t="s">
        <v>37</v>
      </c>
      <c r="G50" s="10">
        <v>1</v>
      </c>
      <c r="H50" s="10"/>
      <c r="I50" s="10"/>
      <c r="J50" s="10" t="s">
        <v>38</v>
      </c>
      <c r="K50" s="33">
        <v>10</v>
      </c>
      <c r="L50" s="11">
        <v>23</v>
      </c>
      <c r="M50" s="33"/>
      <c r="N50" s="33">
        <v>0</v>
      </c>
      <c r="O50" s="33">
        <v>3</v>
      </c>
      <c r="P50" s="33">
        <v>6</v>
      </c>
      <c r="Q50" s="33">
        <v>7</v>
      </c>
      <c r="R50" s="33">
        <v>11</v>
      </c>
      <c r="S50" s="33">
        <v>15</v>
      </c>
      <c r="T50" s="33">
        <v>17</v>
      </c>
      <c r="U50" s="33">
        <v>19</v>
      </c>
      <c r="V50" s="33">
        <v>20</v>
      </c>
      <c r="W50" s="33">
        <v>21</v>
      </c>
      <c r="X50" s="33" t="str">
        <f>CONCATENATE(LOWER(SUBSTITUTE(SUBSTITUTE(B50," ","_"), ".", "")), ".png")</f>
        <v>jonathan_villar.png</v>
      </c>
      <c r="Y50" s="33" t="s">
        <v>229</v>
      </c>
      <c r="Z50" s="33" t="str">
        <f>RIGHT(B50, LEN(B50)-SEARCH(" ", B50, 1))</f>
        <v>Villar</v>
      </c>
    </row>
    <row r="51" spans="1:26" x14ac:dyDescent="0.25">
      <c r="A51" s="33">
        <f>A50+1</f>
        <v>14050</v>
      </c>
      <c r="B51" s="21" t="s">
        <v>125</v>
      </c>
      <c r="C51" s="1" t="s">
        <v>117</v>
      </c>
      <c r="D51" s="33"/>
      <c r="E51" s="12" t="s">
        <v>32</v>
      </c>
      <c r="F51" s="12" t="s">
        <v>85</v>
      </c>
      <c r="G51" s="33"/>
      <c r="H51" s="33"/>
      <c r="I51" s="33"/>
      <c r="J51" s="12" t="s">
        <v>33</v>
      </c>
      <c r="K51" s="33">
        <v>3</v>
      </c>
      <c r="L51" s="33">
        <v>2</v>
      </c>
      <c r="M51" s="33"/>
      <c r="N51" s="33">
        <v>2</v>
      </c>
      <c r="O51" s="33">
        <v>5</v>
      </c>
      <c r="P51" s="33">
        <v>11</v>
      </c>
      <c r="Q51" s="33">
        <v>15</v>
      </c>
      <c r="R51" s="33">
        <v>16</v>
      </c>
      <c r="S51" s="33">
        <v>19</v>
      </c>
      <c r="T51" s="33">
        <v>19</v>
      </c>
      <c r="U51" s="1">
        <v>22</v>
      </c>
      <c r="V51" s="1">
        <v>22</v>
      </c>
      <c r="W51" s="33">
        <v>23</v>
      </c>
      <c r="X51" s="33" t="str">
        <f>CONCATENATE(LOWER(SUBSTITUTE(SUBSTITUTE(B51," ","_"), ".", "")), ".png")</f>
        <v>jerome_williams.png</v>
      </c>
      <c r="Y51" s="33" t="s">
        <v>231</v>
      </c>
      <c r="Z51" s="33" t="str">
        <f>RIGHT(B51, LEN(B51)-SEARCH(" ", B51, 1))</f>
        <v>Williams</v>
      </c>
    </row>
    <row r="52" spans="1:26" x14ac:dyDescent="0.25">
      <c r="A52" s="33">
        <f>A51+1</f>
        <v>14051</v>
      </c>
      <c r="B52" s="21" t="s">
        <v>180</v>
      </c>
      <c r="C52" s="1" t="s">
        <v>129</v>
      </c>
      <c r="D52" s="33"/>
      <c r="E52" s="12" t="s">
        <v>32</v>
      </c>
      <c r="F52" s="12" t="s">
        <v>85</v>
      </c>
      <c r="G52" s="33"/>
      <c r="H52" s="33"/>
      <c r="I52" s="33"/>
      <c r="J52" s="12" t="s">
        <v>42</v>
      </c>
      <c r="K52" s="33">
        <v>3</v>
      </c>
      <c r="L52" s="33">
        <v>1</v>
      </c>
      <c r="M52" s="33"/>
      <c r="N52" s="33">
        <v>1</v>
      </c>
      <c r="O52" s="33">
        <v>6</v>
      </c>
      <c r="P52" s="33">
        <v>11</v>
      </c>
      <c r="Q52" s="33">
        <v>16</v>
      </c>
      <c r="R52" s="33">
        <v>17</v>
      </c>
      <c r="S52" s="33">
        <v>20</v>
      </c>
      <c r="T52" s="33">
        <v>20</v>
      </c>
      <c r="U52" s="1">
        <v>25</v>
      </c>
      <c r="V52" s="1">
        <v>25</v>
      </c>
      <c r="W52" s="33">
        <v>26</v>
      </c>
      <c r="X52" s="33" t="str">
        <f>CONCATENATE(LOWER(SUBSTITUTE(SUBSTITUTE(B52," ","_"), ".", "")), ".png")</f>
        <v>fernando_abad.png</v>
      </c>
      <c r="Y52" s="33" t="s">
        <v>231</v>
      </c>
      <c r="Z52" s="33" t="str">
        <f>RIGHT(B52, LEN(B52)-SEARCH(" ", B52, 1))</f>
        <v>Abad</v>
      </c>
    </row>
    <row r="53" spans="1:26" x14ac:dyDescent="0.25">
      <c r="A53" s="33">
        <f>A52+1</f>
        <v>14052</v>
      </c>
      <c r="B53" s="22" t="s">
        <v>172</v>
      </c>
      <c r="C53" s="4" t="s">
        <v>129</v>
      </c>
      <c r="D53" s="4"/>
      <c r="E53" s="10" t="s">
        <v>32</v>
      </c>
      <c r="F53" s="10" t="s">
        <v>5</v>
      </c>
      <c r="G53" s="10">
        <v>1</v>
      </c>
      <c r="H53" s="10"/>
      <c r="I53" s="10"/>
      <c r="J53" s="10" t="s">
        <v>42</v>
      </c>
      <c r="K53" s="33">
        <v>11</v>
      </c>
      <c r="L53" s="11">
        <v>8</v>
      </c>
      <c r="M53" s="33"/>
      <c r="N53" s="33">
        <v>0</v>
      </c>
      <c r="O53" s="33">
        <v>1</v>
      </c>
      <c r="P53" s="33">
        <v>4</v>
      </c>
      <c r="Q53" s="33">
        <v>6</v>
      </c>
      <c r="R53" s="33">
        <v>10</v>
      </c>
      <c r="S53" s="33">
        <v>17</v>
      </c>
      <c r="T53" s="33">
        <v>17</v>
      </c>
      <c r="U53" s="33">
        <v>19</v>
      </c>
      <c r="V53" s="33">
        <v>19</v>
      </c>
      <c r="W53" s="33">
        <v>20</v>
      </c>
      <c r="X53" s="33" t="str">
        <f>CONCATENATE(LOWER(SUBSTITUTE(SUBSTITUTE(B53," ","_"), ".", "")), ".png")</f>
        <v>daric_barton.png</v>
      </c>
      <c r="Y53" s="33" t="s">
        <v>229</v>
      </c>
      <c r="Z53" s="33" t="str">
        <f>RIGHT(B53, LEN(B53)-SEARCH(" ", B53, 1))</f>
        <v>Barton</v>
      </c>
    </row>
    <row r="54" spans="1:26" x14ac:dyDescent="0.25">
      <c r="A54" s="33">
        <f>A53+1</f>
        <v>14053</v>
      </c>
      <c r="B54" s="22" t="s">
        <v>145</v>
      </c>
      <c r="C54" s="4" t="s">
        <v>129</v>
      </c>
      <c r="D54" s="4"/>
      <c r="E54" s="10" t="s">
        <v>32</v>
      </c>
      <c r="F54" s="10" t="s">
        <v>7</v>
      </c>
      <c r="G54" s="10">
        <v>1</v>
      </c>
      <c r="H54" s="10" t="s">
        <v>6</v>
      </c>
      <c r="I54" s="10">
        <v>3</v>
      </c>
      <c r="J54" s="10" t="s">
        <v>38</v>
      </c>
      <c r="K54" s="33">
        <v>10</v>
      </c>
      <c r="L54" s="11">
        <v>8</v>
      </c>
      <c r="M54" s="33"/>
      <c r="N54" s="33">
        <v>0</v>
      </c>
      <c r="O54" s="33">
        <v>1</v>
      </c>
      <c r="P54" s="33">
        <v>4</v>
      </c>
      <c r="Q54" s="33">
        <v>6</v>
      </c>
      <c r="R54" s="33">
        <v>10</v>
      </c>
      <c r="S54" s="33">
        <v>17</v>
      </c>
      <c r="T54" s="33">
        <v>17</v>
      </c>
      <c r="U54" s="33">
        <v>19</v>
      </c>
      <c r="V54" s="33">
        <v>19</v>
      </c>
      <c r="W54" s="33">
        <v>20</v>
      </c>
      <c r="X54" s="33" t="str">
        <f>CONCATENATE(LOWER(SUBSTITUTE(SUBSTITUTE(B54," ","_"), ".", "")), ".png")</f>
        <v>alberto_callaspo.png</v>
      </c>
      <c r="Y54" s="33" t="s">
        <v>229</v>
      </c>
      <c r="Z54" s="33" t="str">
        <f>RIGHT(B54, LEN(B54)-SEARCH(" ", B54, 1))</f>
        <v>Callaspo</v>
      </c>
    </row>
    <row r="55" spans="1:26" x14ac:dyDescent="0.25">
      <c r="A55" s="33">
        <f>A54+1</f>
        <v>14054</v>
      </c>
      <c r="B55" s="22" t="s">
        <v>133</v>
      </c>
      <c r="C55" s="4" t="s">
        <v>129</v>
      </c>
      <c r="D55" s="4"/>
      <c r="E55" s="10" t="s">
        <v>32</v>
      </c>
      <c r="F55" s="10" t="s">
        <v>56</v>
      </c>
      <c r="G55" s="10">
        <v>2</v>
      </c>
      <c r="H55" s="10"/>
      <c r="I55" s="10"/>
      <c r="J55" s="10" t="s">
        <v>33</v>
      </c>
      <c r="K55" s="33">
        <v>9</v>
      </c>
      <c r="L55" s="11">
        <v>14</v>
      </c>
      <c r="M55" s="33"/>
      <c r="N55" s="33">
        <v>0</v>
      </c>
      <c r="O55" s="33">
        <v>2</v>
      </c>
      <c r="P55" s="33">
        <v>4</v>
      </c>
      <c r="Q55" s="33">
        <v>7</v>
      </c>
      <c r="R55" s="33">
        <v>10</v>
      </c>
      <c r="S55" s="33">
        <v>14</v>
      </c>
      <c r="T55" s="33">
        <v>15</v>
      </c>
      <c r="U55" s="33">
        <v>16</v>
      </c>
      <c r="V55" s="33">
        <v>17</v>
      </c>
      <c r="W55" s="33">
        <v>18</v>
      </c>
      <c r="X55" s="33" t="str">
        <f>CONCATENATE(LOWER(SUBSTITUTE(SUBSTITUTE(B55," ","_"), ".", "")), ".png")</f>
        <v>yoenis_cespedes.png</v>
      </c>
      <c r="Y55" s="33" t="s">
        <v>229</v>
      </c>
      <c r="Z55" s="33" t="str">
        <f>RIGHT(B55, LEN(B55)-SEARCH(" ", B55, 1))</f>
        <v>Cespedes</v>
      </c>
    </row>
    <row r="56" spans="1:26" x14ac:dyDescent="0.25">
      <c r="A56" s="33">
        <f>A55+1</f>
        <v>14055</v>
      </c>
      <c r="B56" s="21" t="s">
        <v>176</v>
      </c>
      <c r="C56" s="1" t="s">
        <v>129</v>
      </c>
      <c r="D56" s="33"/>
      <c r="E56" s="12" t="s">
        <v>32</v>
      </c>
      <c r="F56" s="12" t="s">
        <v>69</v>
      </c>
      <c r="G56" s="33"/>
      <c r="H56" s="33"/>
      <c r="I56" s="33"/>
      <c r="J56" s="12" t="s">
        <v>33</v>
      </c>
      <c r="K56" s="33">
        <v>4</v>
      </c>
      <c r="L56" s="33">
        <v>6</v>
      </c>
      <c r="M56" s="33"/>
      <c r="N56" s="33">
        <v>1</v>
      </c>
      <c r="O56" s="33">
        <v>6</v>
      </c>
      <c r="P56" s="33">
        <v>11</v>
      </c>
      <c r="Q56" s="33">
        <v>16</v>
      </c>
      <c r="R56" s="33">
        <v>17</v>
      </c>
      <c r="S56" s="33">
        <v>20</v>
      </c>
      <c r="T56" s="33">
        <v>20</v>
      </c>
      <c r="U56" s="1">
        <v>27</v>
      </c>
      <c r="V56" s="1">
        <v>27</v>
      </c>
      <c r="W56" s="33">
        <v>28</v>
      </c>
      <c r="X56" s="33" t="str">
        <f>CONCATENATE(LOWER(SUBSTITUTE(SUBSTITUTE(B56," ","_"), ".", "")), ".png")</f>
        <v>jesse_chavez.png</v>
      </c>
      <c r="Y56" s="33" t="s">
        <v>231</v>
      </c>
      <c r="Z56" s="33" t="str">
        <f>RIGHT(B56, LEN(B56)-SEARCH(" ", B56, 1))</f>
        <v>Chavez</v>
      </c>
    </row>
    <row r="57" spans="1:26" x14ac:dyDescent="0.25">
      <c r="A57" s="33">
        <f>A56+1</f>
        <v>14056</v>
      </c>
      <c r="B57" s="22" t="s">
        <v>148</v>
      </c>
      <c r="C57" s="4" t="s">
        <v>129</v>
      </c>
      <c r="D57" s="4"/>
      <c r="E57" s="10" t="s">
        <v>32</v>
      </c>
      <c r="F57" s="10" t="s">
        <v>45</v>
      </c>
      <c r="G57" s="10">
        <v>3</v>
      </c>
      <c r="H57" s="10"/>
      <c r="I57" s="10"/>
      <c r="J57" s="10" t="s">
        <v>38</v>
      </c>
      <c r="K57" s="33">
        <v>10</v>
      </c>
      <c r="L57" s="11">
        <v>19</v>
      </c>
      <c r="M57" s="33"/>
      <c r="N57" s="33">
        <v>0</v>
      </c>
      <c r="O57" s="33">
        <v>0</v>
      </c>
      <c r="P57" s="33">
        <v>3</v>
      </c>
      <c r="Q57" s="33">
        <v>6</v>
      </c>
      <c r="R57" s="33">
        <v>10</v>
      </c>
      <c r="S57" s="33">
        <v>14</v>
      </c>
      <c r="T57" s="33">
        <v>15</v>
      </c>
      <c r="U57" s="33">
        <v>16</v>
      </c>
      <c r="V57" s="33">
        <v>18</v>
      </c>
      <c r="W57" s="33">
        <v>19</v>
      </c>
      <c r="X57" s="33" t="str">
        <f>CONCATENATE(LOWER(SUBSTITUTE(SUBSTITUTE(B57," ","_"), ".", "")), ".png")</f>
        <v>coco_crisp.png</v>
      </c>
      <c r="Y57" s="33" t="s">
        <v>229</v>
      </c>
      <c r="Z57" s="33" t="str">
        <f>RIGHT(B57, LEN(B57)-SEARCH(" ", B57, 1))</f>
        <v>Crisp</v>
      </c>
    </row>
    <row r="58" spans="1:26" x14ac:dyDescent="0.25">
      <c r="A58" s="33">
        <f>A57+1</f>
        <v>14057</v>
      </c>
      <c r="B58" s="22" t="s">
        <v>130</v>
      </c>
      <c r="C58" s="4" t="s">
        <v>129</v>
      </c>
      <c r="D58" s="4"/>
      <c r="E58" s="10" t="s">
        <v>44</v>
      </c>
      <c r="F58" s="10" t="s">
        <v>7</v>
      </c>
      <c r="G58" s="10">
        <v>2</v>
      </c>
      <c r="H58" s="10"/>
      <c r="I58" s="10"/>
      <c r="J58" s="10" t="s">
        <v>33</v>
      </c>
      <c r="K58" s="33">
        <v>12</v>
      </c>
      <c r="L58" s="11">
        <v>13</v>
      </c>
      <c r="M58" s="33"/>
      <c r="N58" s="33">
        <v>0</v>
      </c>
      <c r="O58" s="33">
        <v>1</v>
      </c>
      <c r="P58" s="33">
        <v>3</v>
      </c>
      <c r="Q58" s="33">
        <v>5</v>
      </c>
      <c r="R58" s="33">
        <v>9</v>
      </c>
      <c r="S58" s="33">
        <v>15</v>
      </c>
      <c r="T58" s="33">
        <v>15</v>
      </c>
      <c r="U58" s="33">
        <v>17</v>
      </c>
      <c r="V58" s="33">
        <v>18</v>
      </c>
      <c r="W58" s="33">
        <v>19</v>
      </c>
      <c r="X58" s="33" t="str">
        <f>CONCATENATE(LOWER(SUBSTITUTE(SUBSTITUTE(B58," ","_"), ".", "")), ".png")</f>
        <v>josh_donaldson.png</v>
      </c>
      <c r="Y58" s="33" t="s">
        <v>229</v>
      </c>
      <c r="Z58" s="33" t="str">
        <f>RIGHT(B58, LEN(B58)-SEARCH(" ", B58, 1))</f>
        <v>Donaldson</v>
      </c>
    </row>
    <row r="59" spans="1:26" x14ac:dyDescent="0.25">
      <c r="A59" s="33">
        <f>A58+1</f>
        <v>14058</v>
      </c>
      <c r="B59" s="21" t="s">
        <v>178</v>
      </c>
      <c r="C59" s="1" t="s">
        <v>129</v>
      </c>
      <c r="D59" s="33"/>
      <c r="E59" s="12" t="s">
        <v>32</v>
      </c>
      <c r="F59" s="12" t="s">
        <v>82</v>
      </c>
      <c r="G59" s="33"/>
      <c r="H59" s="33"/>
      <c r="I59" s="33"/>
      <c r="J59" s="12" t="s">
        <v>42</v>
      </c>
      <c r="K59" s="33">
        <v>6</v>
      </c>
      <c r="L59" s="33">
        <v>1</v>
      </c>
      <c r="M59" s="33"/>
      <c r="N59" s="33">
        <v>3</v>
      </c>
      <c r="O59" s="33">
        <v>7</v>
      </c>
      <c r="P59" s="33">
        <v>11</v>
      </c>
      <c r="Q59" s="33">
        <v>16</v>
      </c>
      <c r="R59" s="33">
        <v>17</v>
      </c>
      <c r="S59" s="33">
        <v>19</v>
      </c>
      <c r="T59" s="33">
        <v>19</v>
      </c>
      <c r="U59" s="1">
        <v>26</v>
      </c>
      <c r="V59" s="1">
        <v>26</v>
      </c>
      <c r="W59" s="33">
        <v>27</v>
      </c>
      <c r="X59" s="33" t="str">
        <f>CONCATENATE(LOWER(SUBSTITUTE(SUBSTITUTE(B59," ","_"), ".", "")), ".png")</f>
        <v>sean_doolittle.png</v>
      </c>
      <c r="Y59" s="33" t="s">
        <v>231</v>
      </c>
      <c r="Z59" s="33" t="str">
        <f>RIGHT(B59, LEN(B59)-SEARCH(" ", B59, 1))</f>
        <v>Doolittle</v>
      </c>
    </row>
    <row r="60" spans="1:26" x14ac:dyDescent="0.25">
      <c r="A60" s="33">
        <f>A59+1</f>
        <v>14059</v>
      </c>
      <c r="B60" s="22" t="s">
        <v>173</v>
      </c>
      <c r="C60" s="4" t="s">
        <v>129</v>
      </c>
      <c r="D60" s="4">
        <v>10</v>
      </c>
      <c r="E60" s="10" t="s">
        <v>32</v>
      </c>
      <c r="F60" s="10" t="s">
        <v>56</v>
      </c>
      <c r="G60" s="10">
        <v>2</v>
      </c>
      <c r="H60" s="10"/>
      <c r="I60" s="10"/>
      <c r="J60" s="10" t="s">
        <v>42</v>
      </c>
      <c r="K60" s="33">
        <v>9</v>
      </c>
      <c r="L60" s="11">
        <v>16</v>
      </c>
      <c r="M60" s="33"/>
      <c r="N60" s="33">
        <v>0</v>
      </c>
      <c r="O60" s="33">
        <v>2</v>
      </c>
      <c r="P60" s="33">
        <v>6</v>
      </c>
      <c r="Q60" s="33">
        <v>8</v>
      </c>
      <c r="R60" s="33">
        <v>12</v>
      </c>
      <c r="S60" s="33">
        <v>19</v>
      </c>
      <c r="T60" s="33">
        <v>19</v>
      </c>
      <c r="U60" s="33">
        <v>19</v>
      </c>
      <c r="V60" s="33">
        <v>20</v>
      </c>
      <c r="W60" s="33">
        <v>21</v>
      </c>
      <c r="X60" s="33" t="str">
        <f>CONCATENATE(LOWER(SUBSTITUTE(SUBSTITUTE(B60," ","_"), ".", "")), ".png")</f>
        <v>sam_fuld.png</v>
      </c>
      <c r="Y60" s="33" t="s">
        <v>229</v>
      </c>
      <c r="Z60" s="33" t="str">
        <f>RIGHT(B60, LEN(B60)-SEARCH(" ", B60, 1))</f>
        <v>Fuld</v>
      </c>
    </row>
    <row r="61" spans="1:26" x14ac:dyDescent="0.25">
      <c r="A61" s="33">
        <f>A60+1</f>
        <v>14060</v>
      </c>
      <c r="B61" s="22" t="s">
        <v>149</v>
      </c>
      <c r="C61" s="4" t="s">
        <v>129</v>
      </c>
      <c r="D61" s="4"/>
      <c r="E61" s="10" t="s">
        <v>32</v>
      </c>
      <c r="F61" s="10" t="s">
        <v>56</v>
      </c>
      <c r="G61" s="10">
        <v>2</v>
      </c>
      <c r="H61" s="10"/>
      <c r="I61" s="10"/>
      <c r="J61" s="10" t="s">
        <v>33</v>
      </c>
      <c r="K61" s="33">
        <v>12</v>
      </c>
      <c r="L61" s="11">
        <v>21</v>
      </c>
      <c r="M61" s="33"/>
      <c r="N61" s="33">
        <v>0</v>
      </c>
      <c r="O61" s="33">
        <v>1</v>
      </c>
      <c r="P61" s="33">
        <v>4</v>
      </c>
      <c r="Q61" s="33">
        <v>6</v>
      </c>
      <c r="R61" s="33">
        <v>10</v>
      </c>
      <c r="S61" s="33">
        <v>16</v>
      </c>
      <c r="T61" s="33">
        <v>17</v>
      </c>
      <c r="U61" s="33">
        <v>18</v>
      </c>
      <c r="V61" s="33">
        <v>20</v>
      </c>
      <c r="W61" s="33">
        <v>21</v>
      </c>
      <c r="X61" s="33" t="str">
        <f>CONCATENATE(LOWER(SUBSTITUTE(SUBSTITUTE(B61," ","_"), ".", "")), ".png")</f>
        <v>craig_gentry.png</v>
      </c>
      <c r="Y61" s="33" t="s">
        <v>229</v>
      </c>
      <c r="Z61" s="33" t="str">
        <f>RIGHT(B61, LEN(B61)-SEARCH(" ", B61, 1))</f>
        <v>Gentry</v>
      </c>
    </row>
    <row r="62" spans="1:26" x14ac:dyDescent="0.25">
      <c r="A62" s="33">
        <f>A61+1</f>
        <v>14061</v>
      </c>
      <c r="B62" s="21" t="s">
        <v>175</v>
      </c>
      <c r="C62" s="1" t="s">
        <v>129</v>
      </c>
      <c r="D62" s="33"/>
      <c r="E62" s="12" t="s">
        <v>44</v>
      </c>
      <c r="F62" s="12" t="s">
        <v>69</v>
      </c>
      <c r="G62" s="33"/>
      <c r="H62" s="33"/>
      <c r="I62" s="33"/>
      <c r="J62" s="12" t="s">
        <v>33</v>
      </c>
      <c r="K62" s="33">
        <v>5</v>
      </c>
      <c r="L62" s="33">
        <v>6</v>
      </c>
      <c r="M62" s="33"/>
      <c r="N62" s="33">
        <v>0</v>
      </c>
      <c r="O62" s="33">
        <v>7</v>
      </c>
      <c r="P62" s="33">
        <v>13</v>
      </c>
      <c r="Q62" s="33">
        <v>17</v>
      </c>
      <c r="R62" s="33">
        <v>18</v>
      </c>
      <c r="S62" s="33">
        <v>21</v>
      </c>
      <c r="T62" s="33">
        <v>21</v>
      </c>
      <c r="U62" s="1">
        <v>26</v>
      </c>
      <c r="V62" s="1">
        <v>26</v>
      </c>
      <c r="W62" s="33">
        <v>27</v>
      </c>
      <c r="X62" s="33" t="str">
        <f>CONCATENATE(LOWER(SUBSTITUTE(SUBSTITUTE(B62," ","_"), ".", "")), ".png")</f>
        <v>sonny_gray.png</v>
      </c>
      <c r="Y62" s="33" t="s">
        <v>231</v>
      </c>
      <c r="Z62" s="33" t="str">
        <f>RIGHT(B62, LEN(B62)-SEARCH(" ", B62, 1))</f>
        <v>Gray</v>
      </c>
    </row>
    <row r="63" spans="1:26" x14ac:dyDescent="0.25">
      <c r="A63" s="33">
        <f>A62+1</f>
        <v>14062</v>
      </c>
      <c r="B63" s="21" t="s">
        <v>179</v>
      </c>
      <c r="C63" s="1" t="s">
        <v>129</v>
      </c>
      <c r="D63" s="33">
        <v>250</v>
      </c>
      <c r="E63" s="12" t="s">
        <v>44</v>
      </c>
      <c r="F63" s="12" t="s">
        <v>85</v>
      </c>
      <c r="G63" s="33"/>
      <c r="H63" s="33"/>
      <c r="I63" s="33"/>
      <c r="J63" s="12" t="s">
        <v>33</v>
      </c>
      <c r="K63" s="33">
        <v>6</v>
      </c>
      <c r="L63" s="33">
        <v>1</v>
      </c>
      <c r="M63" s="33"/>
      <c r="N63" s="33">
        <v>1</v>
      </c>
      <c r="O63" s="33">
        <v>7</v>
      </c>
      <c r="P63" s="33">
        <v>12</v>
      </c>
      <c r="Q63" s="33">
        <v>17</v>
      </c>
      <c r="R63" s="33">
        <v>18</v>
      </c>
      <c r="S63" s="33">
        <v>20</v>
      </c>
      <c r="T63" s="33">
        <v>20</v>
      </c>
      <c r="U63" s="1">
        <v>27</v>
      </c>
      <c r="V63" s="1">
        <v>27</v>
      </c>
      <c r="W63" s="33">
        <v>28</v>
      </c>
      <c r="X63" s="33" t="str">
        <f>CONCATENATE(LOWER(SUBSTITUTE(SUBSTITUTE(B63," ","_"), ".", "")), ".png")</f>
        <v>luke_gregerson.png</v>
      </c>
      <c r="Y63" s="33" t="s">
        <v>231</v>
      </c>
      <c r="Z63" s="33" t="str">
        <f>RIGHT(B63, LEN(B63)-SEARCH(" ", B63, 1))</f>
        <v>Gregerson</v>
      </c>
    </row>
    <row r="64" spans="1:26" x14ac:dyDescent="0.25">
      <c r="A64" s="33">
        <f>A63+1</f>
        <v>14063</v>
      </c>
      <c r="B64" s="22" t="s">
        <v>147</v>
      </c>
      <c r="C64" s="4" t="s">
        <v>129</v>
      </c>
      <c r="D64" s="4"/>
      <c r="E64" s="10" t="s">
        <v>32</v>
      </c>
      <c r="F64" s="10" t="s">
        <v>32</v>
      </c>
      <c r="G64" s="10">
        <v>3</v>
      </c>
      <c r="H64" s="10"/>
      <c r="I64" s="10"/>
      <c r="J64" s="10" t="s">
        <v>42</v>
      </c>
      <c r="K64" s="33">
        <v>12</v>
      </c>
      <c r="L64" s="11">
        <v>13</v>
      </c>
      <c r="M64" s="33"/>
      <c r="N64" s="33">
        <v>0</v>
      </c>
      <c r="O64" s="33">
        <v>2</v>
      </c>
      <c r="P64" s="33">
        <v>4</v>
      </c>
      <c r="Q64" s="33">
        <v>6</v>
      </c>
      <c r="R64" s="33">
        <v>12</v>
      </c>
      <c r="S64" s="33">
        <v>18</v>
      </c>
      <c r="T64" s="33">
        <v>18</v>
      </c>
      <c r="U64" s="33">
        <v>20</v>
      </c>
      <c r="V64" s="33">
        <v>20</v>
      </c>
      <c r="W64" s="33">
        <v>21</v>
      </c>
      <c r="X64" s="33" t="str">
        <f>CONCATENATE(LOWER(SUBSTITUTE(SUBSTITUTE(B64," ","_"), ".", "")), ".png")</f>
        <v>john_jaso.png</v>
      </c>
      <c r="Y64" s="33" t="s">
        <v>229</v>
      </c>
      <c r="Z64" s="33" t="str">
        <f>RIGHT(B64, LEN(B64)-SEARCH(" ", B64, 1))</f>
        <v>Jaso</v>
      </c>
    </row>
    <row r="65" spans="1:26" x14ac:dyDescent="0.25">
      <c r="A65" s="33">
        <f>A64+1</f>
        <v>14064</v>
      </c>
      <c r="B65" s="21" t="s">
        <v>182</v>
      </c>
      <c r="C65" s="1" t="s">
        <v>129</v>
      </c>
      <c r="D65" s="33"/>
      <c r="E65" s="12" t="s">
        <v>32</v>
      </c>
      <c r="F65" s="12" t="s">
        <v>85</v>
      </c>
      <c r="G65" s="33"/>
      <c r="H65" s="33"/>
      <c r="I65" s="33"/>
      <c r="J65" s="12" t="s">
        <v>33</v>
      </c>
      <c r="K65" s="33">
        <v>4</v>
      </c>
      <c r="L65" s="33">
        <v>1</v>
      </c>
      <c r="M65" s="33"/>
      <c r="N65" s="33">
        <v>0</v>
      </c>
      <c r="O65" s="33">
        <v>5</v>
      </c>
      <c r="P65" s="33">
        <v>14</v>
      </c>
      <c r="Q65" s="33">
        <v>17</v>
      </c>
      <c r="R65" s="33">
        <v>18</v>
      </c>
      <c r="S65" s="33">
        <v>20</v>
      </c>
      <c r="T65" s="33">
        <v>20</v>
      </c>
      <c r="U65" s="1">
        <v>26</v>
      </c>
      <c r="V65" s="1">
        <v>26</v>
      </c>
      <c r="W65" s="33">
        <v>27</v>
      </c>
      <c r="X65" s="33" t="str">
        <f>CONCATENATE(LOWER(SUBSTITUTE(SUBSTITUTE(B65," ","_"), ".", "")), ".png")</f>
        <v>jim_johnson.png</v>
      </c>
      <c r="Y65" s="33" t="s">
        <v>231</v>
      </c>
      <c r="Z65" s="33" t="str">
        <f>RIGHT(B65, LEN(B65)-SEARCH(" ", B65, 1))</f>
        <v>Johnson</v>
      </c>
    </row>
    <row r="66" spans="1:26" x14ac:dyDescent="0.25">
      <c r="A66" s="33">
        <f>A65+1</f>
        <v>14065</v>
      </c>
      <c r="B66" s="21" t="s">
        <v>174</v>
      </c>
      <c r="C66" s="1" t="s">
        <v>129</v>
      </c>
      <c r="D66" s="33"/>
      <c r="E66" s="12" t="s">
        <v>32</v>
      </c>
      <c r="F66" s="12" t="s">
        <v>69</v>
      </c>
      <c r="G66" s="33"/>
      <c r="H66" s="33"/>
      <c r="I66" s="33"/>
      <c r="J66" s="12" t="s">
        <v>42</v>
      </c>
      <c r="K66" s="33">
        <v>3</v>
      </c>
      <c r="L66" s="33">
        <v>5</v>
      </c>
      <c r="M66" s="33"/>
      <c r="N66" s="33">
        <v>1</v>
      </c>
      <c r="O66" s="33">
        <v>7</v>
      </c>
      <c r="P66" s="33">
        <v>12</v>
      </c>
      <c r="Q66" s="33">
        <v>16</v>
      </c>
      <c r="R66" s="33">
        <v>17</v>
      </c>
      <c r="S66" s="33">
        <v>19</v>
      </c>
      <c r="T66" s="33">
        <v>19</v>
      </c>
      <c r="U66" s="1">
        <v>23</v>
      </c>
      <c r="V66" s="1">
        <v>23</v>
      </c>
      <c r="W66" s="33">
        <v>24</v>
      </c>
      <c r="X66" s="33" t="str">
        <f>CONCATENATE(LOWER(SUBSTITUTE(SUBSTITUTE(B66," ","_"), ".", "")), ".png")</f>
        <v>scott_kazmir.png</v>
      </c>
      <c r="Y66" s="33" t="s">
        <v>231</v>
      </c>
      <c r="Z66" s="33" t="str">
        <f>RIGHT(B66, LEN(B66)-SEARCH(" ", B66, 1))</f>
        <v>Kazmir</v>
      </c>
    </row>
    <row r="67" spans="1:26" x14ac:dyDescent="0.25">
      <c r="A67" s="33">
        <f>A66+1</f>
        <v>14066</v>
      </c>
      <c r="B67" s="22" t="s">
        <v>132</v>
      </c>
      <c r="C67" s="4" t="s">
        <v>129</v>
      </c>
      <c r="D67" s="4"/>
      <c r="E67" s="10" t="s">
        <v>32</v>
      </c>
      <c r="F67" s="10" t="s">
        <v>53</v>
      </c>
      <c r="G67" s="10">
        <v>2</v>
      </c>
      <c r="H67" s="10"/>
      <c r="I67" s="10"/>
      <c r="J67" s="10" t="s">
        <v>38</v>
      </c>
      <c r="K67" s="33">
        <v>11</v>
      </c>
      <c r="L67" s="11">
        <v>9</v>
      </c>
      <c r="M67" s="33"/>
      <c r="N67" s="33">
        <v>0</v>
      </c>
      <c r="O67" s="33">
        <v>1</v>
      </c>
      <c r="P67" s="33">
        <v>3</v>
      </c>
      <c r="Q67" s="33">
        <v>6</v>
      </c>
      <c r="R67" s="33">
        <v>9</v>
      </c>
      <c r="S67" s="33">
        <v>15</v>
      </c>
      <c r="T67" s="33">
        <v>15</v>
      </c>
      <c r="U67" s="33">
        <v>18</v>
      </c>
      <c r="V67" s="33">
        <v>19</v>
      </c>
      <c r="W67" s="33">
        <v>20</v>
      </c>
      <c r="X67" s="33" t="str">
        <f>CONCATENATE(LOWER(SUBSTITUTE(SUBSTITUTE(B67," ","_"), ".", "")), ".png")</f>
        <v>jed_lowrie.png</v>
      </c>
      <c r="Y67" s="33" t="s">
        <v>229</v>
      </c>
      <c r="Z67" s="33" t="str">
        <f>RIGHT(B67, LEN(B67)-SEARCH(" ", B67, 1))</f>
        <v>Lowrie</v>
      </c>
    </row>
    <row r="68" spans="1:26" x14ac:dyDescent="0.25">
      <c r="A68" s="33">
        <f>A67+1</f>
        <v>14067</v>
      </c>
      <c r="B68" s="21" t="s">
        <v>177</v>
      </c>
      <c r="C68" s="1" t="s">
        <v>129</v>
      </c>
      <c r="D68" s="33"/>
      <c r="E68" s="12" t="s">
        <v>32</v>
      </c>
      <c r="F68" s="12" t="s">
        <v>69</v>
      </c>
      <c r="G68" s="33"/>
      <c r="H68" s="33"/>
      <c r="I68" s="33"/>
      <c r="J68" s="12" t="s">
        <v>42</v>
      </c>
      <c r="K68" s="33">
        <v>4</v>
      </c>
      <c r="L68" s="33">
        <v>6</v>
      </c>
      <c r="M68" s="33"/>
      <c r="N68" s="33">
        <v>2</v>
      </c>
      <c r="O68" s="33">
        <v>7</v>
      </c>
      <c r="P68" s="33">
        <v>10</v>
      </c>
      <c r="Q68" s="33">
        <v>16</v>
      </c>
      <c r="R68" s="33">
        <v>17</v>
      </c>
      <c r="S68" s="33">
        <v>19</v>
      </c>
      <c r="T68" s="33">
        <v>19</v>
      </c>
      <c r="U68" s="1">
        <v>21</v>
      </c>
      <c r="V68" s="1">
        <v>21</v>
      </c>
      <c r="W68" s="33">
        <v>22</v>
      </c>
      <c r="X68" s="33" t="str">
        <f>CONCATENATE(LOWER(SUBSTITUTE(SUBSTITUTE(B68," ","_"), ".", "")), ".png")</f>
        <v>tommy_milone.png</v>
      </c>
      <c r="Y68" s="33" t="s">
        <v>231</v>
      </c>
      <c r="Z68" s="33" t="str">
        <f>RIGHT(B68, LEN(B68)-SEARCH(" ", B68, 1))</f>
        <v>Milone</v>
      </c>
    </row>
    <row r="69" spans="1:26" x14ac:dyDescent="0.25">
      <c r="A69" s="33">
        <f>A68+1</f>
        <v>14068</v>
      </c>
      <c r="B69" s="22" t="s">
        <v>131</v>
      </c>
      <c r="C69" s="4" t="s">
        <v>129</v>
      </c>
      <c r="D69" s="4"/>
      <c r="E69" s="10" t="s">
        <v>32</v>
      </c>
      <c r="F69" s="10" t="s">
        <v>5</v>
      </c>
      <c r="G69" s="10">
        <v>0</v>
      </c>
      <c r="H69" s="10" t="s">
        <v>41</v>
      </c>
      <c r="I69" s="10">
        <v>1</v>
      </c>
      <c r="J69" s="10" t="s">
        <v>42</v>
      </c>
      <c r="K69" s="33">
        <v>10</v>
      </c>
      <c r="L69" s="11">
        <v>12</v>
      </c>
      <c r="M69" s="33"/>
      <c r="N69" s="33">
        <v>0</v>
      </c>
      <c r="O69" s="33">
        <v>2</v>
      </c>
      <c r="P69" s="33">
        <v>3</v>
      </c>
      <c r="Q69" s="33">
        <v>6</v>
      </c>
      <c r="R69" s="33">
        <v>10</v>
      </c>
      <c r="S69" s="33">
        <v>15</v>
      </c>
      <c r="T69" s="33">
        <v>15</v>
      </c>
      <c r="U69" s="33">
        <v>16</v>
      </c>
      <c r="V69" s="33">
        <v>17</v>
      </c>
      <c r="W69" s="33">
        <v>18</v>
      </c>
      <c r="X69" s="33" t="str">
        <f>CONCATENATE(LOWER(SUBSTITUTE(SUBSTITUTE(B69," ","_"), ".", "")), ".png")</f>
        <v>brandon_moss.png</v>
      </c>
      <c r="Y69" s="33" t="s">
        <v>229</v>
      </c>
      <c r="Z69" s="33" t="str">
        <f>RIGHT(B69, LEN(B69)-SEARCH(" ", B69, 1))</f>
        <v>Moss</v>
      </c>
    </row>
    <row r="70" spans="1:26" x14ac:dyDescent="0.25">
      <c r="A70" s="33">
        <f>A69+1</f>
        <v>14069</v>
      </c>
      <c r="B70" s="22" t="s">
        <v>146</v>
      </c>
      <c r="C70" s="4" t="s">
        <v>129</v>
      </c>
      <c r="D70" s="4"/>
      <c r="E70" s="10" t="s">
        <v>32</v>
      </c>
      <c r="F70" s="10" t="s">
        <v>32</v>
      </c>
      <c r="G70" s="10">
        <v>6</v>
      </c>
      <c r="H70" s="10"/>
      <c r="I70" s="10"/>
      <c r="J70" s="10" t="s">
        <v>33</v>
      </c>
      <c r="K70" s="33">
        <v>11</v>
      </c>
      <c r="L70" s="11">
        <v>14</v>
      </c>
      <c r="M70" s="33"/>
      <c r="N70" s="33">
        <v>0</v>
      </c>
      <c r="O70" s="33">
        <v>2</v>
      </c>
      <c r="P70" s="33">
        <v>4</v>
      </c>
      <c r="Q70" s="33">
        <v>7</v>
      </c>
      <c r="R70" s="33">
        <v>12</v>
      </c>
      <c r="S70" s="33">
        <v>17</v>
      </c>
      <c r="T70" s="33">
        <v>17</v>
      </c>
      <c r="U70" s="33">
        <v>19</v>
      </c>
      <c r="V70" s="33">
        <v>19</v>
      </c>
      <c r="W70" s="33">
        <v>20</v>
      </c>
      <c r="X70" s="33" t="str">
        <f>CONCATENATE(LOWER(SUBSTITUTE(SUBSTITUTE(B70," ","_"), ".", "")), ".png")</f>
        <v>derek_norris.png</v>
      </c>
      <c r="Y70" s="33" t="s">
        <v>229</v>
      </c>
      <c r="Z70" s="33" t="str">
        <f>RIGHT(B70, LEN(B70)-SEARCH(" ", B70, 1))</f>
        <v>Norris</v>
      </c>
    </row>
    <row r="71" spans="1:26" x14ac:dyDescent="0.25">
      <c r="A71" s="33">
        <f>A70+1</f>
        <v>14070</v>
      </c>
      <c r="B71" s="21" t="s">
        <v>181</v>
      </c>
      <c r="C71" s="1" t="s">
        <v>129</v>
      </c>
      <c r="D71" s="33">
        <v>200</v>
      </c>
      <c r="E71" s="12" t="s">
        <v>32</v>
      </c>
      <c r="F71" s="12" t="s">
        <v>85</v>
      </c>
      <c r="G71" s="33"/>
      <c r="H71" s="33"/>
      <c r="I71" s="33"/>
      <c r="J71" s="12" t="s">
        <v>33</v>
      </c>
      <c r="K71" s="33">
        <v>4</v>
      </c>
      <c r="L71" s="33">
        <v>1</v>
      </c>
      <c r="M71" s="33"/>
      <c r="N71" s="33">
        <v>0</v>
      </c>
      <c r="O71" s="33">
        <v>5</v>
      </c>
      <c r="P71" s="33">
        <v>14</v>
      </c>
      <c r="Q71" s="33">
        <v>18</v>
      </c>
      <c r="R71" s="33">
        <v>18</v>
      </c>
      <c r="S71" s="33">
        <v>21</v>
      </c>
      <c r="T71" s="33">
        <v>21</v>
      </c>
      <c r="U71" s="1">
        <v>27</v>
      </c>
      <c r="V71" s="1">
        <v>27</v>
      </c>
      <c r="W71" s="33">
        <v>28</v>
      </c>
      <c r="X71" s="33" t="str">
        <f>CONCATENATE(LOWER(SUBSTITUTE(SUBSTITUTE(B71," ","_"), ".", "")), ".png")</f>
        <v>dan_otero.png</v>
      </c>
      <c r="Y71" s="33" t="s">
        <v>231</v>
      </c>
      <c r="Z71" s="33" t="str">
        <f>RIGHT(B71, LEN(B71)-SEARCH(" ", B71, 1))</f>
        <v>Otero</v>
      </c>
    </row>
    <row r="72" spans="1:26" x14ac:dyDescent="0.25">
      <c r="A72" s="33">
        <f>A71+1</f>
        <v>14071</v>
      </c>
      <c r="B72" s="21" t="s">
        <v>183</v>
      </c>
      <c r="C72" s="1" t="s">
        <v>129</v>
      </c>
      <c r="D72" s="33"/>
      <c r="E72" s="12" t="s">
        <v>32</v>
      </c>
      <c r="F72" s="12" t="s">
        <v>85</v>
      </c>
      <c r="G72" s="33"/>
      <c r="H72" s="33"/>
      <c r="I72" s="33"/>
      <c r="J72" s="12" t="s">
        <v>42</v>
      </c>
      <c r="K72" s="33">
        <v>1</v>
      </c>
      <c r="L72" s="33">
        <v>1</v>
      </c>
      <c r="M72" s="33"/>
      <c r="N72" s="33">
        <v>0</v>
      </c>
      <c r="O72" s="33">
        <v>4</v>
      </c>
      <c r="P72" s="33">
        <v>10</v>
      </c>
      <c r="Q72" s="33">
        <v>14</v>
      </c>
      <c r="R72" s="33">
        <v>17</v>
      </c>
      <c r="S72" s="33">
        <v>19</v>
      </c>
      <c r="T72" s="33">
        <v>19</v>
      </c>
      <c r="U72" s="1">
        <v>20</v>
      </c>
      <c r="V72" s="1">
        <v>20</v>
      </c>
      <c r="W72" s="33">
        <v>21</v>
      </c>
      <c r="X72" s="33" t="str">
        <f>CONCATENATE(LOWER(SUBSTITUTE(SUBSTITUTE(B72," ","_"), ".", "")), ".png")</f>
        <v>drew_pomeranz.png</v>
      </c>
      <c r="Y72" s="33" t="s">
        <v>231</v>
      </c>
      <c r="Z72" s="33" t="str">
        <f>RIGHT(B72, LEN(B72)-SEARCH(" ", B72, 1))</f>
        <v>Pomeranz</v>
      </c>
    </row>
    <row r="73" spans="1:26" x14ac:dyDescent="0.25">
      <c r="A73" s="33">
        <f>A72+1</f>
        <v>14072</v>
      </c>
      <c r="B73" s="22" t="s">
        <v>171</v>
      </c>
      <c r="C73" s="4" t="s">
        <v>129</v>
      </c>
      <c r="D73" s="4"/>
      <c r="E73" s="10" t="s">
        <v>32</v>
      </c>
      <c r="F73" s="10" t="s">
        <v>53</v>
      </c>
      <c r="G73" s="10">
        <v>3</v>
      </c>
      <c r="H73" s="10" t="s">
        <v>7</v>
      </c>
      <c r="I73" s="10">
        <v>1</v>
      </c>
      <c r="J73" s="10" t="s">
        <v>38</v>
      </c>
      <c r="K73" s="33">
        <v>10</v>
      </c>
      <c r="L73" s="11">
        <v>12</v>
      </c>
      <c r="M73" s="33"/>
      <c r="N73" s="33">
        <v>0</v>
      </c>
      <c r="O73" s="33">
        <v>2</v>
      </c>
      <c r="P73" s="33">
        <v>4</v>
      </c>
      <c r="Q73" s="33">
        <v>6</v>
      </c>
      <c r="R73" s="33">
        <v>10</v>
      </c>
      <c r="S73" s="33">
        <v>18</v>
      </c>
      <c r="T73" s="33">
        <v>18</v>
      </c>
      <c r="U73" s="33">
        <v>20</v>
      </c>
      <c r="V73" s="33">
        <v>20</v>
      </c>
      <c r="W73" s="33">
        <v>21</v>
      </c>
      <c r="X73" s="33" t="str">
        <f>CONCATENATE(LOWER(SUBSTITUTE(SUBSTITUTE(B73," ","_"), ".", "")), ".png")</f>
        <v>nick_punto.png</v>
      </c>
      <c r="Y73" s="33" t="s">
        <v>229</v>
      </c>
      <c r="Z73" s="33" t="str">
        <f>RIGHT(B73, LEN(B73)-SEARCH(" ", B73, 1))</f>
        <v>Punto</v>
      </c>
    </row>
    <row r="74" spans="1:26" x14ac:dyDescent="0.25">
      <c r="A74" s="33">
        <f>A73+1</f>
        <v>14073</v>
      </c>
      <c r="B74" s="22" t="s">
        <v>144</v>
      </c>
      <c r="C74" s="4" t="s">
        <v>129</v>
      </c>
      <c r="D74" s="4"/>
      <c r="E74" s="10" t="s">
        <v>32</v>
      </c>
      <c r="F74" s="10" t="s">
        <v>41</v>
      </c>
      <c r="G74" s="10">
        <v>2</v>
      </c>
      <c r="H74" s="10"/>
      <c r="I74" s="10"/>
      <c r="J74" s="10" t="s">
        <v>42</v>
      </c>
      <c r="K74" s="33">
        <v>10</v>
      </c>
      <c r="L74" s="11">
        <v>16</v>
      </c>
      <c r="M74" s="33"/>
      <c r="N74" s="33">
        <v>0</v>
      </c>
      <c r="O74" s="33">
        <v>2</v>
      </c>
      <c r="P74" s="33">
        <v>4</v>
      </c>
      <c r="Q74" s="33">
        <v>7</v>
      </c>
      <c r="R74" s="33">
        <v>11</v>
      </c>
      <c r="S74" s="33">
        <v>15</v>
      </c>
      <c r="T74" s="33">
        <v>16</v>
      </c>
      <c r="U74" s="33">
        <v>18</v>
      </c>
      <c r="V74" s="33">
        <v>19</v>
      </c>
      <c r="W74" s="33">
        <v>20</v>
      </c>
      <c r="X74" s="33" t="str">
        <f>CONCATENATE(LOWER(SUBSTITUTE(SUBSTITUTE(B74," ","_"), ".", "")), ".png")</f>
        <v>josh_reddick.png</v>
      </c>
      <c r="Y74" s="33" t="s">
        <v>229</v>
      </c>
      <c r="Z74" s="33" t="str">
        <f>RIGHT(B74, LEN(B74)-SEARCH(" ", B74, 1))</f>
        <v>Reddick</v>
      </c>
    </row>
    <row r="75" spans="1:26" x14ac:dyDescent="0.25">
      <c r="A75" s="33">
        <f>A74+1</f>
        <v>14074</v>
      </c>
      <c r="B75" s="22" t="s">
        <v>170</v>
      </c>
      <c r="C75" s="4" t="s">
        <v>129</v>
      </c>
      <c r="D75" s="4"/>
      <c r="E75" s="10" t="s">
        <v>32</v>
      </c>
      <c r="F75" s="10" t="s">
        <v>53</v>
      </c>
      <c r="G75" s="10">
        <v>2</v>
      </c>
      <c r="H75" s="10"/>
      <c r="I75" s="10"/>
      <c r="J75" s="10" t="s">
        <v>42</v>
      </c>
      <c r="K75" s="33">
        <v>10</v>
      </c>
      <c r="L75" s="11">
        <v>16</v>
      </c>
      <c r="M75" s="33"/>
      <c r="N75" s="33">
        <v>0</v>
      </c>
      <c r="O75" s="33">
        <v>1</v>
      </c>
      <c r="P75" s="33">
        <v>3</v>
      </c>
      <c r="Q75" s="33">
        <v>6</v>
      </c>
      <c r="R75" s="33">
        <v>10</v>
      </c>
      <c r="S75" s="33">
        <v>17</v>
      </c>
      <c r="T75" s="33">
        <v>17</v>
      </c>
      <c r="U75" s="33">
        <v>20</v>
      </c>
      <c r="V75" s="33">
        <v>21</v>
      </c>
      <c r="W75" s="33">
        <v>22</v>
      </c>
      <c r="X75" s="33" t="str">
        <f>CONCATENATE(LOWER(SUBSTITUTE(SUBSTITUTE(B75," ","_"), ".", "")), ".png")</f>
        <v>eric_sogard.png</v>
      </c>
      <c r="Y75" s="33" t="s">
        <v>229</v>
      </c>
      <c r="Z75" s="33" t="str">
        <f>RIGHT(B75, LEN(B75)-SEARCH(" ", B75, 1))</f>
        <v>Sogard</v>
      </c>
    </row>
    <row r="76" spans="1:26" x14ac:dyDescent="0.25">
      <c r="A76" s="33">
        <f>A75+1</f>
        <v>14075</v>
      </c>
      <c r="B76" s="21" t="s">
        <v>278</v>
      </c>
      <c r="C76" s="1" t="s">
        <v>129</v>
      </c>
      <c r="D76" s="33"/>
      <c r="E76" s="12" t="s">
        <v>32</v>
      </c>
      <c r="F76" s="12" t="s">
        <v>69</v>
      </c>
      <c r="G76" s="33"/>
      <c r="H76" s="33"/>
      <c r="I76" s="33"/>
      <c r="J76" s="12" t="s">
        <v>33</v>
      </c>
      <c r="K76" s="33">
        <v>4</v>
      </c>
      <c r="L76" s="33">
        <v>6</v>
      </c>
      <c r="M76" s="33"/>
      <c r="N76" s="33">
        <v>3</v>
      </c>
      <c r="O76" s="33">
        <v>8</v>
      </c>
      <c r="P76" s="33">
        <v>11</v>
      </c>
      <c r="Q76" s="33">
        <v>16</v>
      </c>
      <c r="R76" s="33">
        <v>17</v>
      </c>
      <c r="S76" s="33">
        <v>19</v>
      </c>
      <c r="T76" s="33">
        <v>19</v>
      </c>
      <c r="U76" s="1">
        <v>24</v>
      </c>
      <c r="V76" s="1">
        <v>24</v>
      </c>
      <c r="W76" s="33">
        <v>25</v>
      </c>
      <c r="X76" s="33" t="str">
        <f>CONCATENATE(LOWER(SUBSTITUTE(SUBSTITUTE(B76," ","_"), ".", "")), ".png")</f>
        <v>dan_straily.png</v>
      </c>
      <c r="Y76" s="33" t="s">
        <v>231</v>
      </c>
      <c r="Z76" s="33" t="str">
        <f>RIGHT(B76, LEN(B76)-SEARCH(" ", B76, 1))</f>
        <v>Straily</v>
      </c>
    </row>
    <row r="77" spans="1:26" x14ac:dyDescent="0.25">
      <c r="A77" s="33">
        <f>A76+1</f>
        <v>14076</v>
      </c>
      <c r="B77" s="21" t="s">
        <v>184</v>
      </c>
      <c r="C77" s="4" t="s">
        <v>150</v>
      </c>
      <c r="D77" s="4"/>
      <c r="E77" s="10" t="s">
        <v>44</v>
      </c>
      <c r="F77" s="10" t="s">
        <v>41</v>
      </c>
      <c r="G77" s="10">
        <v>2</v>
      </c>
      <c r="H77" s="10"/>
      <c r="I77" s="10"/>
      <c r="J77" s="10" t="s">
        <v>33</v>
      </c>
      <c r="K77" s="33">
        <v>11</v>
      </c>
      <c r="L77" s="11">
        <v>15</v>
      </c>
      <c r="M77" s="33"/>
      <c r="N77" s="33">
        <v>0</v>
      </c>
      <c r="O77" s="33">
        <v>1</v>
      </c>
      <c r="P77" s="33">
        <v>3</v>
      </c>
      <c r="Q77" s="33">
        <v>6</v>
      </c>
      <c r="R77" s="33">
        <v>10</v>
      </c>
      <c r="S77" s="33">
        <v>14</v>
      </c>
      <c r="T77" s="33">
        <v>15</v>
      </c>
      <c r="U77" s="33">
        <v>17</v>
      </c>
      <c r="V77" s="33">
        <v>17</v>
      </c>
      <c r="W77" s="33">
        <v>18</v>
      </c>
      <c r="X77" s="33" t="str">
        <f>CONCATENATE(LOWER(SUBSTITUTE(SUBSTITUTE(B77," ","_"), ".", "")), ".png")</f>
        <v>jose_bautista.png</v>
      </c>
      <c r="Y77" s="33" t="s">
        <v>229</v>
      </c>
      <c r="Z77" s="33" t="str">
        <f>RIGHT(B77, LEN(B77)-SEARCH(" ", B77, 1))</f>
        <v>Bautista</v>
      </c>
    </row>
    <row r="78" spans="1:26" x14ac:dyDescent="0.25">
      <c r="A78" s="33">
        <f>A77+1</f>
        <v>14077</v>
      </c>
      <c r="B78" s="21" t="s">
        <v>198</v>
      </c>
      <c r="C78" s="1" t="s">
        <v>150</v>
      </c>
      <c r="D78" s="33"/>
      <c r="E78" s="12" t="s">
        <v>32</v>
      </c>
      <c r="F78" s="12" t="s">
        <v>69</v>
      </c>
      <c r="G78" s="33"/>
      <c r="H78" s="33"/>
      <c r="I78" s="33"/>
      <c r="J78" s="12" t="s">
        <v>42</v>
      </c>
      <c r="K78" s="33">
        <v>3</v>
      </c>
      <c r="L78" s="33">
        <v>6</v>
      </c>
      <c r="M78" s="33"/>
      <c r="N78" s="33">
        <v>1</v>
      </c>
      <c r="O78" s="33">
        <v>4</v>
      </c>
      <c r="P78" s="33">
        <v>11</v>
      </c>
      <c r="Q78" s="33">
        <v>16</v>
      </c>
      <c r="R78" s="33">
        <v>17</v>
      </c>
      <c r="S78" s="33">
        <v>19</v>
      </c>
      <c r="T78" s="33">
        <v>19</v>
      </c>
      <c r="U78" s="30">
        <v>23</v>
      </c>
      <c r="V78" s="30">
        <v>23</v>
      </c>
      <c r="W78" s="33">
        <v>24</v>
      </c>
      <c r="X78" s="33" t="str">
        <f>CONCATENATE(LOWER(SUBSTITUTE(SUBSTITUTE(B78," ","_"), ".", "")), ".png")</f>
        <v>mark_buehrle.png</v>
      </c>
      <c r="Y78" s="33" t="s">
        <v>231</v>
      </c>
      <c r="Z78" s="33" t="str">
        <f>RIGHT(B78, LEN(B78)-SEARCH(" ", B78, 1))</f>
        <v>Buehrle</v>
      </c>
    </row>
    <row r="79" spans="1:26" x14ac:dyDescent="0.25">
      <c r="A79" s="33">
        <f>A78+1</f>
        <v>14078</v>
      </c>
      <c r="B79" s="21" t="s">
        <v>186</v>
      </c>
      <c r="C79" s="4" t="s">
        <v>150</v>
      </c>
      <c r="D79" s="4"/>
      <c r="E79" s="10" t="s">
        <v>32</v>
      </c>
      <c r="F79" s="10" t="s">
        <v>41</v>
      </c>
      <c r="G79" s="10">
        <v>2</v>
      </c>
      <c r="H79" s="10"/>
      <c r="I79" s="10"/>
      <c r="J79" s="10" t="s">
        <v>38</v>
      </c>
      <c r="K79" s="33">
        <v>10</v>
      </c>
      <c r="L79" s="11">
        <v>12</v>
      </c>
      <c r="M79" s="33"/>
      <c r="N79" s="33">
        <v>0</v>
      </c>
      <c r="O79" s="33">
        <v>1</v>
      </c>
      <c r="P79" s="33">
        <v>4</v>
      </c>
      <c r="Q79" s="33">
        <v>6</v>
      </c>
      <c r="R79" s="33">
        <v>9</v>
      </c>
      <c r="S79" s="33">
        <v>17</v>
      </c>
      <c r="T79" s="33">
        <v>17</v>
      </c>
      <c r="U79" s="33">
        <v>19</v>
      </c>
      <c r="V79" s="33">
        <v>20</v>
      </c>
      <c r="W79" s="33">
        <v>21</v>
      </c>
      <c r="X79" s="33" t="str">
        <f>CONCATENATE(LOWER(SUBSTITUTE(SUBSTITUTE(B79," ","_"), ".", "")), ".png")</f>
        <v>melky_cabrera.png</v>
      </c>
      <c r="Y79" s="33" t="s">
        <v>229</v>
      </c>
      <c r="Z79" s="33" t="str">
        <f>RIGHT(B79, LEN(B79)-SEARCH(" ", B79, 1))</f>
        <v>Cabrera</v>
      </c>
    </row>
    <row r="80" spans="1:26" x14ac:dyDescent="0.25">
      <c r="A80" s="33">
        <f>A79+1</f>
        <v>14079</v>
      </c>
      <c r="B80" s="21" t="s">
        <v>204</v>
      </c>
      <c r="C80" s="1" t="s">
        <v>150</v>
      </c>
      <c r="D80" s="33">
        <v>220</v>
      </c>
      <c r="E80" s="12" t="s">
        <v>32</v>
      </c>
      <c r="F80" s="12" t="s">
        <v>85</v>
      </c>
      <c r="G80" s="33"/>
      <c r="H80" s="33"/>
      <c r="I80" s="33"/>
      <c r="J80" s="12" t="s">
        <v>42</v>
      </c>
      <c r="K80" s="33">
        <v>6</v>
      </c>
      <c r="L80" s="33">
        <v>1</v>
      </c>
      <c r="M80" s="33"/>
      <c r="N80" s="33">
        <v>0</v>
      </c>
      <c r="O80" s="33">
        <v>6</v>
      </c>
      <c r="P80" s="33">
        <v>13</v>
      </c>
      <c r="Q80" s="33">
        <v>17</v>
      </c>
      <c r="R80" s="33">
        <v>18</v>
      </c>
      <c r="S80" s="33">
        <v>19</v>
      </c>
      <c r="T80" s="33">
        <v>19</v>
      </c>
      <c r="U80" s="30">
        <v>26</v>
      </c>
      <c r="V80" s="30">
        <v>26</v>
      </c>
      <c r="W80" s="33">
        <v>27</v>
      </c>
      <c r="X80" s="33" t="str">
        <f>CONCATENATE(LOWER(SUBSTITUTE(SUBSTITUTE(B80," ","_"), ".", "")), ".png")</f>
        <v>brett_cecil.png</v>
      </c>
      <c r="Y80" s="33" t="s">
        <v>231</v>
      </c>
      <c r="Z80" s="33" t="str">
        <f>RIGHT(B80, LEN(B80)-SEARCH(" ", B80, 1))</f>
        <v>Cecil</v>
      </c>
    </row>
    <row r="81" spans="1:26" x14ac:dyDescent="0.25">
      <c r="A81" s="33">
        <f>A80+1</f>
        <v>14080</v>
      </c>
      <c r="B81" s="21" t="s">
        <v>197</v>
      </c>
      <c r="C81" s="1" t="s">
        <v>150</v>
      </c>
      <c r="D81" s="33"/>
      <c r="E81" s="12" t="s">
        <v>32</v>
      </c>
      <c r="F81" s="12" t="s">
        <v>69</v>
      </c>
      <c r="G81" s="33"/>
      <c r="H81" s="33"/>
      <c r="I81" s="33"/>
      <c r="J81" s="12" t="s">
        <v>33</v>
      </c>
      <c r="K81" s="33">
        <v>4</v>
      </c>
      <c r="L81" s="33">
        <v>7</v>
      </c>
      <c r="M81" s="33"/>
      <c r="N81" s="33">
        <v>2</v>
      </c>
      <c r="O81" s="33">
        <v>6</v>
      </c>
      <c r="P81" s="33">
        <v>11</v>
      </c>
      <c r="Q81" s="33">
        <v>16</v>
      </c>
      <c r="R81" s="33">
        <v>17</v>
      </c>
      <c r="S81" s="33">
        <v>19</v>
      </c>
      <c r="T81" s="33">
        <v>19</v>
      </c>
      <c r="U81" s="1">
        <v>21</v>
      </c>
      <c r="V81" s="1">
        <v>21</v>
      </c>
      <c r="W81" s="33">
        <v>22</v>
      </c>
      <c r="X81" s="33" t="str">
        <f>CONCATENATE(LOWER(SUBSTITUTE(SUBSTITUTE(B81," ","_"), ".", "")), ".png")</f>
        <v>ra_dickey.png</v>
      </c>
      <c r="Y81" s="33" t="s">
        <v>231</v>
      </c>
      <c r="Z81" s="33" t="str">
        <f>RIGHT(B81, LEN(B81)-SEARCH(" ", B81, 1))</f>
        <v>Dickey</v>
      </c>
    </row>
    <row r="82" spans="1:26" x14ac:dyDescent="0.25">
      <c r="A82" s="33">
        <f>A81+1</f>
        <v>14081</v>
      </c>
      <c r="B82" s="21" t="s">
        <v>185</v>
      </c>
      <c r="C82" s="4" t="s">
        <v>150</v>
      </c>
      <c r="D82" s="4"/>
      <c r="E82" s="10" t="s">
        <v>44</v>
      </c>
      <c r="F82" s="10" t="s">
        <v>5</v>
      </c>
      <c r="G82" s="10">
        <v>0</v>
      </c>
      <c r="H82" s="10" t="s">
        <v>7</v>
      </c>
      <c r="I82" s="10">
        <v>1</v>
      </c>
      <c r="J82" s="10" t="s">
        <v>33</v>
      </c>
      <c r="K82" s="33">
        <v>12</v>
      </c>
      <c r="L82" s="11">
        <v>14</v>
      </c>
      <c r="M82" s="33"/>
      <c r="N82" s="33">
        <v>0</v>
      </c>
      <c r="O82" s="33">
        <v>1</v>
      </c>
      <c r="P82" s="33">
        <v>3</v>
      </c>
      <c r="Q82" s="33">
        <v>6</v>
      </c>
      <c r="R82" s="33">
        <v>10</v>
      </c>
      <c r="S82" s="33">
        <v>14</v>
      </c>
      <c r="T82" s="33">
        <v>15</v>
      </c>
      <c r="U82" s="33">
        <v>17</v>
      </c>
      <c r="V82" s="33">
        <v>17</v>
      </c>
      <c r="W82" s="33">
        <v>18</v>
      </c>
      <c r="X82" s="33" t="str">
        <f>CONCATENATE(LOWER(SUBSTITUTE(SUBSTITUTE(B82," ","_"), ".", "")), ".png")</f>
        <v>edwin_encarnacion.png</v>
      </c>
      <c r="Y82" s="33" t="s">
        <v>229</v>
      </c>
      <c r="Z82" s="33" t="str">
        <f>RIGHT(B82, LEN(B82)-SEARCH(" ", B82, 1))</f>
        <v>Encarnacion</v>
      </c>
    </row>
    <row r="83" spans="1:26" x14ac:dyDescent="0.25">
      <c r="A83" s="33">
        <f>A82+1</f>
        <v>14082</v>
      </c>
      <c r="B83" s="21" t="s">
        <v>189</v>
      </c>
      <c r="C83" s="4" t="s">
        <v>150</v>
      </c>
      <c r="D83" s="4"/>
      <c r="E83" s="10" t="s">
        <v>32</v>
      </c>
      <c r="F83" s="10" t="s">
        <v>7</v>
      </c>
      <c r="G83" s="10">
        <v>0</v>
      </c>
      <c r="H83" s="10"/>
      <c r="I83" s="10"/>
      <c r="J83" s="10" t="s">
        <v>42</v>
      </c>
      <c r="K83" s="33">
        <v>9</v>
      </c>
      <c r="L83" s="11">
        <v>8</v>
      </c>
      <c r="M83" s="33"/>
      <c r="N83" s="33">
        <v>0</v>
      </c>
      <c r="O83" s="33">
        <v>3</v>
      </c>
      <c r="P83" s="33">
        <v>5</v>
      </c>
      <c r="Q83" s="33">
        <v>7</v>
      </c>
      <c r="R83" s="33">
        <v>11</v>
      </c>
      <c r="S83" s="33">
        <v>16</v>
      </c>
      <c r="T83" s="33">
        <v>16</v>
      </c>
      <c r="U83" s="33">
        <v>18</v>
      </c>
      <c r="V83" s="33">
        <v>18</v>
      </c>
      <c r="W83" s="33">
        <v>19</v>
      </c>
      <c r="X83" s="33" t="str">
        <f>CONCATENATE(LOWER(SUBSTITUTE(SUBSTITUTE(B83," ","_"), ".", "")), ".png")</f>
        <v>juan_francisco.png</v>
      </c>
      <c r="Y83" s="33" t="s">
        <v>229</v>
      </c>
      <c r="Z83" s="33" t="str">
        <f>RIGHT(B83, LEN(B83)-SEARCH(" ", B83, 1))</f>
        <v>Francisco</v>
      </c>
    </row>
    <row r="84" spans="1:26" x14ac:dyDescent="0.25">
      <c r="A84" s="33">
        <f>A83+1</f>
        <v>14083</v>
      </c>
      <c r="B84" s="22" t="s">
        <v>193</v>
      </c>
      <c r="C84" s="4" t="s">
        <v>150</v>
      </c>
      <c r="D84" s="4"/>
      <c r="E84" s="10" t="s">
        <v>32</v>
      </c>
      <c r="F84" s="10" t="s">
        <v>6</v>
      </c>
      <c r="G84" s="10">
        <v>3</v>
      </c>
      <c r="H84" s="10"/>
      <c r="I84" s="10"/>
      <c r="J84" s="10" t="s">
        <v>42</v>
      </c>
      <c r="K84" s="33">
        <v>9</v>
      </c>
      <c r="L84" s="11">
        <v>8</v>
      </c>
      <c r="M84" s="33"/>
      <c r="N84" s="33">
        <v>0</v>
      </c>
      <c r="O84" s="33">
        <v>2</v>
      </c>
      <c r="P84" s="33">
        <v>5</v>
      </c>
      <c r="Q84" s="33">
        <v>6</v>
      </c>
      <c r="R84" s="33">
        <v>7</v>
      </c>
      <c r="S84" s="33">
        <v>17</v>
      </c>
      <c r="T84" s="33">
        <v>17</v>
      </c>
      <c r="U84" s="33">
        <v>19</v>
      </c>
      <c r="V84" s="33">
        <v>19</v>
      </c>
      <c r="W84" s="33">
        <v>20</v>
      </c>
      <c r="X84" s="33" t="str">
        <f>CONCATENATE(LOWER(SUBSTITUTE(SUBSTITUTE(B84," ","_"), ".", "")), ".png")</f>
        <v>ryan_goins.png</v>
      </c>
      <c r="Y84" s="33" t="s">
        <v>229</v>
      </c>
      <c r="Z84" s="33" t="str">
        <f>RIGHT(B84, LEN(B84)-SEARCH(" ", B84, 1))</f>
        <v>Goins</v>
      </c>
    </row>
    <row r="85" spans="1:26" x14ac:dyDescent="0.25">
      <c r="A85" s="33">
        <f>A84+1</f>
        <v>14084</v>
      </c>
      <c r="B85" s="22" t="s">
        <v>194</v>
      </c>
      <c r="C85" s="4" t="s">
        <v>150</v>
      </c>
      <c r="D85" s="4"/>
      <c r="E85" s="10" t="s">
        <v>32</v>
      </c>
      <c r="F85" s="10" t="s">
        <v>56</v>
      </c>
      <c r="G85" s="10">
        <v>1</v>
      </c>
      <c r="H85" s="10"/>
      <c r="I85" s="10"/>
      <c r="J85" s="10" t="s">
        <v>42</v>
      </c>
      <c r="K85" s="33">
        <v>9</v>
      </c>
      <c r="L85" s="11">
        <v>16</v>
      </c>
      <c r="M85" s="33"/>
      <c r="N85" s="33">
        <v>0</v>
      </c>
      <c r="O85" s="33">
        <v>2</v>
      </c>
      <c r="P85" s="33">
        <v>5</v>
      </c>
      <c r="Q85" s="33">
        <v>6</v>
      </c>
      <c r="R85" s="33">
        <v>8</v>
      </c>
      <c r="S85" s="33">
        <v>16</v>
      </c>
      <c r="T85" s="33">
        <v>16</v>
      </c>
      <c r="U85" s="33">
        <v>18</v>
      </c>
      <c r="V85" s="33">
        <v>20</v>
      </c>
      <c r="W85" s="33">
        <v>21</v>
      </c>
      <c r="X85" s="33" t="str">
        <f>CONCATENATE(LOWER(SUBSTITUTE(SUBSTITUTE(B85," ","_"), ".", "")), ".png")</f>
        <v>anthony_gose.png</v>
      </c>
      <c r="Y85" s="33" t="s">
        <v>229</v>
      </c>
      <c r="Z85" s="33" t="str">
        <f>RIGHT(B85, LEN(B85)-SEARCH(" ", B85, 1))</f>
        <v>Gose</v>
      </c>
    </row>
    <row r="86" spans="1:26" x14ac:dyDescent="0.25">
      <c r="A86" s="33">
        <f>A85+1</f>
        <v>14085</v>
      </c>
      <c r="B86" s="21" t="s">
        <v>200</v>
      </c>
      <c r="C86" s="1" t="s">
        <v>150</v>
      </c>
      <c r="D86" s="33"/>
      <c r="E86" s="12" t="s">
        <v>32</v>
      </c>
      <c r="F86" s="12" t="s">
        <v>69</v>
      </c>
      <c r="G86" s="33"/>
      <c r="H86" s="33"/>
      <c r="I86" s="33"/>
      <c r="J86" s="12" t="s">
        <v>42</v>
      </c>
      <c r="K86" s="33">
        <v>2</v>
      </c>
      <c r="L86" s="33">
        <v>5</v>
      </c>
      <c r="M86" s="33"/>
      <c r="N86" s="33">
        <v>1</v>
      </c>
      <c r="O86" s="33">
        <v>5</v>
      </c>
      <c r="P86" s="33">
        <v>10</v>
      </c>
      <c r="Q86" s="33">
        <v>15</v>
      </c>
      <c r="R86" s="33">
        <v>17</v>
      </c>
      <c r="S86" s="33">
        <v>19</v>
      </c>
      <c r="T86" s="33">
        <v>19</v>
      </c>
      <c r="U86" s="30">
        <v>24</v>
      </c>
      <c r="V86" s="30">
        <v>24</v>
      </c>
      <c r="W86" s="33">
        <v>25</v>
      </c>
      <c r="X86" s="33" t="str">
        <f>CONCATENATE(LOWER(SUBSTITUTE(SUBSTITUTE(B86," ","_"), ".", "")), ".png")</f>
        <v>ja_happ.png</v>
      </c>
      <c r="Y86" s="33" t="s">
        <v>231</v>
      </c>
      <c r="Z86" s="33" t="str">
        <f>RIGHT(B86, LEN(B86)-SEARCH(" ", B86, 1))</f>
        <v>Happ</v>
      </c>
    </row>
    <row r="87" spans="1:26" x14ac:dyDescent="0.25">
      <c r="A87" s="33">
        <f>A86+1</f>
        <v>14086</v>
      </c>
      <c r="B87" s="21" t="s">
        <v>199</v>
      </c>
      <c r="C87" s="1" t="s">
        <v>150</v>
      </c>
      <c r="D87" s="33"/>
      <c r="E87" s="12" t="s">
        <v>32</v>
      </c>
      <c r="F87" s="12" t="s">
        <v>69</v>
      </c>
      <c r="G87" s="33"/>
      <c r="H87" s="33"/>
      <c r="I87" s="33"/>
      <c r="J87" s="12" t="s">
        <v>33</v>
      </c>
      <c r="K87" s="33">
        <v>3</v>
      </c>
      <c r="L87" s="33">
        <v>5</v>
      </c>
      <c r="M87" s="33"/>
      <c r="N87" s="33">
        <v>0</v>
      </c>
      <c r="O87" s="33">
        <v>6</v>
      </c>
      <c r="P87" s="33">
        <v>11</v>
      </c>
      <c r="Q87" s="33">
        <v>15</v>
      </c>
      <c r="R87" s="33">
        <v>17</v>
      </c>
      <c r="S87" s="33">
        <v>19</v>
      </c>
      <c r="T87" s="33">
        <v>19</v>
      </c>
      <c r="U87" s="30">
        <v>22</v>
      </c>
      <c r="V87" s="30">
        <v>22</v>
      </c>
      <c r="W87" s="33">
        <v>23</v>
      </c>
      <c r="X87" s="33" t="str">
        <f>CONCATENATE(LOWER(SUBSTITUTE(SUBSTITUTE(B87," ","_"), ".", "")), ".png")</f>
        <v>drew_hutchison.png</v>
      </c>
      <c r="Y87" s="33" t="s">
        <v>231</v>
      </c>
      <c r="Z87" s="33" t="str">
        <f>RIGHT(B87, LEN(B87)-SEARCH(" ", B87, 1))</f>
        <v>Hutchison</v>
      </c>
    </row>
    <row r="88" spans="1:26" x14ac:dyDescent="0.25">
      <c r="A88" s="33">
        <f>A87+1</f>
        <v>14087</v>
      </c>
      <c r="B88" s="21" t="s">
        <v>202</v>
      </c>
      <c r="C88" s="1" t="s">
        <v>150</v>
      </c>
      <c r="D88" s="33">
        <v>250</v>
      </c>
      <c r="E88" s="12" t="s">
        <v>44</v>
      </c>
      <c r="F88" s="12" t="s">
        <v>85</v>
      </c>
      <c r="G88" s="33"/>
      <c r="H88" s="33"/>
      <c r="I88" s="33"/>
      <c r="J88" s="12" t="s">
        <v>33</v>
      </c>
      <c r="K88" s="33">
        <v>6</v>
      </c>
      <c r="L88" s="33">
        <v>1</v>
      </c>
      <c r="M88" s="33"/>
      <c r="N88" s="33">
        <v>0</v>
      </c>
      <c r="O88" s="33">
        <v>5</v>
      </c>
      <c r="P88" s="33">
        <v>12</v>
      </c>
      <c r="Q88" s="33">
        <v>17</v>
      </c>
      <c r="R88" s="33">
        <v>18</v>
      </c>
      <c r="S88" s="33">
        <v>20</v>
      </c>
      <c r="T88" s="33">
        <v>20</v>
      </c>
      <c r="U88" s="30">
        <v>26</v>
      </c>
      <c r="V88" s="30">
        <v>26</v>
      </c>
      <c r="W88" s="33">
        <v>27</v>
      </c>
      <c r="X88" s="33" t="str">
        <f>CONCATENATE(LOWER(SUBSTITUTE(SUBSTITUTE(B88," ","_"), ".", "")), ".png")</f>
        <v>casey_janssen.png</v>
      </c>
      <c r="Y88" s="33" t="s">
        <v>231</v>
      </c>
      <c r="Z88" s="33" t="str">
        <f>RIGHT(B88, LEN(B88)-SEARCH(" ", B88, 1))</f>
        <v>Janssen</v>
      </c>
    </row>
    <row r="89" spans="1:26" x14ac:dyDescent="0.25">
      <c r="A89" s="33">
        <f>A88+1</f>
        <v>14088</v>
      </c>
      <c r="B89" s="22" t="s">
        <v>209</v>
      </c>
      <c r="C89" s="4" t="s">
        <v>150</v>
      </c>
      <c r="D89" s="4"/>
      <c r="E89" s="10" t="s">
        <v>32</v>
      </c>
      <c r="F89" s="10" t="s">
        <v>32</v>
      </c>
      <c r="G89" s="10">
        <v>4</v>
      </c>
      <c r="H89" s="10"/>
      <c r="I89" s="10"/>
      <c r="J89" s="10" t="s">
        <v>33</v>
      </c>
      <c r="K89" s="33">
        <v>9</v>
      </c>
      <c r="L89" s="11">
        <v>8</v>
      </c>
      <c r="M89" s="33"/>
      <c r="N89" s="33">
        <v>0</v>
      </c>
      <c r="O89" s="33">
        <v>2</v>
      </c>
      <c r="P89" s="33">
        <v>5</v>
      </c>
      <c r="Q89" s="33">
        <v>7</v>
      </c>
      <c r="R89" s="33">
        <v>12</v>
      </c>
      <c r="S89" s="33">
        <v>17</v>
      </c>
      <c r="T89" s="33">
        <v>17</v>
      </c>
      <c r="U89" s="33">
        <v>18</v>
      </c>
      <c r="V89" s="33">
        <v>18</v>
      </c>
      <c r="W89" s="33">
        <v>19</v>
      </c>
      <c r="X89" s="33" t="str">
        <f>CONCATENATE(LOWER(SUBSTITUTE(SUBSTITUTE(B89," ","_"), ".", "")), ".png")</f>
        <v>erik_kratz.png</v>
      </c>
      <c r="Y89" s="33" t="s">
        <v>229</v>
      </c>
      <c r="Z89" s="33" t="str">
        <f>RIGHT(B89, LEN(B89)-SEARCH(" ", B89, 1))</f>
        <v>Kratz</v>
      </c>
    </row>
    <row r="90" spans="1:26" x14ac:dyDescent="0.25">
      <c r="A90" s="33">
        <f>A89+1</f>
        <v>14089</v>
      </c>
      <c r="B90" s="21" t="s">
        <v>187</v>
      </c>
      <c r="C90" s="4" t="s">
        <v>150</v>
      </c>
      <c r="D90" s="4"/>
      <c r="E90" s="10" t="s">
        <v>32</v>
      </c>
      <c r="F90" s="10" t="s">
        <v>7</v>
      </c>
      <c r="G90" s="10">
        <v>2</v>
      </c>
      <c r="H90" s="10"/>
      <c r="I90" s="10"/>
      <c r="J90" s="10" t="s">
        <v>33</v>
      </c>
      <c r="K90" s="33">
        <v>10</v>
      </c>
      <c r="L90" s="11">
        <v>16</v>
      </c>
      <c r="M90" s="33"/>
      <c r="N90" s="33">
        <v>0</v>
      </c>
      <c r="O90" s="33">
        <v>1</v>
      </c>
      <c r="P90" s="33">
        <v>4</v>
      </c>
      <c r="Q90" s="33">
        <v>6</v>
      </c>
      <c r="R90" s="33">
        <v>10</v>
      </c>
      <c r="S90" s="33">
        <v>16</v>
      </c>
      <c r="T90" s="33">
        <v>16</v>
      </c>
      <c r="U90" s="33">
        <v>18</v>
      </c>
      <c r="V90" s="33">
        <v>19</v>
      </c>
      <c r="W90" s="33">
        <v>20</v>
      </c>
      <c r="X90" s="33" t="str">
        <f>CONCATENATE(LOWER(SUBSTITUTE(SUBSTITUTE(B90," ","_"), ".", "")), ".png")</f>
        <v>brett_lawrie.png</v>
      </c>
      <c r="Y90" s="33" t="s">
        <v>229</v>
      </c>
      <c r="Z90" s="33" t="str">
        <f>RIGHT(B90, LEN(B90)-SEARCH(" ", B90, 1))</f>
        <v>Lawrie</v>
      </c>
    </row>
    <row r="91" spans="1:26" x14ac:dyDescent="0.25">
      <c r="A91" s="33">
        <f>A90+1</f>
        <v>14090</v>
      </c>
      <c r="B91" s="21" t="s">
        <v>191</v>
      </c>
      <c r="C91" s="4" t="s">
        <v>150</v>
      </c>
      <c r="D91" s="4"/>
      <c r="E91" s="10" t="s">
        <v>32</v>
      </c>
      <c r="F91" s="10" t="s">
        <v>5</v>
      </c>
      <c r="G91" s="10">
        <v>0</v>
      </c>
      <c r="H91" s="10"/>
      <c r="I91" s="10"/>
      <c r="J91" s="10" t="s">
        <v>42</v>
      </c>
      <c r="K91" s="33">
        <v>11</v>
      </c>
      <c r="L91" s="11">
        <v>9</v>
      </c>
      <c r="M91" s="33"/>
      <c r="N91" s="33">
        <v>0</v>
      </c>
      <c r="O91" s="33">
        <v>1</v>
      </c>
      <c r="P91" s="33">
        <v>4</v>
      </c>
      <c r="Q91" s="33">
        <v>6</v>
      </c>
      <c r="R91" s="33">
        <v>10</v>
      </c>
      <c r="S91" s="33">
        <v>16</v>
      </c>
      <c r="T91" s="33">
        <v>16</v>
      </c>
      <c r="U91" s="33">
        <v>18</v>
      </c>
      <c r="V91" s="33">
        <v>18</v>
      </c>
      <c r="W91" s="33">
        <v>19</v>
      </c>
      <c r="X91" s="33" t="str">
        <f>CONCATENATE(LOWER(SUBSTITUTE(SUBSTITUTE(B91," ","_"), ".", "")), ".png")</f>
        <v>adam_lind.png</v>
      </c>
      <c r="Y91" s="33" t="s">
        <v>229</v>
      </c>
      <c r="Z91" s="33" t="str">
        <f>RIGHT(B91, LEN(B91)-SEARCH(" ", B91, 1))</f>
        <v>Lind</v>
      </c>
    </row>
    <row r="92" spans="1:26" x14ac:dyDescent="0.25">
      <c r="A92" s="33">
        <f>A91+1</f>
        <v>14091</v>
      </c>
      <c r="B92" s="21" t="s">
        <v>203</v>
      </c>
      <c r="C92" s="1" t="s">
        <v>150</v>
      </c>
      <c r="D92" s="33">
        <v>200</v>
      </c>
      <c r="E92" s="12" t="s">
        <v>32</v>
      </c>
      <c r="F92" s="12" t="s">
        <v>85</v>
      </c>
      <c r="G92" s="33"/>
      <c r="H92" s="33"/>
      <c r="I92" s="33"/>
      <c r="J92" s="12" t="s">
        <v>42</v>
      </c>
      <c r="K92" s="33">
        <v>5</v>
      </c>
      <c r="L92" s="33">
        <v>1</v>
      </c>
      <c r="M92" s="33"/>
      <c r="N92" s="33">
        <v>0</v>
      </c>
      <c r="O92" s="33">
        <v>4</v>
      </c>
      <c r="P92" s="33">
        <v>13</v>
      </c>
      <c r="Q92" s="33">
        <v>17</v>
      </c>
      <c r="R92" s="33">
        <v>18</v>
      </c>
      <c r="S92" s="33">
        <v>21</v>
      </c>
      <c r="T92" s="33">
        <v>21</v>
      </c>
      <c r="U92" s="30">
        <v>26</v>
      </c>
      <c r="V92" s="30">
        <v>26</v>
      </c>
      <c r="W92" s="33">
        <v>27</v>
      </c>
      <c r="X92" s="33" t="str">
        <f>CONCATENATE(LOWER(SUBSTITUTE(SUBSTITUTE(B92," ","_"), ".", "")), ".png")</f>
        <v>aaron_loup.png</v>
      </c>
      <c r="Y92" s="33" t="s">
        <v>231</v>
      </c>
      <c r="Z92" s="33" t="str">
        <f>RIGHT(B92, LEN(B92)-SEARCH(" ", B92, 1))</f>
        <v>Loup</v>
      </c>
    </row>
    <row r="93" spans="1:26" x14ac:dyDescent="0.25">
      <c r="A93" s="33">
        <f>A92+1</f>
        <v>14092</v>
      </c>
      <c r="B93" s="21" t="s">
        <v>205</v>
      </c>
      <c r="C93" s="1" t="s">
        <v>150</v>
      </c>
      <c r="D93" s="33"/>
      <c r="E93" s="12" t="s">
        <v>32</v>
      </c>
      <c r="F93" s="12" t="s">
        <v>85</v>
      </c>
      <c r="G93" s="33"/>
      <c r="H93" s="33"/>
      <c r="I93" s="33"/>
      <c r="J93" s="12" t="s">
        <v>33</v>
      </c>
      <c r="K93" s="33">
        <v>4</v>
      </c>
      <c r="L93" s="33">
        <v>1</v>
      </c>
      <c r="M93" s="33"/>
      <c r="N93" s="33">
        <v>1</v>
      </c>
      <c r="O93" s="33">
        <v>6</v>
      </c>
      <c r="P93" s="33">
        <v>12</v>
      </c>
      <c r="Q93" s="33">
        <v>17</v>
      </c>
      <c r="R93" s="33">
        <v>18</v>
      </c>
      <c r="S93" s="33">
        <v>19</v>
      </c>
      <c r="T93" s="33">
        <v>19</v>
      </c>
      <c r="U93" s="30">
        <v>25</v>
      </c>
      <c r="V93" s="30">
        <v>25</v>
      </c>
      <c r="W93" s="33">
        <v>26</v>
      </c>
      <c r="X93" s="33" t="str">
        <f>CONCATENATE(LOWER(SUBSTITUTE(SUBSTITUTE(B93," ","_"), ".", "")), ".png")</f>
        <v>dustin_mcgowan.png</v>
      </c>
      <c r="Y93" s="33" t="s">
        <v>231</v>
      </c>
      <c r="Z93" s="33" t="str">
        <f>RIGHT(B93, LEN(B93)-SEARCH(" ", B93, 1))</f>
        <v>McGowan</v>
      </c>
    </row>
    <row r="94" spans="1:26" x14ac:dyDescent="0.25">
      <c r="A94" s="33">
        <f>A93+1</f>
        <v>14093</v>
      </c>
      <c r="B94" s="21" t="s">
        <v>201</v>
      </c>
      <c r="C94" s="1" t="s">
        <v>150</v>
      </c>
      <c r="D94" s="33"/>
      <c r="E94" s="12" t="s">
        <v>32</v>
      </c>
      <c r="F94" s="12" t="s">
        <v>69</v>
      </c>
      <c r="G94" s="33"/>
      <c r="H94" s="33"/>
      <c r="I94" s="33"/>
      <c r="J94" s="12" t="s">
        <v>33</v>
      </c>
      <c r="K94" s="33">
        <v>2</v>
      </c>
      <c r="L94" s="33">
        <v>5</v>
      </c>
      <c r="M94" s="33"/>
      <c r="N94" s="33">
        <v>1</v>
      </c>
      <c r="O94" s="33">
        <v>4</v>
      </c>
      <c r="P94" s="33">
        <v>9</v>
      </c>
      <c r="Q94" s="33">
        <v>15</v>
      </c>
      <c r="R94" s="33">
        <v>16</v>
      </c>
      <c r="S94" s="33">
        <v>19</v>
      </c>
      <c r="T94" s="33">
        <v>19</v>
      </c>
      <c r="U94" s="30">
        <v>20</v>
      </c>
      <c r="V94" s="30">
        <v>20</v>
      </c>
      <c r="W94" s="33">
        <v>21</v>
      </c>
      <c r="X94" s="33" t="str">
        <f>CONCATENATE(LOWER(SUBSTITUTE(SUBSTITUTE(B94," ","_"), ".", "")), ".png")</f>
        <v>brandon_morrow.png</v>
      </c>
      <c r="Y94" s="33" t="s">
        <v>231</v>
      </c>
      <c r="Z94" s="33" t="str">
        <f>RIGHT(B94, LEN(B94)-SEARCH(" ", B94, 1))</f>
        <v>Morrow</v>
      </c>
    </row>
    <row r="95" spans="1:26" x14ac:dyDescent="0.25">
      <c r="A95" s="33">
        <f>A94+1</f>
        <v>14094</v>
      </c>
      <c r="B95" s="21" t="s">
        <v>195</v>
      </c>
      <c r="C95" s="4" t="s">
        <v>150</v>
      </c>
      <c r="D95" s="4"/>
      <c r="E95" s="10" t="s">
        <v>32</v>
      </c>
      <c r="F95" s="10" t="s">
        <v>32</v>
      </c>
      <c r="G95" s="10">
        <v>5</v>
      </c>
      <c r="H95" s="10"/>
      <c r="I95" s="10"/>
      <c r="J95" s="10" t="s">
        <v>38</v>
      </c>
      <c r="K95" s="33">
        <v>12</v>
      </c>
      <c r="L95" s="11">
        <v>8</v>
      </c>
      <c r="M95" s="33"/>
      <c r="N95" s="33">
        <v>0</v>
      </c>
      <c r="O95" s="33">
        <v>1</v>
      </c>
      <c r="P95" s="33">
        <v>3</v>
      </c>
      <c r="Q95" s="33">
        <v>5</v>
      </c>
      <c r="R95" s="33">
        <v>9</v>
      </c>
      <c r="S95" s="33">
        <v>17</v>
      </c>
      <c r="T95" s="33">
        <v>17</v>
      </c>
      <c r="U95" s="33">
        <v>18</v>
      </c>
      <c r="V95" s="33">
        <v>18</v>
      </c>
      <c r="W95" s="33">
        <v>19</v>
      </c>
      <c r="X95" s="33" t="str">
        <f>CONCATENATE(LOWER(SUBSTITUTE(SUBSTITUTE(B95," ","_"), ".", "")), ".png")</f>
        <v>dioner_navarro.png</v>
      </c>
      <c r="Y95" s="33" t="s">
        <v>229</v>
      </c>
      <c r="Z95" s="33" t="str">
        <f>RIGHT(B95, LEN(B95)-SEARCH(" ", B95, 1))</f>
        <v>Navarro</v>
      </c>
    </row>
    <row r="96" spans="1:26" x14ac:dyDescent="0.25">
      <c r="A96" s="33">
        <f>A95+1</f>
        <v>14095</v>
      </c>
      <c r="B96" s="22" t="s">
        <v>196</v>
      </c>
      <c r="C96" s="4" t="s">
        <v>150</v>
      </c>
      <c r="D96" s="4"/>
      <c r="E96" s="10" t="s">
        <v>32</v>
      </c>
      <c r="F96" s="10" t="s">
        <v>41</v>
      </c>
      <c r="G96" s="10">
        <v>2</v>
      </c>
      <c r="H96" s="10"/>
      <c r="I96" s="10"/>
      <c r="J96" s="10" t="s">
        <v>33</v>
      </c>
      <c r="K96" s="33">
        <v>9</v>
      </c>
      <c r="L96" s="11">
        <v>8</v>
      </c>
      <c r="M96" s="33"/>
      <c r="N96" s="33">
        <v>0</v>
      </c>
      <c r="O96" s="33">
        <v>2</v>
      </c>
      <c r="P96" s="33">
        <v>4</v>
      </c>
      <c r="Q96" s="33">
        <v>7</v>
      </c>
      <c r="R96" s="33">
        <v>10</v>
      </c>
      <c r="S96" s="33">
        <v>17</v>
      </c>
      <c r="T96" s="33">
        <v>17</v>
      </c>
      <c r="U96" s="33">
        <v>19</v>
      </c>
      <c r="V96" s="33">
        <v>19</v>
      </c>
      <c r="W96" s="33">
        <v>20</v>
      </c>
      <c r="X96" s="33" t="str">
        <f>CONCATENATE(LOWER(SUBSTITUTE(SUBSTITUTE(B96," ","_"), ".", "")), ".png")</f>
        <v>kevin_pillar.png</v>
      </c>
      <c r="Y96" s="33" t="s">
        <v>229</v>
      </c>
      <c r="Z96" s="33" t="str">
        <f>RIGHT(B96, LEN(B96)-SEARCH(" ", B96, 1))</f>
        <v>Pillar</v>
      </c>
    </row>
    <row r="97" spans="1:26" x14ac:dyDescent="0.25">
      <c r="A97" s="33">
        <f>A96+1</f>
        <v>14096</v>
      </c>
      <c r="B97" s="21" t="s">
        <v>190</v>
      </c>
      <c r="C97" s="4" t="s">
        <v>150</v>
      </c>
      <c r="D97" s="4"/>
      <c r="E97" s="10" t="s">
        <v>32</v>
      </c>
      <c r="F97" s="10" t="s">
        <v>45</v>
      </c>
      <c r="G97" s="10">
        <v>2</v>
      </c>
      <c r="H97" s="10"/>
      <c r="I97" s="10"/>
      <c r="J97" s="10" t="s">
        <v>42</v>
      </c>
      <c r="K97" s="33">
        <v>10</v>
      </c>
      <c r="L97" s="11">
        <v>8</v>
      </c>
      <c r="M97" s="33"/>
      <c r="N97" s="33">
        <v>0</v>
      </c>
      <c r="O97" s="33">
        <v>2</v>
      </c>
      <c r="P97" s="33">
        <v>4</v>
      </c>
      <c r="Q97" s="33">
        <v>6</v>
      </c>
      <c r="R97" s="33">
        <v>9</v>
      </c>
      <c r="S97" s="33">
        <v>15</v>
      </c>
      <c r="T97" s="33">
        <v>15</v>
      </c>
      <c r="U97" s="33">
        <v>17</v>
      </c>
      <c r="V97" s="33">
        <v>17</v>
      </c>
      <c r="W97" s="33">
        <v>18</v>
      </c>
      <c r="X97" s="33" t="str">
        <f>CONCATENATE(LOWER(SUBSTITUTE(SUBSTITUTE(B97," ","_"), ".", "")), ".png")</f>
        <v>colby_rasmus.png</v>
      </c>
      <c r="Y97" s="33" t="s">
        <v>229</v>
      </c>
      <c r="Z97" s="33" t="str">
        <f>RIGHT(B97, LEN(B97)-SEARCH(" ", B97, 1))</f>
        <v>Rasmus</v>
      </c>
    </row>
    <row r="98" spans="1:26" x14ac:dyDescent="0.25">
      <c r="A98" s="33">
        <f>A97+1</f>
        <v>14097</v>
      </c>
      <c r="B98" s="21" t="s">
        <v>207</v>
      </c>
      <c r="C98" s="1" t="s">
        <v>150</v>
      </c>
      <c r="D98" s="33"/>
      <c r="E98" s="12" t="s">
        <v>32</v>
      </c>
      <c r="F98" s="12" t="s">
        <v>85</v>
      </c>
      <c r="G98" s="33"/>
      <c r="H98" s="33"/>
      <c r="I98" s="33"/>
      <c r="J98" s="12" t="s">
        <v>33</v>
      </c>
      <c r="K98" s="33">
        <v>4</v>
      </c>
      <c r="L98" s="33">
        <v>2</v>
      </c>
      <c r="M98" s="33"/>
      <c r="N98" s="33">
        <v>1</v>
      </c>
      <c r="O98" s="33">
        <v>6</v>
      </c>
      <c r="P98" s="33">
        <v>10</v>
      </c>
      <c r="Q98" s="33">
        <v>16</v>
      </c>
      <c r="R98" s="33">
        <v>17</v>
      </c>
      <c r="S98" s="33">
        <v>19</v>
      </c>
      <c r="T98" s="33">
        <v>19</v>
      </c>
      <c r="U98" s="30">
        <v>20</v>
      </c>
      <c r="V98" s="30">
        <v>20</v>
      </c>
      <c r="W98" s="33">
        <v>21</v>
      </c>
      <c r="X98" s="33" t="str">
        <f>CONCATENATE(LOWER(SUBSTITUTE(SUBSTITUTE(B98," ","_"), ".", "")), ".png")</f>
        <v>todd_redmond.png</v>
      </c>
      <c r="Y98" s="33" t="s">
        <v>231</v>
      </c>
      <c r="Z98" s="33" t="str">
        <f>RIGHT(B98, LEN(B98)-SEARCH(" ", B98, 1))</f>
        <v>Redmond</v>
      </c>
    </row>
    <row r="99" spans="1:26" x14ac:dyDescent="0.25">
      <c r="A99" s="33">
        <f>A98+1</f>
        <v>14098</v>
      </c>
      <c r="B99" s="21" t="s">
        <v>188</v>
      </c>
      <c r="C99" s="4" t="s">
        <v>150</v>
      </c>
      <c r="D99" s="4"/>
      <c r="E99" s="10" t="s">
        <v>32</v>
      </c>
      <c r="F99" s="10" t="s">
        <v>37</v>
      </c>
      <c r="G99" s="10">
        <v>2</v>
      </c>
      <c r="H99" s="10"/>
      <c r="I99" s="10"/>
      <c r="J99" s="10" t="s">
        <v>38</v>
      </c>
      <c r="K99" s="33">
        <v>11</v>
      </c>
      <c r="L99" s="11">
        <v>19</v>
      </c>
      <c r="M99" s="33"/>
      <c r="N99" s="33">
        <v>0</v>
      </c>
      <c r="O99" s="33">
        <v>1</v>
      </c>
      <c r="P99" s="33">
        <v>4</v>
      </c>
      <c r="Q99" s="33">
        <v>6</v>
      </c>
      <c r="R99" s="33">
        <v>9</v>
      </c>
      <c r="S99" s="33">
        <v>16</v>
      </c>
      <c r="T99" s="33">
        <v>17</v>
      </c>
      <c r="U99" s="33">
        <v>19</v>
      </c>
      <c r="V99" s="33">
        <v>19</v>
      </c>
      <c r="W99" s="33">
        <v>20</v>
      </c>
      <c r="X99" s="33" t="str">
        <f>CONCATENATE(LOWER(SUBSTITUTE(SUBSTITUTE(B99," ","_"), ".", "")), ".png")</f>
        <v>jose_reyes.png</v>
      </c>
      <c r="Y99" s="33" t="s">
        <v>229</v>
      </c>
      <c r="Z99" s="33" t="str">
        <f>RIGHT(B99, LEN(B99)-SEARCH(" ", B99, 1))</f>
        <v>Reyes</v>
      </c>
    </row>
    <row r="100" spans="1:26" x14ac:dyDescent="0.25">
      <c r="A100" s="33">
        <f>A99+1</f>
        <v>14099</v>
      </c>
      <c r="B100" s="21" t="s">
        <v>206</v>
      </c>
      <c r="C100" s="1" t="s">
        <v>150</v>
      </c>
      <c r="D100" s="33">
        <v>280</v>
      </c>
      <c r="E100" s="12" t="s">
        <v>44</v>
      </c>
      <c r="F100" s="12" t="s">
        <v>82</v>
      </c>
      <c r="G100" s="33"/>
      <c r="H100" s="33"/>
      <c r="I100" s="33"/>
      <c r="J100" s="12" t="s">
        <v>33</v>
      </c>
      <c r="K100" s="33">
        <v>6</v>
      </c>
      <c r="L100" s="33">
        <v>1</v>
      </c>
      <c r="M100" s="33"/>
      <c r="N100" s="33">
        <v>1</v>
      </c>
      <c r="O100" s="33">
        <v>7</v>
      </c>
      <c r="P100" s="33">
        <v>13</v>
      </c>
      <c r="Q100" s="33">
        <v>18</v>
      </c>
      <c r="R100" s="33">
        <v>19</v>
      </c>
      <c r="S100" s="33">
        <v>20</v>
      </c>
      <c r="T100" s="33">
        <v>20</v>
      </c>
      <c r="U100" s="30">
        <v>27</v>
      </c>
      <c r="V100" s="30">
        <v>27</v>
      </c>
      <c r="W100" s="33">
        <v>28</v>
      </c>
      <c r="X100" s="33" t="str">
        <f>CONCATENATE(LOWER(SUBSTITUTE(SUBSTITUTE(B100," ","_"), ".", "")), ".png")</f>
        <v>sergio_santos.png</v>
      </c>
      <c r="Y100" s="33" t="s">
        <v>231</v>
      </c>
      <c r="Z100" s="33" t="str">
        <f>RIGHT(B100, LEN(B100)-SEARCH(" ", B100, 1))</f>
        <v>Santos</v>
      </c>
    </row>
    <row r="101" spans="1:26" x14ac:dyDescent="0.25">
      <c r="A101" s="33">
        <f>A100+1</f>
        <v>14100</v>
      </c>
      <c r="B101" s="22" t="s">
        <v>192</v>
      </c>
      <c r="C101" s="4" t="s">
        <v>150</v>
      </c>
      <c r="D101" s="4">
        <v>20</v>
      </c>
      <c r="E101" s="10" t="s">
        <v>32</v>
      </c>
      <c r="F101" s="10" t="s">
        <v>6</v>
      </c>
      <c r="G101" s="10">
        <v>3</v>
      </c>
      <c r="H101" s="10"/>
      <c r="I101" s="10"/>
      <c r="J101" s="10" t="s">
        <v>33</v>
      </c>
      <c r="K101" s="33">
        <v>9</v>
      </c>
      <c r="L101" s="11">
        <v>13</v>
      </c>
      <c r="M101" s="33"/>
      <c r="N101" s="33">
        <v>0</v>
      </c>
      <c r="O101" s="33">
        <v>2</v>
      </c>
      <c r="P101" s="33">
        <v>6</v>
      </c>
      <c r="Q101" s="33">
        <v>8</v>
      </c>
      <c r="R101" s="33">
        <v>11</v>
      </c>
      <c r="S101" s="33">
        <v>16</v>
      </c>
      <c r="T101" s="33">
        <v>17</v>
      </c>
      <c r="U101" s="33">
        <v>19</v>
      </c>
      <c r="V101" s="33">
        <v>19</v>
      </c>
      <c r="W101" s="33">
        <v>20</v>
      </c>
      <c r="X101" s="33" t="str">
        <f>CONCATENATE(LOWER(SUBSTITUTE(SUBSTITUTE(B101," ","_"), ".", "")), ".png")</f>
        <v>steve_tolleson.png</v>
      </c>
      <c r="Y101" s="33" t="s">
        <v>229</v>
      </c>
      <c r="Z101" s="33" t="str">
        <f>RIGHT(B101, LEN(B101)-SEARCH(" ", B101, 1))</f>
        <v>Tolleson</v>
      </c>
    </row>
    <row r="102" spans="1:26" x14ac:dyDescent="0.25">
      <c r="A102" s="33">
        <f>A101+1</f>
        <v>14101</v>
      </c>
      <c r="B102" s="21" t="s">
        <v>300</v>
      </c>
      <c r="C102" s="12" t="s">
        <v>151</v>
      </c>
      <c r="D102" s="12">
        <v>280</v>
      </c>
      <c r="E102" s="12" t="s">
        <v>44</v>
      </c>
      <c r="F102" s="12" t="s">
        <v>85</v>
      </c>
      <c r="G102" s="33"/>
      <c r="H102" s="33"/>
      <c r="I102" s="33"/>
      <c r="J102" s="12" t="s">
        <v>42</v>
      </c>
      <c r="K102" s="33">
        <v>6</v>
      </c>
      <c r="L102" s="33">
        <v>1</v>
      </c>
      <c r="M102" s="33"/>
      <c r="N102" s="33">
        <v>1</v>
      </c>
      <c r="O102" s="33">
        <v>5</v>
      </c>
      <c r="P102" s="33">
        <v>14</v>
      </c>
      <c r="Q102" s="33">
        <v>18</v>
      </c>
      <c r="R102" s="33">
        <v>19</v>
      </c>
      <c r="S102" s="33">
        <v>21</v>
      </c>
      <c r="T102" s="33">
        <v>21</v>
      </c>
      <c r="U102" s="33">
        <v>27</v>
      </c>
      <c r="V102" s="33">
        <v>27</v>
      </c>
      <c r="W102" s="33">
        <v>28</v>
      </c>
      <c r="X102" s="33" t="str">
        <f>CONCATENATE(LOWER(SUBSTITUTE(SUBSTITUTE(B102," ","_"), ".", "")), ".png")</f>
        <v>luis_avilan.png</v>
      </c>
      <c r="Y102" s="33" t="s">
        <v>231</v>
      </c>
      <c r="Z102" s="33" t="str">
        <f>RIGHT(B102, LEN(B102)-SEARCH(" ", B102, 1))</f>
        <v>Avilan</v>
      </c>
    </row>
    <row r="103" spans="1:26" x14ac:dyDescent="0.25">
      <c r="A103" s="33">
        <f>A102+1</f>
        <v>14102</v>
      </c>
      <c r="B103" s="21" t="s">
        <v>302</v>
      </c>
      <c r="C103" s="12" t="s">
        <v>151</v>
      </c>
      <c r="D103" s="12"/>
      <c r="E103" s="12" t="s">
        <v>32</v>
      </c>
      <c r="F103" s="12" t="s">
        <v>85</v>
      </c>
      <c r="G103" s="33"/>
      <c r="H103" s="33"/>
      <c r="I103" s="33"/>
      <c r="J103" s="12" t="s">
        <v>33</v>
      </c>
      <c r="K103" s="33">
        <v>6</v>
      </c>
      <c r="L103" s="33">
        <v>1</v>
      </c>
      <c r="M103" s="33"/>
      <c r="N103" s="33">
        <v>1</v>
      </c>
      <c r="O103" s="33">
        <v>8</v>
      </c>
      <c r="P103" s="33">
        <v>13</v>
      </c>
      <c r="Q103" s="33">
        <v>18</v>
      </c>
      <c r="R103" s="33">
        <v>19</v>
      </c>
      <c r="S103" s="33">
        <v>20</v>
      </c>
      <c r="T103" s="33">
        <v>20</v>
      </c>
      <c r="U103" s="33">
        <v>26</v>
      </c>
      <c r="V103" s="33">
        <v>26</v>
      </c>
      <c r="W103" s="33">
        <v>27</v>
      </c>
      <c r="X103" s="33" t="str">
        <f>CONCATENATE(LOWER(SUBSTITUTE(SUBSTITUTE(B103," ","_"), ".", "")), ".png")</f>
        <v>david_carpenter.png</v>
      </c>
      <c r="Y103" s="33" t="s">
        <v>231</v>
      </c>
      <c r="Z103" s="33" t="str">
        <f>RIGHT(B103, LEN(B103)-SEARCH(" ", B103, 1))</f>
        <v>Carpenter</v>
      </c>
    </row>
    <row r="104" spans="1:26" x14ac:dyDescent="0.25">
      <c r="A104" s="33">
        <f>A103+1</f>
        <v>14103</v>
      </c>
      <c r="B104" s="22" t="s">
        <v>285</v>
      </c>
      <c r="C104" s="4" t="s">
        <v>151</v>
      </c>
      <c r="D104" s="33"/>
      <c r="E104" s="10" t="s">
        <v>32</v>
      </c>
      <c r="F104" s="10" t="s">
        <v>32</v>
      </c>
      <c r="G104" s="10">
        <v>4</v>
      </c>
      <c r="H104" s="10" t="s">
        <v>41</v>
      </c>
      <c r="I104" s="10">
        <v>2</v>
      </c>
      <c r="J104" s="10" t="s">
        <v>38</v>
      </c>
      <c r="K104" s="33">
        <v>10</v>
      </c>
      <c r="L104" s="33">
        <v>9</v>
      </c>
      <c r="M104" s="33"/>
      <c r="N104" s="33">
        <v>0</v>
      </c>
      <c r="O104" s="33">
        <v>2</v>
      </c>
      <c r="P104" s="33">
        <v>5</v>
      </c>
      <c r="Q104" s="33">
        <v>7</v>
      </c>
      <c r="R104" s="33">
        <v>11</v>
      </c>
      <c r="S104" s="33">
        <v>17</v>
      </c>
      <c r="T104" s="33">
        <v>17</v>
      </c>
      <c r="U104" s="33">
        <v>19</v>
      </c>
      <c r="V104" s="33">
        <v>19</v>
      </c>
      <c r="W104" s="33">
        <v>20</v>
      </c>
      <c r="X104" s="33" t="str">
        <f>CONCATENATE(LOWER(SUBSTITUTE(SUBSTITUTE(B104," ","_"), ".", "")), ".png")</f>
        <v>ryan_doumit.png</v>
      </c>
      <c r="Y104" s="33" t="s">
        <v>229</v>
      </c>
      <c r="Z104" s="33" t="str">
        <f>RIGHT(B104, LEN(B104)-SEARCH(" ", B104, 1))</f>
        <v>Doumit</v>
      </c>
    </row>
    <row r="105" spans="1:26" x14ac:dyDescent="0.25">
      <c r="A105" s="33">
        <f>A104+1</f>
        <v>14104</v>
      </c>
      <c r="B105" s="22" t="s">
        <v>292</v>
      </c>
      <c r="C105" s="4" t="s">
        <v>151</v>
      </c>
      <c r="D105" s="33"/>
      <c r="E105" s="10" t="s">
        <v>44</v>
      </c>
      <c r="F105" s="10" t="s">
        <v>5</v>
      </c>
      <c r="G105" s="10">
        <v>1</v>
      </c>
      <c r="H105" s="10"/>
      <c r="I105" s="10"/>
      <c r="J105" s="10" t="s">
        <v>42</v>
      </c>
      <c r="K105" s="33">
        <v>13</v>
      </c>
      <c r="L105" s="33">
        <v>9</v>
      </c>
      <c r="M105" s="33"/>
      <c r="N105" s="33">
        <v>0</v>
      </c>
      <c r="O105" s="33">
        <v>1</v>
      </c>
      <c r="P105" s="33">
        <v>3</v>
      </c>
      <c r="Q105" s="33">
        <v>5</v>
      </c>
      <c r="R105" s="33">
        <v>9</v>
      </c>
      <c r="S105" s="33">
        <v>16</v>
      </c>
      <c r="T105" s="33">
        <v>16</v>
      </c>
      <c r="U105" s="33">
        <v>18</v>
      </c>
      <c r="V105" s="33">
        <v>18</v>
      </c>
      <c r="W105" s="33">
        <v>19</v>
      </c>
      <c r="X105" s="33" t="str">
        <f>CONCATENATE(LOWER(SUBSTITUTE(SUBSTITUTE(B105," ","_"), ".", "")), ".png")</f>
        <v>freddie_freeman.png</v>
      </c>
      <c r="Y105" s="33" t="s">
        <v>229</v>
      </c>
      <c r="Z105" s="33" t="str">
        <f>RIGHT(B105, LEN(B105)-SEARCH(" ", B105, 1))</f>
        <v>Freeman</v>
      </c>
    </row>
    <row r="106" spans="1:26" x14ac:dyDescent="0.25">
      <c r="A106" s="33">
        <f>A105+1</f>
        <v>14105</v>
      </c>
      <c r="B106" s="22" t="s">
        <v>284</v>
      </c>
      <c r="C106" s="4" t="s">
        <v>151</v>
      </c>
      <c r="D106" s="33"/>
      <c r="E106" s="10" t="s">
        <v>32</v>
      </c>
      <c r="F106" s="10" t="s">
        <v>32</v>
      </c>
      <c r="G106" s="10">
        <v>7</v>
      </c>
      <c r="H106" s="10" t="s">
        <v>41</v>
      </c>
      <c r="I106" s="10">
        <v>0</v>
      </c>
      <c r="J106" s="10" t="s">
        <v>33</v>
      </c>
      <c r="K106" s="33">
        <v>9</v>
      </c>
      <c r="L106" s="33">
        <v>8</v>
      </c>
      <c r="M106" s="33"/>
      <c r="N106" s="33">
        <v>0</v>
      </c>
      <c r="O106" s="33">
        <v>2</v>
      </c>
      <c r="P106" s="33">
        <v>4</v>
      </c>
      <c r="Q106" s="33">
        <v>7</v>
      </c>
      <c r="R106" s="33">
        <v>10</v>
      </c>
      <c r="S106" s="33">
        <v>15</v>
      </c>
      <c r="T106" s="33">
        <v>15</v>
      </c>
      <c r="U106" s="33">
        <v>17</v>
      </c>
      <c r="V106" s="33">
        <v>17</v>
      </c>
      <c r="W106" s="33">
        <v>18</v>
      </c>
      <c r="X106" s="33" t="str">
        <f>CONCATENATE(LOWER(SUBSTITUTE(SUBSTITUTE(B106," ","_"), ".", "")), ".png")</f>
        <v>evan_gattis.png</v>
      </c>
      <c r="Y106" s="33" t="s">
        <v>229</v>
      </c>
      <c r="Z106" s="33" t="str">
        <f>RIGHT(B106, LEN(B106)-SEARCH(" ", B106, 1))</f>
        <v>Gattis</v>
      </c>
    </row>
    <row r="107" spans="1:26" x14ac:dyDescent="0.25">
      <c r="A107" s="33">
        <f>A106+1</f>
        <v>14106</v>
      </c>
      <c r="B107" s="21" t="s">
        <v>303</v>
      </c>
      <c r="C107" s="12" t="s">
        <v>151</v>
      </c>
      <c r="D107" s="12"/>
      <c r="E107" s="12" t="s">
        <v>32</v>
      </c>
      <c r="F107" s="12" t="s">
        <v>85</v>
      </c>
      <c r="G107" s="33"/>
      <c r="H107" s="33"/>
      <c r="I107" s="33"/>
      <c r="J107" s="12" t="s">
        <v>33</v>
      </c>
      <c r="K107" s="33">
        <v>5</v>
      </c>
      <c r="L107" s="33">
        <v>2</v>
      </c>
      <c r="M107" s="33"/>
      <c r="N107" s="33">
        <v>0</v>
      </c>
      <c r="O107" s="33">
        <v>6</v>
      </c>
      <c r="P107" s="33">
        <v>14</v>
      </c>
      <c r="Q107" s="33">
        <v>16</v>
      </c>
      <c r="R107" s="33">
        <v>16</v>
      </c>
      <c r="S107" s="33">
        <v>19</v>
      </c>
      <c r="T107" s="33">
        <v>19</v>
      </c>
      <c r="U107" s="33">
        <v>27</v>
      </c>
      <c r="V107" s="33">
        <v>27</v>
      </c>
      <c r="W107" s="33">
        <v>28</v>
      </c>
      <c r="X107" s="33" t="str">
        <f>CONCATENATE(LOWER(SUBSTITUTE(SUBSTITUTE(B107," ","_"), ".", "")), ".png")</f>
        <v>david_hale.png</v>
      </c>
      <c r="Y107" s="33" t="s">
        <v>231</v>
      </c>
      <c r="Z107" s="33" t="str">
        <f>RIGHT(B107, LEN(B107)-SEARCH(" ", B107, 1))</f>
        <v>Hale</v>
      </c>
    </row>
    <row r="108" spans="1:26" x14ac:dyDescent="0.25">
      <c r="A108" s="33">
        <f>A107+1</f>
        <v>14107</v>
      </c>
      <c r="B108" s="21" t="s">
        <v>294</v>
      </c>
      <c r="C108" s="12" t="s">
        <v>151</v>
      </c>
      <c r="D108" s="12"/>
      <c r="E108" s="12" t="s">
        <v>32</v>
      </c>
      <c r="F108" s="12" t="s">
        <v>69</v>
      </c>
      <c r="G108" s="33"/>
      <c r="H108" s="33"/>
      <c r="I108" s="33"/>
      <c r="J108" s="12" t="s">
        <v>33</v>
      </c>
      <c r="K108" s="33">
        <v>3</v>
      </c>
      <c r="L108" s="33">
        <v>6</v>
      </c>
      <c r="M108" s="33"/>
      <c r="N108" s="33">
        <v>1</v>
      </c>
      <c r="O108" s="33">
        <v>4</v>
      </c>
      <c r="P108" s="33">
        <v>9</v>
      </c>
      <c r="Q108" s="33">
        <v>15</v>
      </c>
      <c r="R108" s="33">
        <v>16</v>
      </c>
      <c r="S108" s="33">
        <v>19</v>
      </c>
      <c r="T108" s="33">
        <v>19</v>
      </c>
      <c r="U108" s="33">
        <v>20</v>
      </c>
      <c r="V108" s="33">
        <v>20</v>
      </c>
      <c r="W108" s="33">
        <v>21</v>
      </c>
      <c r="X108" s="33" t="str">
        <f>CONCATENATE(LOWER(SUBSTITUTE(SUBSTITUTE(B108," ","_"), ".", "")), ".png")</f>
        <v>aaron_harang.png</v>
      </c>
      <c r="Y108" s="33" t="s">
        <v>231</v>
      </c>
      <c r="Z108" s="33" t="str">
        <f>RIGHT(B108, LEN(B108)-SEARCH(" ", B108, 1))</f>
        <v>Harang</v>
      </c>
    </row>
    <row r="109" spans="1:26" x14ac:dyDescent="0.25">
      <c r="A109" s="33">
        <f>A108+1</f>
        <v>14108</v>
      </c>
      <c r="B109" s="22" t="s">
        <v>280</v>
      </c>
      <c r="C109" s="4" t="s">
        <v>151</v>
      </c>
      <c r="D109" s="33"/>
      <c r="E109" s="10" t="s">
        <v>32</v>
      </c>
      <c r="F109" s="10" t="s">
        <v>45</v>
      </c>
      <c r="G109" s="10">
        <v>3</v>
      </c>
      <c r="H109" s="10" t="s">
        <v>41</v>
      </c>
      <c r="I109" s="10">
        <v>2</v>
      </c>
      <c r="J109" s="10" t="s">
        <v>42</v>
      </c>
      <c r="K109" s="33">
        <v>11</v>
      </c>
      <c r="L109" s="33">
        <v>11</v>
      </c>
      <c r="M109" s="33"/>
      <c r="N109" s="33">
        <v>0</v>
      </c>
      <c r="O109" s="33">
        <v>1</v>
      </c>
      <c r="P109" s="33">
        <v>4</v>
      </c>
      <c r="Q109" s="33">
        <v>6</v>
      </c>
      <c r="R109" s="33">
        <v>10</v>
      </c>
      <c r="S109" s="33">
        <v>16</v>
      </c>
      <c r="T109" s="33">
        <v>16</v>
      </c>
      <c r="U109" s="33">
        <v>18</v>
      </c>
      <c r="V109" s="33">
        <v>18</v>
      </c>
      <c r="W109" s="33">
        <v>19</v>
      </c>
      <c r="X109" s="33" t="str">
        <f>CONCATENATE(LOWER(SUBSTITUTE(SUBSTITUTE(B109," ","_"), ".", "")), ".png")</f>
        <v>jason_heyward.png</v>
      </c>
      <c r="Y109" s="33" t="s">
        <v>229</v>
      </c>
      <c r="Z109" s="33" t="str">
        <f>RIGHT(B109, LEN(B109)-SEARCH(" ", B109, 1))</f>
        <v>Heyward</v>
      </c>
    </row>
    <row r="110" spans="1:26" x14ac:dyDescent="0.25">
      <c r="A110" s="33">
        <f>A109+1</f>
        <v>14109</v>
      </c>
      <c r="B110" s="22" t="s">
        <v>279</v>
      </c>
      <c r="C110" s="4" t="s">
        <v>151</v>
      </c>
      <c r="D110" s="33"/>
      <c r="E110" s="10" t="s">
        <v>32</v>
      </c>
      <c r="F110" s="10" t="s">
        <v>7</v>
      </c>
      <c r="G110" s="10">
        <v>1</v>
      </c>
      <c r="H110" s="10" t="s">
        <v>5</v>
      </c>
      <c r="I110" s="10">
        <v>0</v>
      </c>
      <c r="J110" s="10" t="s">
        <v>33</v>
      </c>
      <c r="K110" s="33">
        <v>11</v>
      </c>
      <c r="L110" s="33">
        <v>8</v>
      </c>
      <c r="M110" s="33"/>
      <c r="N110" s="33">
        <v>0</v>
      </c>
      <c r="O110" s="33">
        <v>1</v>
      </c>
      <c r="P110" s="33">
        <v>4</v>
      </c>
      <c r="Q110" s="33">
        <v>5</v>
      </c>
      <c r="R110" s="33">
        <v>8</v>
      </c>
      <c r="S110" s="33">
        <v>17</v>
      </c>
      <c r="T110" s="33">
        <v>17</v>
      </c>
      <c r="U110" s="33">
        <v>19</v>
      </c>
      <c r="V110" s="33">
        <v>19</v>
      </c>
      <c r="W110" s="33">
        <v>20</v>
      </c>
      <c r="X110" s="33" t="str">
        <f>CONCATENATE(LOWER(SUBSTITUTE(SUBSTITUTE(B110," ","_"), ".", "")), ".png")</f>
        <v>chris_johnson.png</v>
      </c>
      <c r="Y110" s="33" t="s">
        <v>229</v>
      </c>
      <c r="Z110" s="33" t="str">
        <f>RIGHT(B110, LEN(B110)-SEARCH(" ", B110, 1))</f>
        <v>Johnson</v>
      </c>
    </row>
    <row r="111" spans="1:26" x14ac:dyDescent="0.25">
      <c r="A111" s="33">
        <f>A110+1</f>
        <v>14110</v>
      </c>
      <c r="B111" s="21" t="s">
        <v>298</v>
      </c>
      <c r="C111" s="12" t="s">
        <v>151</v>
      </c>
      <c r="D111" s="12">
        <v>400</v>
      </c>
      <c r="E111" s="12" t="s">
        <v>44</v>
      </c>
      <c r="F111" s="12" t="s">
        <v>82</v>
      </c>
      <c r="G111" s="33"/>
      <c r="H111" s="33"/>
      <c r="I111" s="33"/>
      <c r="J111" s="12" t="s">
        <v>33</v>
      </c>
      <c r="K111" s="33">
        <v>6</v>
      </c>
      <c r="L111" s="33">
        <v>1</v>
      </c>
      <c r="M111" s="33"/>
      <c r="N111" s="33">
        <v>1</v>
      </c>
      <c r="O111" s="33">
        <v>11</v>
      </c>
      <c r="P111" s="33">
        <v>16</v>
      </c>
      <c r="Q111" s="33">
        <v>19</v>
      </c>
      <c r="R111" s="33">
        <v>19</v>
      </c>
      <c r="S111" s="33">
        <v>21</v>
      </c>
      <c r="T111" s="33">
        <v>21</v>
      </c>
      <c r="U111" s="33">
        <v>26</v>
      </c>
      <c r="V111" s="33">
        <v>26</v>
      </c>
      <c r="W111" s="33">
        <v>27</v>
      </c>
      <c r="X111" s="33" t="str">
        <f>CONCATENATE(LOWER(SUBSTITUTE(SUBSTITUTE(B111," ","_"), ".", "")), ".png")</f>
        <v>craig_kimbrel.png</v>
      </c>
      <c r="Y111" s="33" t="s">
        <v>231</v>
      </c>
      <c r="Z111" s="33" t="str">
        <f>RIGHT(B111, LEN(B111)-SEARCH(" ", B111, 1))</f>
        <v>Kimbrel</v>
      </c>
    </row>
    <row r="112" spans="1:26" x14ac:dyDescent="0.25">
      <c r="A112" s="33">
        <f>A111+1</f>
        <v>14111</v>
      </c>
      <c r="B112" s="22" t="s">
        <v>287</v>
      </c>
      <c r="C112" s="4" t="s">
        <v>151</v>
      </c>
      <c r="D112" s="33"/>
      <c r="E112" s="10" t="s">
        <v>32</v>
      </c>
      <c r="F112" s="10" t="s">
        <v>6</v>
      </c>
      <c r="G112" s="10">
        <v>3</v>
      </c>
      <c r="H112" s="10"/>
      <c r="I112" s="10"/>
      <c r="J112" s="10" t="s">
        <v>42</v>
      </c>
      <c r="K112" s="33">
        <v>10</v>
      </c>
      <c r="L112" s="33">
        <v>16</v>
      </c>
      <c r="M112" s="33"/>
      <c r="N112" s="33">
        <v>0</v>
      </c>
      <c r="O112" s="33">
        <v>1</v>
      </c>
      <c r="P112" s="33">
        <v>4</v>
      </c>
      <c r="Q112" s="33">
        <v>6</v>
      </c>
      <c r="R112" s="33">
        <v>10</v>
      </c>
      <c r="S112" s="33">
        <v>16</v>
      </c>
      <c r="T112" s="33">
        <v>17</v>
      </c>
      <c r="U112" s="33">
        <v>19</v>
      </c>
      <c r="V112" s="33">
        <v>20</v>
      </c>
      <c r="W112" s="33">
        <v>21</v>
      </c>
      <c r="X112" s="33" t="str">
        <f>CONCATENATE(LOWER(SUBSTITUTE(SUBSTITUTE(B112," ","_"), ".", "")), ".png")</f>
        <v>tommy_la_stella.png</v>
      </c>
      <c r="Y112" s="33" t="s">
        <v>229</v>
      </c>
      <c r="Z112" s="33" t="str">
        <f>RIGHT(B112, LEN(B112)-SEARCH(" ", B112, 1))</f>
        <v>La Stella</v>
      </c>
    </row>
    <row r="113" spans="1:26" x14ac:dyDescent="0.25">
      <c r="A113" s="33">
        <f>A112+1</f>
        <v>14112</v>
      </c>
      <c r="B113" s="22" t="s">
        <v>291</v>
      </c>
      <c r="C113" s="4" t="s">
        <v>151</v>
      </c>
      <c r="D113" s="33"/>
      <c r="E113" s="10" t="s">
        <v>32</v>
      </c>
      <c r="F113" s="10" t="s">
        <v>32</v>
      </c>
      <c r="G113" s="10">
        <v>7</v>
      </c>
      <c r="H113" s="10"/>
      <c r="I113" s="10"/>
      <c r="J113" s="10" t="s">
        <v>33</v>
      </c>
      <c r="K113" s="33">
        <v>12</v>
      </c>
      <c r="L113" s="33">
        <v>11</v>
      </c>
      <c r="M113" s="33"/>
      <c r="N113" s="33">
        <v>0</v>
      </c>
      <c r="O113" s="33">
        <v>1</v>
      </c>
      <c r="P113" s="33">
        <v>4</v>
      </c>
      <c r="Q113" s="33">
        <v>6</v>
      </c>
      <c r="R113" s="33">
        <v>11</v>
      </c>
      <c r="S113" s="33">
        <v>18</v>
      </c>
      <c r="T113" s="33">
        <v>18</v>
      </c>
      <c r="U113" s="33">
        <v>20</v>
      </c>
      <c r="V113" s="33">
        <v>20</v>
      </c>
      <c r="W113" s="33">
        <v>21</v>
      </c>
      <c r="X113" s="33" t="str">
        <f>CONCATENATE(LOWER(SUBSTITUTE(SUBSTITUTE(B113," ","_"), ".", "")), ".png")</f>
        <v>gerald_laird.png</v>
      </c>
      <c r="Y113" s="33" t="s">
        <v>229</v>
      </c>
      <c r="Z113" s="33" t="str">
        <f>RIGHT(B113, LEN(B113)-SEARCH(" ", B113, 1))</f>
        <v>Laird</v>
      </c>
    </row>
    <row r="114" spans="1:26" x14ac:dyDescent="0.25">
      <c r="A114" s="33">
        <f>A113+1</f>
        <v>14113</v>
      </c>
      <c r="B114" s="21" t="s">
        <v>296</v>
      </c>
      <c r="C114" s="12" t="s">
        <v>151</v>
      </c>
      <c r="D114" s="12"/>
      <c r="E114" s="12" t="s">
        <v>32</v>
      </c>
      <c r="F114" s="12" t="s">
        <v>69</v>
      </c>
      <c r="G114" s="33"/>
      <c r="H114" s="33"/>
      <c r="I114" s="33"/>
      <c r="J114" s="12" t="s">
        <v>42</v>
      </c>
      <c r="K114" s="33">
        <v>6</v>
      </c>
      <c r="L114" s="33">
        <v>6</v>
      </c>
      <c r="M114" s="33"/>
      <c r="N114" s="33">
        <v>2</v>
      </c>
      <c r="O114" s="33">
        <v>7</v>
      </c>
      <c r="P114" s="33">
        <v>11</v>
      </c>
      <c r="Q114" s="33">
        <v>16</v>
      </c>
      <c r="R114" s="33">
        <v>17</v>
      </c>
      <c r="S114" s="33">
        <v>19</v>
      </c>
      <c r="T114" s="33">
        <v>19</v>
      </c>
      <c r="U114" s="33">
        <v>24</v>
      </c>
      <c r="V114" s="33">
        <v>24</v>
      </c>
      <c r="W114" s="33">
        <v>25</v>
      </c>
      <c r="X114" s="33" t="str">
        <f>CONCATENATE(LOWER(SUBSTITUTE(SUBSTITUTE(B114," ","_"), ".", "")), ".png")</f>
        <v>mike_minor.png</v>
      </c>
      <c r="Y114" s="33" t="s">
        <v>231</v>
      </c>
      <c r="Z114" s="33" t="str">
        <f>RIGHT(B114, LEN(B114)-SEARCH(" ", B114, 1))</f>
        <v>Minor</v>
      </c>
    </row>
    <row r="115" spans="1:26" x14ac:dyDescent="0.25">
      <c r="A115" s="33">
        <f>A114+1</f>
        <v>14114</v>
      </c>
      <c r="B115" s="22" t="s">
        <v>290</v>
      </c>
      <c r="C115" s="4" t="s">
        <v>151</v>
      </c>
      <c r="D115" s="33"/>
      <c r="E115" s="10" t="s">
        <v>32</v>
      </c>
      <c r="F115" s="10" t="s">
        <v>53</v>
      </c>
      <c r="G115" s="10">
        <v>4</v>
      </c>
      <c r="H115" s="10"/>
      <c r="I115" s="10"/>
      <c r="J115" s="10" t="s">
        <v>33</v>
      </c>
      <c r="K115" s="33">
        <v>10</v>
      </c>
      <c r="L115" s="33">
        <v>8</v>
      </c>
      <c r="M115" s="33"/>
      <c r="N115" s="33">
        <v>0</v>
      </c>
      <c r="O115" s="33">
        <v>1</v>
      </c>
      <c r="P115" s="33">
        <v>4</v>
      </c>
      <c r="Q115" s="33">
        <v>5</v>
      </c>
      <c r="R115" s="33">
        <v>7</v>
      </c>
      <c r="S115" s="33">
        <v>19</v>
      </c>
      <c r="T115" s="33">
        <v>19</v>
      </c>
      <c r="U115" s="33">
        <v>21</v>
      </c>
      <c r="V115" s="33">
        <v>21</v>
      </c>
      <c r="W115" s="33">
        <v>22</v>
      </c>
      <c r="X115" s="33" t="str">
        <f>CONCATENATE(LOWER(SUBSTITUTE(SUBSTITUTE(B115," ","_"), ".", "")), ".png")</f>
        <v>tyler_pastornicky.png</v>
      </c>
      <c r="Y115" s="33" t="s">
        <v>229</v>
      </c>
      <c r="Z115" s="33" t="str">
        <f>RIGHT(B115, LEN(B115)-SEARCH(" ", B115, 1))</f>
        <v>Pastornicky</v>
      </c>
    </row>
    <row r="116" spans="1:26" x14ac:dyDescent="0.25">
      <c r="A116" s="33">
        <f>A115+1</f>
        <v>14115</v>
      </c>
      <c r="B116" s="22" t="s">
        <v>288</v>
      </c>
      <c r="C116" s="4" t="s">
        <v>151</v>
      </c>
      <c r="D116" s="33"/>
      <c r="E116" s="10" t="s">
        <v>32</v>
      </c>
      <c r="F116" s="10" t="s">
        <v>53</v>
      </c>
      <c r="G116" s="10">
        <v>5</v>
      </c>
      <c r="H116" s="10" t="s">
        <v>7</v>
      </c>
      <c r="I116" s="10">
        <v>3</v>
      </c>
      <c r="J116" s="10" t="s">
        <v>38</v>
      </c>
      <c r="K116" s="33">
        <v>10</v>
      </c>
      <c r="L116" s="33">
        <v>8</v>
      </c>
      <c r="M116" s="33"/>
      <c r="N116" s="33">
        <v>0</v>
      </c>
      <c r="O116" s="33">
        <v>1</v>
      </c>
      <c r="P116" s="33">
        <v>4</v>
      </c>
      <c r="Q116" s="33">
        <v>6</v>
      </c>
      <c r="R116" s="33">
        <v>9</v>
      </c>
      <c r="S116" s="33">
        <v>17</v>
      </c>
      <c r="T116" s="33">
        <v>17</v>
      </c>
      <c r="U116" s="33">
        <v>19</v>
      </c>
      <c r="V116" s="33">
        <v>19</v>
      </c>
      <c r="W116" s="33">
        <v>20</v>
      </c>
      <c r="X116" s="33" t="str">
        <f>CONCATENATE(LOWER(SUBSTITUTE(SUBSTITUTE(B116," ","_"), ".", "")), ".png")</f>
        <v>ramiro_pena.png</v>
      </c>
      <c r="Y116" s="33" t="s">
        <v>229</v>
      </c>
      <c r="Z116" s="33" t="str">
        <f>RIGHT(B116, LEN(B116)-SEARCH(" ", B116, 1))</f>
        <v>Pena</v>
      </c>
    </row>
    <row r="117" spans="1:26" x14ac:dyDescent="0.25">
      <c r="A117" s="33">
        <f>A116+1</f>
        <v>14116</v>
      </c>
      <c r="B117" s="21" t="s">
        <v>295</v>
      </c>
      <c r="C117" s="12" t="s">
        <v>151</v>
      </c>
      <c r="D117" s="12"/>
      <c r="E117" s="12" t="s">
        <v>32</v>
      </c>
      <c r="F117" s="12" t="s">
        <v>69</v>
      </c>
      <c r="G117" s="33"/>
      <c r="H117" s="33"/>
      <c r="I117" s="33"/>
      <c r="J117" s="12" t="s">
        <v>33</v>
      </c>
      <c r="K117" s="33">
        <v>5</v>
      </c>
      <c r="L117" s="33">
        <v>7</v>
      </c>
      <c r="M117" s="33"/>
      <c r="N117" s="33">
        <v>1</v>
      </c>
      <c r="O117" s="33">
        <v>6</v>
      </c>
      <c r="P117" s="33">
        <v>12</v>
      </c>
      <c r="Q117" s="33">
        <v>16</v>
      </c>
      <c r="R117" s="33">
        <v>17</v>
      </c>
      <c r="S117" s="33">
        <v>19</v>
      </c>
      <c r="T117" s="33">
        <v>19</v>
      </c>
      <c r="U117" s="33">
        <v>22</v>
      </c>
      <c r="V117" s="33">
        <v>22</v>
      </c>
      <c r="W117" s="33">
        <v>23</v>
      </c>
      <c r="X117" s="33" t="str">
        <f>CONCATENATE(LOWER(SUBSTITUTE(SUBSTITUTE(B117," ","_"), ".", "")), ".png")</f>
        <v>ervin_santana.png</v>
      </c>
      <c r="Y117" s="33" t="s">
        <v>231</v>
      </c>
      <c r="Z117" s="33" t="str">
        <f>RIGHT(B117, LEN(B117)-SEARCH(" ", B117, 1))</f>
        <v>Santana</v>
      </c>
    </row>
    <row r="118" spans="1:26" x14ac:dyDescent="0.25">
      <c r="A118" s="33">
        <f>A117+1</f>
        <v>14117</v>
      </c>
      <c r="B118" s="22" t="s">
        <v>286</v>
      </c>
      <c r="C118" s="4" t="s">
        <v>151</v>
      </c>
      <c r="D118" s="33"/>
      <c r="E118" s="10" t="s">
        <v>32</v>
      </c>
      <c r="F118" s="10" t="s">
        <v>45</v>
      </c>
      <c r="G118" s="10">
        <v>3</v>
      </c>
      <c r="H118" s="10" t="s">
        <v>41</v>
      </c>
      <c r="I118" s="10">
        <v>2</v>
      </c>
      <c r="J118" s="10" t="s">
        <v>42</v>
      </c>
      <c r="K118" s="33">
        <v>10</v>
      </c>
      <c r="L118" s="33">
        <v>21</v>
      </c>
      <c r="M118" s="33"/>
      <c r="N118" s="33">
        <v>0</v>
      </c>
      <c r="O118" s="33">
        <v>2</v>
      </c>
      <c r="P118" s="33">
        <v>5</v>
      </c>
      <c r="Q118" s="33">
        <v>7</v>
      </c>
      <c r="R118" s="33">
        <v>12</v>
      </c>
      <c r="S118" s="33">
        <v>17</v>
      </c>
      <c r="T118" s="33">
        <v>18</v>
      </c>
      <c r="U118" s="33">
        <v>19</v>
      </c>
      <c r="V118" s="33">
        <v>20</v>
      </c>
      <c r="W118" s="33">
        <v>21</v>
      </c>
      <c r="X118" s="33" t="str">
        <f>CONCATENATE(LOWER(SUBSTITUTE(SUBSTITUTE(B118," ","_"), ".", "")), ".png")</f>
        <v>jordan_schafer.png</v>
      </c>
      <c r="Y118" s="33" t="s">
        <v>229</v>
      </c>
      <c r="Z118" s="33" t="str">
        <f>RIGHT(B118, LEN(B118)-SEARCH(" ", B118, 1))</f>
        <v>Schafer</v>
      </c>
    </row>
    <row r="119" spans="1:26" x14ac:dyDescent="0.25">
      <c r="A119" s="33">
        <f>A118+1</f>
        <v>14118</v>
      </c>
      <c r="B119" s="22" t="s">
        <v>282</v>
      </c>
      <c r="C119" s="4" t="s">
        <v>151</v>
      </c>
      <c r="D119" s="33"/>
      <c r="E119" s="10" t="s">
        <v>32</v>
      </c>
      <c r="F119" s="10" t="s">
        <v>37</v>
      </c>
      <c r="G119" s="10">
        <v>3</v>
      </c>
      <c r="H119" s="10"/>
      <c r="I119" s="10"/>
      <c r="J119" s="10" t="s">
        <v>33</v>
      </c>
      <c r="K119" s="33">
        <v>9</v>
      </c>
      <c r="L119" s="33">
        <v>13</v>
      </c>
      <c r="M119" s="33"/>
      <c r="N119" s="33">
        <v>0</v>
      </c>
      <c r="O119" s="33">
        <v>1</v>
      </c>
      <c r="P119" s="33">
        <v>4</v>
      </c>
      <c r="Q119" s="33">
        <v>7</v>
      </c>
      <c r="R119" s="33">
        <v>10</v>
      </c>
      <c r="S119" s="33">
        <v>15</v>
      </c>
      <c r="T119" s="33">
        <v>15</v>
      </c>
      <c r="U119" s="33">
        <v>17</v>
      </c>
      <c r="V119" s="33">
        <v>19</v>
      </c>
      <c r="W119" s="33">
        <v>20</v>
      </c>
      <c r="X119" s="33" t="str">
        <f>CONCATENATE(LOWER(SUBSTITUTE(SUBSTITUTE(B119," ","_"), ".", "")), ".png")</f>
        <v>andrelton_simmons.png</v>
      </c>
      <c r="Y119" s="33" t="s">
        <v>229</v>
      </c>
      <c r="Z119" s="33" t="str">
        <f>RIGHT(B119, LEN(B119)-SEARCH(" ", B119, 1))</f>
        <v>Simmons</v>
      </c>
    </row>
    <row r="120" spans="1:26" x14ac:dyDescent="0.25">
      <c r="A120" s="33">
        <f>A119+1</f>
        <v>14119</v>
      </c>
      <c r="B120" s="21" t="s">
        <v>293</v>
      </c>
      <c r="C120" s="12" t="s">
        <v>151</v>
      </c>
      <c r="D120" s="12"/>
      <c r="E120" s="12" t="s">
        <v>32</v>
      </c>
      <c r="F120" s="12" t="s">
        <v>69</v>
      </c>
      <c r="G120" s="33"/>
      <c r="H120" s="33"/>
      <c r="I120" s="33"/>
      <c r="J120" s="12" t="s">
        <v>33</v>
      </c>
      <c r="K120" s="33">
        <v>5</v>
      </c>
      <c r="L120" s="33">
        <v>6</v>
      </c>
      <c r="M120" s="33"/>
      <c r="N120" s="33">
        <v>2</v>
      </c>
      <c r="O120" s="33">
        <v>7</v>
      </c>
      <c r="P120" s="33">
        <v>11</v>
      </c>
      <c r="Q120" s="33">
        <v>16</v>
      </c>
      <c r="R120" s="33">
        <v>17</v>
      </c>
      <c r="S120" s="33">
        <v>19</v>
      </c>
      <c r="T120" s="33">
        <v>19</v>
      </c>
      <c r="U120" s="33">
        <v>23</v>
      </c>
      <c r="V120" s="33">
        <v>23</v>
      </c>
      <c r="W120" s="33">
        <v>24</v>
      </c>
      <c r="X120" s="33" t="str">
        <f>CONCATENATE(LOWER(SUBSTITUTE(SUBSTITUTE(B120," ","_"), ".", "")), ".png")</f>
        <v>julio_teheran.png</v>
      </c>
      <c r="Y120" s="33" t="s">
        <v>231</v>
      </c>
      <c r="Z120" s="33" t="str">
        <f>RIGHT(B120, LEN(B120)-SEARCH(" ", B120, 1))</f>
        <v>Teheran</v>
      </c>
    </row>
    <row r="121" spans="1:26" x14ac:dyDescent="0.25">
      <c r="A121" s="33">
        <f>A120+1</f>
        <v>14120</v>
      </c>
      <c r="B121" s="22" t="s">
        <v>289</v>
      </c>
      <c r="C121" s="4" t="s">
        <v>151</v>
      </c>
      <c r="D121" s="33"/>
      <c r="E121" s="10" t="s">
        <v>32</v>
      </c>
      <c r="F121" s="10" t="s">
        <v>6</v>
      </c>
      <c r="G121" s="10">
        <v>3</v>
      </c>
      <c r="H121" s="10"/>
      <c r="I121" s="10"/>
      <c r="J121" s="10" t="s">
        <v>33</v>
      </c>
      <c r="K121" s="33">
        <v>10</v>
      </c>
      <c r="L121" s="33">
        <v>10</v>
      </c>
      <c r="M121" s="33"/>
      <c r="N121" s="33">
        <v>0</v>
      </c>
      <c r="O121" s="33">
        <v>3</v>
      </c>
      <c r="P121" s="33">
        <v>5</v>
      </c>
      <c r="Q121" s="33">
        <v>8</v>
      </c>
      <c r="R121" s="33">
        <v>13</v>
      </c>
      <c r="S121" s="33">
        <v>16</v>
      </c>
      <c r="T121" s="33">
        <v>16</v>
      </c>
      <c r="U121" s="33">
        <v>17</v>
      </c>
      <c r="V121" s="33">
        <v>18</v>
      </c>
      <c r="W121" s="33">
        <v>19</v>
      </c>
      <c r="X121" s="33" t="str">
        <f>CONCATENATE(LOWER(SUBSTITUTE(SUBSTITUTE(B121," ","_"), ".", "")), ".png")</f>
        <v>dan_uggla.png</v>
      </c>
      <c r="Y121" s="33" t="s">
        <v>229</v>
      </c>
      <c r="Z121" s="33" t="str">
        <f>RIGHT(B121, LEN(B121)-SEARCH(" ", B121, 1))</f>
        <v>Uggla</v>
      </c>
    </row>
    <row r="122" spans="1:26" x14ac:dyDescent="0.25">
      <c r="A122" s="33">
        <f>A121+1</f>
        <v>14121</v>
      </c>
      <c r="B122" s="22" t="s">
        <v>281</v>
      </c>
      <c r="C122" s="4" t="s">
        <v>151</v>
      </c>
      <c r="D122" s="33"/>
      <c r="E122" s="10" t="s">
        <v>32</v>
      </c>
      <c r="F122" s="10" t="s">
        <v>41</v>
      </c>
      <c r="G122" s="10">
        <v>2</v>
      </c>
      <c r="H122" s="10"/>
      <c r="I122" s="10"/>
      <c r="J122" s="10" t="s">
        <v>33</v>
      </c>
      <c r="K122" s="33">
        <v>11</v>
      </c>
      <c r="L122" s="33">
        <v>15</v>
      </c>
      <c r="M122" s="33"/>
      <c r="N122" s="33">
        <v>0</v>
      </c>
      <c r="O122" s="33">
        <v>2</v>
      </c>
      <c r="P122" s="33">
        <v>4</v>
      </c>
      <c r="Q122" s="33">
        <v>6</v>
      </c>
      <c r="R122" s="33">
        <v>10</v>
      </c>
      <c r="S122" s="33">
        <v>15</v>
      </c>
      <c r="T122" s="33">
        <v>15</v>
      </c>
      <c r="U122" s="33">
        <v>17</v>
      </c>
      <c r="V122" s="33">
        <v>18</v>
      </c>
      <c r="W122" s="33">
        <v>19</v>
      </c>
      <c r="X122" s="33" t="str">
        <f>CONCATENATE(LOWER(SUBSTITUTE(SUBSTITUTE(B122," ","_"), ".", "")), ".png")</f>
        <v>justin_upton.png</v>
      </c>
      <c r="Y122" s="33" t="s">
        <v>229</v>
      </c>
      <c r="Z122" s="33" t="str">
        <f>RIGHT(B122, LEN(B122)-SEARCH(" ", B122, 1))</f>
        <v>Upton</v>
      </c>
    </row>
    <row r="123" spans="1:26" x14ac:dyDescent="0.25">
      <c r="A123" s="33">
        <f>A122+1</f>
        <v>14122</v>
      </c>
      <c r="B123" s="22" t="s">
        <v>283</v>
      </c>
      <c r="C123" s="4" t="s">
        <v>151</v>
      </c>
      <c r="D123" s="33"/>
      <c r="E123" s="10" t="s">
        <v>32</v>
      </c>
      <c r="F123" s="10" t="s">
        <v>45</v>
      </c>
      <c r="G123" s="10">
        <v>2</v>
      </c>
      <c r="H123" s="10"/>
      <c r="I123" s="10"/>
      <c r="J123" s="10" t="s">
        <v>33</v>
      </c>
      <c r="K123" s="33">
        <v>9</v>
      </c>
      <c r="L123" s="33">
        <v>16</v>
      </c>
      <c r="M123" s="33"/>
      <c r="N123" s="33">
        <v>0</v>
      </c>
      <c r="O123" s="33">
        <v>3</v>
      </c>
      <c r="P123" s="33">
        <v>6</v>
      </c>
      <c r="Q123" s="33">
        <v>8</v>
      </c>
      <c r="R123" s="33">
        <v>13</v>
      </c>
      <c r="S123" s="33">
        <v>17</v>
      </c>
      <c r="T123" s="33">
        <v>18</v>
      </c>
      <c r="U123" s="33">
        <v>19</v>
      </c>
      <c r="V123" s="33">
        <v>19</v>
      </c>
      <c r="W123" s="33">
        <v>20</v>
      </c>
      <c r="X123" s="33" t="str">
        <f>CONCATENATE(LOWER(SUBSTITUTE(SUBSTITUTE(B123," ","_"), ".", "")), ".png")</f>
        <v>bj_upton.png</v>
      </c>
      <c r="Y123" s="33" t="s">
        <v>229</v>
      </c>
      <c r="Z123" s="33" t="str">
        <f>RIGHT(B123, LEN(B123)-SEARCH(" ", B123, 1))</f>
        <v>Upton</v>
      </c>
    </row>
    <row r="124" spans="1:26" x14ac:dyDescent="0.25">
      <c r="A124" s="33">
        <f>A123+1</f>
        <v>14123</v>
      </c>
      <c r="B124" s="21" t="s">
        <v>301</v>
      </c>
      <c r="C124" s="12" t="s">
        <v>151</v>
      </c>
      <c r="D124" s="12"/>
      <c r="E124" s="12" t="s">
        <v>32</v>
      </c>
      <c r="F124" s="12" t="s">
        <v>85</v>
      </c>
      <c r="G124" s="33"/>
      <c r="H124" s="33"/>
      <c r="I124" s="33"/>
      <c r="J124" s="12" t="s">
        <v>33</v>
      </c>
      <c r="K124" s="33">
        <v>4</v>
      </c>
      <c r="L124" s="33">
        <v>1</v>
      </c>
      <c r="M124" s="33"/>
      <c r="N124" s="33">
        <v>0</v>
      </c>
      <c r="O124" s="33">
        <v>4</v>
      </c>
      <c r="P124" s="33">
        <v>11</v>
      </c>
      <c r="Q124" s="33">
        <v>16</v>
      </c>
      <c r="R124" s="33">
        <v>17</v>
      </c>
      <c r="S124" s="33">
        <v>19</v>
      </c>
      <c r="T124" s="33">
        <v>19</v>
      </c>
      <c r="U124" s="33">
        <v>27</v>
      </c>
      <c r="V124" s="33">
        <v>27</v>
      </c>
      <c r="W124" s="33">
        <v>28</v>
      </c>
      <c r="X124" s="33" t="str">
        <f>CONCATENATE(LOWER(SUBSTITUTE(SUBSTITUTE(B124," ","_"), ".", "")), ".png")</f>
        <v>anthony_varvaro.png</v>
      </c>
      <c r="Y124" s="33" t="s">
        <v>231</v>
      </c>
      <c r="Z124" s="33" t="str">
        <f>RIGHT(B124, LEN(B124)-SEARCH(" ", B124, 1))</f>
        <v>Varvaro</v>
      </c>
    </row>
    <row r="125" spans="1:26" x14ac:dyDescent="0.25">
      <c r="A125" s="33">
        <f>A124+1</f>
        <v>14124</v>
      </c>
      <c r="B125" s="21" t="s">
        <v>299</v>
      </c>
      <c r="C125" s="12" t="s">
        <v>151</v>
      </c>
      <c r="D125" s="12"/>
      <c r="E125" s="12" t="s">
        <v>32</v>
      </c>
      <c r="F125" s="12" t="s">
        <v>85</v>
      </c>
      <c r="G125" s="33"/>
      <c r="H125" s="33"/>
      <c r="I125" s="33"/>
      <c r="J125" s="12" t="s">
        <v>33</v>
      </c>
      <c r="K125" s="33">
        <v>5</v>
      </c>
      <c r="L125" s="33">
        <v>1</v>
      </c>
      <c r="M125" s="33"/>
      <c r="N125" s="33">
        <v>1</v>
      </c>
      <c r="O125" s="33">
        <v>7</v>
      </c>
      <c r="P125" s="33">
        <v>10</v>
      </c>
      <c r="Q125" s="33">
        <v>16</v>
      </c>
      <c r="R125" s="33">
        <v>18</v>
      </c>
      <c r="S125" s="33">
        <v>20</v>
      </c>
      <c r="T125" s="33">
        <v>20</v>
      </c>
      <c r="U125" s="33">
        <v>25</v>
      </c>
      <c r="V125" s="33">
        <v>25</v>
      </c>
      <c r="W125" s="33">
        <v>26</v>
      </c>
      <c r="X125" s="33" t="str">
        <f>CONCATENATE(LOWER(SUBSTITUTE(SUBSTITUTE(B125," ","_"), ".", "")), ".png")</f>
        <v>jordan_walden.png</v>
      </c>
      <c r="Y125" s="33" t="s">
        <v>231</v>
      </c>
      <c r="Z125" s="33" t="str">
        <f>RIGHT(B125, LEN(B125)-SEARCH(" ", B125, 1))</f>
        <v>Walden</v>
      </c>
    </row>
    <row r="126" spans="1:26" x14ac:dyDescent="0.25">
      <c r="A126" s="33">
        <f>A125+1</f>
        <v>14125</v>
      </c>
      <c r="B126" s="21" t="s">
        <v>297</v>
      </c>
      <c r="C126" s="12" t="s">
        <v>151</v>
      </c>
      <c r="D126" s="12"/>
      <c r="E126" s="12" t="s">
        <v>32</v>
      </c>
      <c r="F126" s="12" t="s">
        <v>69</v>
      </c>
      <c r="G126" s="33"/>
      <c r="H126" s="33"/>
      <c r="I126" s="33"/>
      <c r="J126" s="12" t="s">
        <v>42</v>
      </c>
      <c r="K126" s="33">
        <v>3</v>
      </c>
      <c r="L126" s="33">
        <v>5</v>
      </c>
      <c r="M126" s="33"/>
      <c r="N126" s="33">
        <v>0</v>
      </c>
      <c r="O126" s="33">
        <v>6</v>
      </c>
      <c r="P126" s="33">
        <v>12</v>
      </c>
      <c r="Q126" s="33">
        <v>16</v>
      </c>
      <c r="R126" s="33">
        <v>17</v>
      </c>
      <c r="S126" s="33">
        <v>20</v>
      </c>
      <c r="T126" s="33">
        <v>20</v>
      </c>
      <c r="U126" s="33">
        <v>27</v>
      </c>
      <c r="V126" s="33">
        <v>27</v>
      </c>
      <c r="W126" s="33">
        <v>28</v>
      </c>
      <c r="X126" s="33" t="str">
        <f>CONCATENATE(LOWER(SUBSTITUTE(SUBSTITUTE(B126," ","_"), ".", "")), ".png")</f>
        <v>alex_wood.png</v>
      </c>
      <c r="Y126" s="33" t="s">
        <v>231</v>
      </c>
      <c r="Z126" s="33" t="str">
        <f>RIGHT(B126, LEN(B126)-SEARCH(" ", B126, 1))</f>
        <v>Wood</v>
      </c>
    </row>
    <row r="127" spans="1:26" x14ac:dyDescent="0.25">
      <c r="A127" s="33">
        <f>A126+1</f>
        <v>14126</v>
      </c>
      <c r="B127" s="22" t="s">
        <v>326</v>
      </c>
      <c r="C127" s="4" t="s">
        <v>152</v>
      </c>
      <c r="D127" s="4"/>
      <c r="E127" s="10" t="s">
        <v>32</v>
      </c>
      <c r="F127" s="10" t="s">
        <v>53</v>
      </c>
      <c r="G127" s="10">
        <v>2</v>
      </c>
      <c r="H127" s="10" t="s">
        <v>7</v>
      </c>
      <c r="I127" s="10">
        <v>1</v>
      </c>
      <c r="J127" s="10" t="s">
        <v>33</v>
      </c>
      <c r="K127" s="33">
        <v>9</v>
      </c>
      <c r="L127" s="33">
        <v>13</v>
      </c>
      <c r="M127" s="33"/>
      <c r="N127" s="33">
        <v>0</v>
      </c>
      <c r="O127" s="33">
        <v>2</v>
      </c>
      <c r="P127" s="33">
        <v>5</v>
      </c>
      <c r="Q127" s="33">
        <v>7</v>
      </c>
      <c r="R127" s="33">
        <v>9</v>
      </c>
      <c r="S127" s="33">
        <v>18</v>
      </c>
      <c r="T127" s="33">
        <v>19</v>
      </c>
      <c r="U127" s="33">
        <v>21</v>
      </c>
      <c r="V127" s="33">
        <v>21</v>
      </c>
      <c r="W127" s="33">
        <v>22</v>
      </c>
      <c r="X127" s="33" t="str">
        <f>CONCATENATE(LOWER(SUBSTITUTE(SUBSTITUTE(B127," ","_"), ".", "")), ".png")</f>
        <v>jeff_bianchi.png</v>
      </c>
      <c r="Y127" s="33" t="s">
        <v>229</v>
      </c>
      <c r="Z127" s="33" t="str">
        <f>RIGHT(B127, LEN(B127)-SEARCH(" ", B127, 1))</f>
        <v>Bianchi</v>
      </c>
    </row>
    <row r="128" spans="1:26" x14ac:dyDescent="0.25">
      <c r="A128" s="33">
        <f>A127+1</f>
        <v>14127</v>
      </c>
      <c r="B128" s="22" t="s">
        <v>318</v>
      </c>
      <c r="C128" s="4" t="s">
        <v>152</v>
      </c>
      <c r="D128" s="4"/>
      <c r="E128" s="10" t="s">
        <v>44</v>
      </c>
      <c r="F128" s="10" t="s">
        <v>41</v>
      </c>
      <c r="G128" s="10">
        <v>1</v>
      </c>
      <c r="H128" s="10"/>
      <c r="I128" s="10"/>
      <c r="J128" s="10" t="s">
        <v>33</v>
      </c>
      <c r="K128" s="33">
        <v>12</v>
      </c>
      <c r="L128" s="33">
        <v>16</v>
      </c>
      <c r="M128" s="33"/>
      <c r="N128" s="33">
        <v>0</v>
      </c>
      <c r="O128" s="33">
        <v>2</v>
      </c>
      <c r="P128" s="33">
        <v>5</v>
      </c>
      <c r="Q128" s="33">
        <v>6</v>
      </c>
      <c r="R128" s="33">
        <v>10</v>
      </c>
      <c r="S128" s="33">
        <v>15</v>
      </c>
      <c r="T128" s="33">
        <v>16</v>
      </c>
      <c r="U128" s="33">
        <v>18</v>
      </c>
      <c r="V128" s="33">
        <v>18</v>
      </c>
      <c r="W128" s="33">
        <v>19</v>
      </c>
      <c r="X128" s="33" t="str">
        <f>CONCATENATE(LOWER(SUBSTITUTE(SUBSTITUTE(B128," ","_"), ".", "")), ".png")</f>
        <v>ryan_braun.png</v>
      </c>
      <c r="Y128" s="33" t="s">
        <v>229</v>
      </c>
      <c r="Z128" s="33" t="str">
        <f>RIGHT(B128, LEN(B128)-SEARCH(" ", B128, 1))</f>
        <v>Braun</v>
      </c>
    </row>
    <row r="129" spans="1:26" x14ac:dyDescent="0.25">
      <c r="A129" s="33">
        <f>A128+1</f>
        <v>14128</v>
      </c>
      <c r="B129" s="22" t="s">
        <v>315</v>
      </c>
      <c r="C129" s="4" t="s">
        <v>152</v>
      </c>
      <c r="D129" s="4"/>
      <c r="E129" s="10" t="s">
        <v>32</v>
      </c>
      <c r="F129" s="10" t="s">
        <v>41</v>
      </c>
      <c r="G129" s="10">
        <v>2</v>
      </c>
      <c r="H129" s="10"/>
      <c r="I129" s="10"/>
      <c r="J129" s="10" t="s">
        <v>33</v>
      </c>
      <c r="K129" s="33">
        <v>11</v>
      </c>
      <c r="L129" s="33">
        <v>15</v>
      </c>
      <c r="M129" s="33"/>
      <c r="N129" s="33">
        <v>0</v>
      </c>
      <c r="O129" s="33">
        <v>2</v>
      </c>
      <c r="P129" s="33">
        <v>4</v>
      </c>
      <c r="Q129" s="33">
        <v>6</v>
      </c>
      <c r="R129" s="33">
        <v>9</v>
      </c>
      <c r="S129" s="33">
        <v>14</v>
      </c>
      <c r="T129" s="33">
        <v>15</v>
      </c>
      <c r="U129" s="33">
        <v>17</v>
      </c>
      <c r="V129" s="33">
        <v>17</v>
      </c>
      <c r="W129" s="33">
        <v>18</v>
      </c>
      <c r="X129" s="33" t="str">
        <f>CONCATENATE(LOWER(SUBSTITUTE(SUBSTITUTE(B129," ","_"), ".", "")), ".png")</f>
        <v>khris_davis.png</v>
      </c>
      <c r="Y129" s="33" t="s">
        <v>229</v>
      </c>
      <c r="Z129" s="33" t="str">
        <f>RIGHT(B129, LEN(B129)-SEARCH(" ", B129, 1))</f>
        <v>Davis</v>
      </c>
    </row>
    <row r="130" spans="1:26" x14ac:dyDescent="0.25">
      <c r="A130" s="33">
        <f>A129+1</f>
        <v>14129</v>
      </c>
      <c r="B130" s="21" t="s">
        <v>323</v>
      </c>
      <c r="C130" s="12" t="s">
        <v>152</v>
      </c>
      <c r="D130" s="33"/>
      <c r="E130" s="12" t="s">
        <v>32</v>
      </c>
      <c r="F130" s="12" t="s">
        <v>85</v>
      </c>
      <c r="G130" s="33"/>
      <c r="H130" s="33"/>
      <c r="I130" s="33"/>
      <c r="J130" s="12" t="s">
        <v>42</v>
      </c>
      <c r="K130" s="33">
        <v>1</v>
      </c>
      <c r="L130" s="33">
        <v>1</v>
      </c>
      <c r="M130" s="33"/>
      <c r="N130" s="33">
        <v>0</v>
      </c>
      <c r="O130" s="33">
        <v>3</v>
      </c>
      <c r="P130" s="33">
        <v>10</v>
      </c>
      <c r="Q130" s="33">
        <v>14</v>
      </c>
      <c r="R130" s="33">
        <v>16</v>
      </c>
      <c r="S130" s="33">
        <v>19</v>
      </c>
      <c r="T130" s="33">
        <v>19</v>
      </c>
      <c r="U130" s="33">
        <v>24</v>
      </c>
      <c r="V130" s="33">
        <v>24</v>
      </c>
      <c r="W130" s="33">
        <v>25</v>
      </c>
      <c r="X130" s="33" t="str">
        <f>CONCATENATE(LOWER(SUBSTITUTE(SUBSTITUTE(B130," ","_"), ".", "")), ".png")</f>
        <v>zach_duke.png</v>
      </c>
      <c r="Y130" s="33" t="s">
        <v>231</v>
      </c>
      <c r="Z130" s="33" t="str">
        <f>RIGHT(B130, LEN(B130)-SEARCH(" ", B130, 1))</f>
        <v>Duke</v>
      </c>
    </row>
    <row r="131" spans="1:26" x14ac:dyDescent="0.25">
      <c r="A131" s="33">
        <f>A130+1</f>
        <v>14130</v>
      </c>
      <c r="B131" s="21" t="s">
        <v>331</v>
      </c>
      <c r="C131" s="12" t="s">
        <v>152</v>
      </c>
      <c r="D131" s="33"/>
      <c r="E131" s="12" t="s">
        <v>32</v>
      </c>
      <c r="F131" s="12" t="s">
        <v>69</v>
      </c>
      <c r="G131" s="33"/>
      <c r="H131" s="33"/>
      <c r="I131" s="33"/>
      <c r="J131" s="12" t="s">
        <v>33</v>
      </c>
      <c r="K131" s="33">
        <v>6</v>
      </c>
      <c r="L131" s="33">
        <v>6</v>
      </c>
      <c r="M131" s="33"/>
      <c r="N131" s="33">
        <v>2</v>
      </c>
      <c r="O131" s="33">
        <v>7</v>
      </c>
      <c r="P131" s="33">
        <v>11</v>
      </c>
      <c r="Q131" s="33">
        <v>16</v>
      </c>
      <c r="R131" s="33">
        <v>17</v>
      </c>
      <c r="S131" s="33">
        <v>19</v>
      </c>
      <c r="T131" s="33">
        <v>19</v>
      </c>
      <c r="U131" s="33">
        <v>21</v>
      </c>
      <c r="V131" s="33">
        <v>21</v>
      </c>
      <c r="W131" s="33">
        <v>22</v>
      </c>
      <c r="X131" s="33" t="str">
        <f>CONCATENATE(LOWER(SUBSTITUTE(SUBSTITUTE(B131," ","_"), ".", "")), ".png")</f>
        <v>marco_estrada.png</v>
      </c>
      <c r="Y131" s="33" t="s">
        <v>231</v>
      </c>
      <c r="Z131" s="33" t="str">
        <f>RIGHT(B131, LEN(B131)-SEARCH(" ", B131, 1))</f>
        <v>Estrada</v>
      </c>
    </row>
    <row r="132" spans="1:26" x14ac:dyDescent="0.25">
      <c r="A132" s="33">
        <f>A131+1</f>
        <v>14131</v>
      </c>
      <c r="B132" s="21" t="s">
        <v>327</v>
      </c>
      <c r="C132" s="12" t="s">
        <v>152</v>
      </c>
      <c r="D132" s="33"/>
      <c r="E132" s="12" t="s">
        <v>32</v>
      </c>
      <c r="F132" s="12" t="s">
        <v>69</v>
      </c>
      <c r="G132" s="33"/>
      <c r="H132" s="33"/>
      <c r="I132" s="33"/>
      <c r="J132" s="12" t="s">
        <v>33</v>
      </c>
      <c r="K132" s="33">
        <v>3</v>
      </c>
      <c r="L132" s="33">
        <v>6</v>
      </c>
      <c r="M132" s="33"/>
      <c r="N132" s="33">
        <v>1</v>
      </c>
      <c r="O132" s="33">
        <v>6</v>
      </c>
      <c r="P132" s="33">
        <v>13</v>
      </c>
      <c r="Q132" s="33">
        <v>16</v>
      </c>
      <c r="R132" s="33">
        <v>17</v>
      </c>
      <c r="S132" s="33">
        <v>19</v>
      </c>
      <c r="T132" s="33">
        <v>19</v>
      </c>
      <c r="U132" s="33">
        <v>24</v>
      </c>
      <c r="V132" s="33">
        <v>24</v>
      </c>
      <c r="W132" s="33">
        <v>25</v>
      </c>
      <c r="X132" s="33" t="str">
        <f>CONCATENATE(LOWER(SUBSTITUTE(SUBSTITUTE(B132," ","_"), ".", "")), ".png")</f>
        <v>yovani_gallardo.png</v>
      </c>
      <c r="Y132" s="33" t="s">
        <v>231</v>
      </c>
      <c r="Z132" s="33" t="str">
        <f>RIGHT(B132, LEN(B132)-SEARCH(" ", B132, 1))</f>
        <v>Gallardo</v>
      </c>
    </row>
    <row r="133" spans="1:26" x14ac:dyDescent="0.25">
      <c r="A133" s="33">
        <f>A132+1</f>
        <v>14132</v>
      </c>
      <c r="B133" s="21" t="s">
        <v>328</v>
      </c>
      <c r="C133" s="12" t="s">
        <v>152</v>
      </c>
      <c r="D133" s="33"/>
      <c r="E133" s="12" t="s">
        <v>32</v>
      </c>
      <c r="F133" s="12" t="s">
        <v>69</v>
      </c>
      <c r="G133" s="33"/>
      <c r="H133" s="33"/>
      <c r="I133" s="33"/>
      <c r="J133" s="12" t="s">
        <v>33</v>
      </c>
      <c r="K133" s="33">
        <v>4</v>
      </c>
      <c r="L133" s="33">
        <v>6</v>
      </c>
      <c r="M133" s="33"/>
      <c r="N133" s="33">
        <v>1</v>
      </c>
      <c r="O133" s="33">
        <v>6</v>
      </c>
      <c r="P133" s="33">
        <v>11</v>
      </c>
      <c r="Q133" s="33">
        <v>16</v>
      </c>
      <c r="R133" s="33">
        <v>17</v>
      </c>
      <c r="S133" s="33">
        <v>19</v>
      </c>
      <c r="T133" s="33">
        <v>19</v>
      </c>
      <c r="U133" s="33">
        <v>22</v>
      </c>
      <c r="V133" s="33">
        <v>22</v>
      </c>
      <c r="W133" s="33">
        <v>23</v>
      </c>
      <c r="X133" s="33" t="str">
        <f>CONCATENATE(LOWER(SUBSTITUTE(SUBSTITUTE(B133," ","_"), ".", "")), ".png")</f>
        <v>matt_garza.png</v>
      </c>
      <c r="Y133" s="33" t="s">
        <v>231</v>
      </c>
      <c r="Z133" s="33" t="str">
        <f>RIGHT(B133, LEN(B133)-SEARCH(" ", B133, 1))</f>
        <v>Garza</v>
      </c>
    </row>
    <row r="134" spans="1:26" x14ac:dyDescent="0.25">
      <c r="A134" s="33">
        <f>A133+1</f>
        <v>14133</v>
      </c>
      <c r="B134" s="22" t="s">
        <v>316</v>
      </c>
      <c r="C134" s="4" t="s">
        <v>152</v>
      </c>
      <c r="D134" s="4"/>
      <c r="E134" s="10" t="s">
        <v>32</v>
      </c>
      <c r="F134" s="10" t="s">
        <v>6</v>
      </c>
      <c r="G134" s="10">
        <v>4</v>
      </c>
      <c r="H134" s="10"/>
      <c r="I134" s="10"/>
      <c r="J134" s="10" t="s">
        <v>42</v>
      </c>
      <c r="K134" s="33">
        <v>11</v>
      </c>
      <c r="L134" s="33">
        <v>13</v>
      </c>
      <c r="M134" s="33"/>
      <c r="N134" s="33">
        <v>0</v>
      </c>
      <c r="O134" s="33">
        <v>1</v>
      </c>
      <c r="P134" s="33">
        <v>3</v>
      </c>
      <c r="Q134" s="33">
        <v>5</v>
      </c>
      <c r="R134" s="33">
        <v>7</v>
      </c>
      <c r="S134" s="33">
        <v>16</v>
      </c>
      <c r="T134" s="33">
        <v>16</v>
      </c>
      <c r="U134" s="33">
        <v>18</v>
      </c>
      <c r="V134" s="33">
        <v>19</v>
      </c>
      <c r="W134" s="33">
        <v>20</v>
      </c>
      <c r="X134" s="33" t="str">
        <f>CONCATENATE(LOWER(SUBSTITUTE(SUBSTITUTE(B134," ","_"), ".", "")), ".png")</f>
        <v>scooter_gennett.png</v>
      </c>
      <c r="Y134" s="33" t="s">
        <v>229</v>
      </c>
      <c r="Z134" s="33" t="str">
        <f>RIGHT(B134, LEN(B134)-SEARCH(" ", B134, 1))</f>
        <v>Gennett</v>
      </c>
    </row>
    <row r="135" spans="1:26" x14ac:dyDescent="0.25">
      <c r="A135" s="33">
        <f>A134+1</f>
        <v>14134</v>
      </c>
      <c r="B135" s="22" t="s">
        <v>314</v>
      </c>
      <c r="C135" s="4" t="s">
        <v>152</v>
      </c>
      <c r="D135" s="4"/>
      <c r="E135" s="10" t="s">
        <v>32</v>
      </c>
      <c r="F135" s="10" t="s">
        <v>45</v>
      </c>
      <c r="G135" s="10">
        <v>3</v>
      </c>
      <c r="H135" s="10"/>
      <c r="I135" s="10"/>
      <c r="J135" s="10" t="s">
        <v>33</v>
      </c>
      <c r="K135" s="33">
        <v>10</v>
      </c>
      <c r="L135" s="33">
        <v>22</v>
      </c>
      <c r="M135" s="33"/>
      <c r="N135" s="33">
        <v>0</v>
      </c>
      <c r="O135" s="33">
        <v>2</v>
      </c>
      <c r="P135" s="33">
        <v>4</v>
      </c>
      <c r="Q135" s="33">
        <v>6</v>
      </c>
      <c r="R135" s="33">
        <v>9</v>
      </c>
      <c r="S135" s="33">
        <v>13</v>
      </c>
      <c r="T135" s="33">
        <v>14</v>
      </c>
      <c r="U135" s="33">
        <v>16</v>
      </c>
      <c r="V135" s="33">
        <v>18</v>
      </c>
      <c r="W135" s="33">
        <v>19</v>
      </c>
      <c r="X135" s="33" t="str">
        <f>CONCATENATE(LOWER(SUBSTITUTE(SUBSTITUTE(B135," ","_"), ".", "")), ".png")</f>
        <v>carlos_gomez.png</v>
      </c>
      <c r="Y135" s="33" t="s">
        <v>229</v>
      </c>
      <c r="Z135" s="33" t="str">
        <f>RIGHT(B135, LEN(B135)-SEARCH(" ", B135, 1))</f>
        <v>Gomez</v>
      </c>
    </row>
    <row r="136" spans="1:26" x14ac:dyDescent="0.25">
      <c r="A136" s="33">
        <f>A135+1</f>
        <v>14135</v>
      </c>
      <c r="B136" s="22" t="s">
        <v>324</v>
      </c>
      <c r="C136" s="4" t="s">
        <v>152</v>
      </c>
      <c r="D136" s="4"/>
      <c r="E136" s="10" t="s">
        <v>32</v>
      </c>
      <c r="F136" s="10" t="s">
        <v>41</v>
      </c>
      <c r="G136" s="10">
        <v>0</v>
      </c>
      <c r="H136" s="10"/>
      <c r="I136" s="10"/>
      <c r="J136" s="10" t="s">
        <v>38</v>
      </c>
      <c r="K136" s="33">
        <v>10</v>
      </c>
      <c r="L136" s="33">
        <v>18</v>
      </c>
      <c r="M136" s="33"/>
      <c r="N136" s="33">
        <v>0</v>
      </c>
      <c r="O136" s="33">
        <v>2</v>
      </c>
      <c r="P136" s="33">
        <v>5</v>
      </c>
      <c r="Q136" s="33">
        <v>6</v>
      </c>
      <c r="R136" s="33">
        <v>10</v>
      </c>
      <c r="S136" s="33">
        <v>17</v>
      </c>
      <c r="T136" s="33">
        <v>18</v>
      </c>
      <c r="U136" s="33">
        <v>19</v>
      </c>
      <c r="V136" s="33">
        <v>19</v>
      </c>
      <c r="W136" s="33">
        <v>20</v>
      </c>
      <c r="X136" s="33" t="str">
        <f>CONCATENATE(LOWER(SUBSTITUTE(SUBSTITUTE(B136," ","_"), ".", "")), ".png")</f>
        <v>elian_herrera.png</v>
      </c>
      <c r="Y136" s="33" t="s">
        <v>229</v>
      </c>
      <c r="Z136" s="33" t="str">
        <f>RIGHT(B136, LEN(B136)-SEARCH(" ", B136, 1))</f>
        <v>Herrera</v>
      </c>
    </row>
    <row r="137" spans="1:26" x14ac:dyDescent="0.25">
      <c r="A137" s="33">
        <f>A136+1</f>
        <v>14136</v>
      </c>
      <c r="B137" s="21" t="s">
        <v>334</v>
      </c>
      <c r="C137" s="12" t="s">
        <v>152</v>
      </c>
      <c r="D137" s="33"/>
      <c r="E137" s="12" t="s">
        <v>32</v>
      </c>
      <c r="F137" s="12" t="s">
        <v>85</v>
      </c>
      <c r="G137" s="33"/>
      <c r="H137" s="33"/>
      <c r="I137" s="33"/>
      <c r="J137" s="12" t="s">
        <v>33</v>
      </c>
      <c r="K137" s="33">
        <v>6</v>
      </c>
      <c r="L137" s="33">
        <v>1</v>
      </c>
      <c r="M137" s="33"/>
      <c r="N137" s="33">
        <v>0</v>
      </c>
      <c r="O137" s="33">
        <v>5</v>
      </c>
      <c r="P137" s="33">
        <v>14</v>
      </c>
      <c r="Q137" s="33">
        <v>17</v>
      </c>
      <c r="R137" s="33">
        <v>18</v>
      </c>
      <c r="S137" s="33">
        <v>21</v>
      </c>
      <c r="T137" s="33">
        <v>21</v>
      </c>
      <c r="U137" s="33">
        <v>27</v>
      </c>
      <c r="V137" s="33">
        <v>27</v>
      </c>
      <c r="W137" s="33">
        <v>28</v>
      </c>
      <c r="X137" s="33" t="str">
        <f>CONCATENATE(LOWER(SUBSTITUTE(SUBSTITUTE(B137," ","_"), ".", "")), ".png")</f>
        <v>brandon_kintzler.png</v>
      </c>
      <c r="Y137" s="33" t="s">
        <v>231</v>
      </c>
      <c r="Z137" s="33" t="str">
        <f>RIGHT(B137, LEN(B137)-SEARCH(" ", B137, 1))</f>
        <v>Kintzler</v>
      </c>
    </row>
    <row r="138" spans="1:26" x14ac:dyDescent="0.25">
      <c r="A138" s="33">
        <f>A137+1</f>
        <v>14137</v>
      </c>
      <c r="B138" s="21" t="s">
        <v>329</v>
      </c>
      <c r="C138" s="12" t="s">
        <v>152</v>
      </c>
      <c r="D138" s="33"/>
      <c r="E138" s="12" t="s">
        <v>32</v>
      </c>
      <c r="F138" s="12" t="s">
        <v>69</v>
      </c>
      <c r="G138" s="33"/>
      <c r="H138" s="33"/>
      <c r="I138" s="33"/>
      <c r="J138" s="12" t="s">
        <v>33</v>
      </c>
      <c r="K138" s="33">
        <v>5</v>
      </c>
      <c r="L138" s="33">
        <v>6</v>
      </c>
      <c r="M138" s="33"/>
      <c r="N138" s="33">
        <v>2</v>
      </c>
      <c r="O138" s="33">
        <v>6</v>
      </c>
      <c r="P138" s="33">
        <v>11</v>
      </c>
      <c r="Q138" s="33">
        <v>16</v>
      </c>
      <c r="R138" s="33">
        <v>17</v>
      </c>
      <c r="S138" s="33">
        <v>20</v>
      </c>
      <c r="T138" s="33">
        <v>20</v>
      </c>
      <c r="U138" s="33">
        <v>22</v>
      </c>
      <c r="V138" s="33">
        <v>22</v>
      </c>
      <c r="W138" s="33">
        <v>23</v>
      </c>
      <c r="X138" s="33" t="str">
        <f>CONCATENATE(LOWER(SUBSTITUTE(SUBSTITUTE(B138," ","_"), ".", "")), ".png")</f>
        <v>kyle_lohse.png</v>
      </c>
      <c r="Y138" s="33" t="s">
        <v>231</v>
      </c>
      <c r="Z138" s="33" t="str">
        <f>RIGHT(B138, LEN(B138)-SEARCH(" ", B138, 1))</f>
        <v>Lohse</v>
      </c>
    </row>
    <row r="139" spans="1:26" x14ac:dyDescent="0.25">
      <c r="A139" s="33">
        <f>A138+1</f>
        <v>14138</v>
      </c>
      <c r="B139" s="22" t="s">
        <v>312</v>
      </c>
      <c r="C139" s="4" t="s">
        <v>152</v>
      </c>
      <c r="D139" s="4"/>
      <c r="E139" s="10" t="s">
        <v>44</v>
      </c>
      <c r="F139" s="10" t="s">
        <v>32</v>
      </c>
      <c r="G139" s="10">
        <v>4</v>
      </c>
      <c r="H139" s="10" t="s">
        <v>5</v>
      </c>
      <c r="I139" s="10">
        <v>0</v>
      </c>
      <c r="J139" s="10" t="s">
        <v>33</v>
      </c>
      <c r="K139" s="33">
        <v>11</v>
      </c>
      <c r="L139" s="33">
        <v>15</v>
      </c>
      <c r="M139" s="33"/>
      <c r="N139" s="33">
        <v>0</v>
      </c>
      <c r="O139" s="33">
        <v>1</v>
      </c>
      <c r="P139" s="33">
        <v>4</v>
      </c>
      <c r="Q139" s="33">
        <v>6</v>
      </c>
      <c r="R139" s="33">
        <v>9</v>
      </c>
      <c r="S139" s="33">
        <v>15</v>
      </c>
      <c r="T139" s="33">
        <v>15</v>
      </c>
      <c r="U139" s="33">
        <v>17</v>
      </c>
      <c r="V139" s="33">
        <v>18</v>
      </c>
      <c r="W139" s="33">
        <v>19</v>
      </c>
      <c r="X139" s="33" t="str">
        <f>CONCATENATE(LOWER(SUBSTITUTE(SUBSTITUTE(B139," ","_"), ".", "")), ".png")</f>
        <v>jonathan_lucroy.png</v>
      </c>
      <c r="Y139" s="33" t="s">
        <v>229</v>
      </c>
      <c r="Z139" s="33" t="str">
        <f>RIGHT(B139, LEN(B139)-SEARCH(" ", B139, 1))</f>
        <v>Lucroy</v>
      </c>
    </row>
    <row r="140" spans="1:26" x14ac:dyDescent="0.25">
      <c r="A140" s="33">
        <f>A139+1</f>
        <v>14139</v>
      </c>
      <c r="B140" s="22" t="s">
        <v>325</v>
      </c>
      <c r="C140" s="4" t="s">
        <v>152</v>
      </c>
      <c r="D140" s="4"/>
      <c r="E140" s="10" t="s">
        <v>32</v>
      </c>
      <c r="F140" s="10" t="s">
        <v>32</v>
      </c>
      <c r="G140" s="10">
        <v>6</v>
      </c>
      <c r="H140" s="10" t="s">
        <v>5</v>
      </c>
      <c r="I140" s="10">
        <v>0</v>
      </c>
      <c r="J140" s="10" t="s">
        <v>33</v>
      </c>
      <c r="K140" s="33">
        <v>9</v>
      </c>
      <c r="L140" s="33">
        <v>8</v>
      </c>
      <c r="M140" s="33"/>
      <c r="N140" s="33">
        <v>0</v>
      </c>
      <c r="O140" s="33">
        <v>2</v>
      </c>
      <c r="P140" s="33">
        <v>5</v>
      </c>
      <c r="Q140" s="33">
        <v>8</v>
      </c>
      <c r="R140" s="33">
        <v>12</v>
      </c>
      <c r="S140" s="33">
        <v>17</v>
      </c>
      <c r="T140" s="33">
        <v>17</v>
      </c>
      <c r="U140" s="33">
        <v>19</v>
      </c>
      <c r="V140" s="33">
        <v>19</v>
      </c>
      <c r="W140" s="33">
        <v>20</v>
      </c>
      <c r="X140" s="33" t="str">
        <f>CONCATENATE(LOWER(SUBSTITUTE(SUBSTITUTE(B140," ","_"), ".", "")), ".png")</f>
        <v>martin_maldonado.png</v>
      </c>
      <c r="Y140" s="33" t="s">
        <v>229</v>
      </c>
      <c r="Z140" s="33" t="str">
        <f>RIGHT(B140, LEN(B140)-SEARCH(" ", B140, 1))</f>
        <v>Maldonado</v>
      </c>
    </row>
    <row r="141" spans="1:26" x14ac:dyDescent="0.25">
      <c r="A141" s="33">
        <f>A140+1</f>
        <v>14140</v>
      </c>
      <c r="B141" s="22" t="s">
        <v>321</v>
      </c>
      <c r="C141" s="4" t="s">
        <v>152</v>
      </c>
      <c r="D141" s="4"/>
      <c r="E141" s="10" t="s">
        <v>32</v>
      </c>
      <c r="F141" s="10" t="s">
        <v>5</v>
      </c>
      <c r="G141" s="10">
        <v>1</v>
      </c>
      <c r="H141" s="10" t="s">
        <v>41</v>
      </c>
      <c r="I141" s="10">
        <v>1</v>
      </c>
      <c r="J141" s="10" t="s">
        <v>42</v>
      </c>
      <c r="K141" s="33">
        <v>9</v>
      </c>
      <c r="L141" s="33">
        <v>10</v>
      </c>
      <c r="M141" s="33"/>
      <c r="N141" s="33">
        <v>0</v>
      </c>
      <c r="O141" s="33">
        <v>2</v>
      </c>
      <c r="P141" s="33">
        <v>5</v>
      </c>
      <c r="Q141" s="33">
        <v>7</v>
      </c>
      <c r="R141" s="33">
        <v>10</v>
      </c>
      <c r="S141" s="33">
        <v>17</v>
      </c>
      <c r="T141" s="33">
        <v>17</v>
      </c>
      <c r="U141" s="33">
        <v>19</v>
      </c>
      <c r="V141" s="33">
        <v>19</v>
      </c>
      <c r="W141" s="33">
        <v>20</v>
      </c>
      <c r="X141" s="33" t="str">
        <f>CONCATENATE(LOWER(SUBSTITUTE(SUBSTITUTE(B141," ","_"), ".", "")), ".png")</f>
        <v>lyle_overbay.png</v>
      </c>
      <c r="Y141" s="33" t="s">
        <v>229</v>
      </c>
      <c r="Z141" s="33" t="str">
        <f>RIGHT(B141, LEN(B141)-SEARCH(" ", B141, 1))</f>
        <v>Overbay</v>
      </c>
    </row>
    <row r="142" spans="1:26" x14ac:dyDescent="0.25">
      <c r="A142" s="33">
        <f>A141+1</f>
        <v>14141</v>
      </c>
      <c r="B142" s="21" t="s">
        <v>330</v>
      </c>
      <c r="C142" s="12" t="s">
        <v>152</v>
      </c>
      <c r="D142" s="33"/>
      <c r="E142" s="12" t="s">
        <v>32</v>
      </c>
      <c r="F142" s="12" t="s">
        <v>69</v>
      </c>
      <c r="G142" s="33"/>
      <c r="H142" s="33"/>
      <c r="I142" s="33"/>
      <c r="J142" s="12" t="s">
        <v>33</v>
      </c>
      <c r="K142" s="33">
        <v>2</v>
      </c>
      <c r="L142" s="33">
        <v>6</v>
      </c>
      <c r="M142" s="33"/>
      <c r="N142" s="33">
        <v>1</v>
      </c>
      <c r="O142" s="33">
        <v>5</v>
      </c>
      <c r="P142" s="33">
        <v>12</v>
      </c>
      <c r="Q142" s="33">
        <v>16</v>
      </c>
      <c r="R142" s="33">
        <v>17</v>
      </c>
      <c r="S142" s="33">
        <v>20</v>
      </c>
      <c r="T142" s="33">
        <v>20</v>
      </c>
      <c r="U142" s="33">
        <v>24</v>
      </c>
      <c r="V142" s="33">
        <v>24</v>
      </c>
      <c r="W142" s="33">
        <v>25</v>
      </c>
      <c r="X142" s="33" t="str">
        <f>CONCATENATE(LOWER(SUBSTITUTE(SUBSTITUTE(B142," ","_"), ".", "")), ".png")</f>
        <v>wily_peralta.png</v>
      </c>
      <c r="Y142" s="33" t="s">
        <v>231</v>
      </c>
      <c r="Z142" s="33" t="str">
        <f>RIGHT(B142, LEN(B142)-SEARCH(" ", B142, 1))</f>
        <v>Peralta</v>
      </c>
    </row>
    <row r="143" spans="1:26" x14ac:dyDescent="0.25">
      <c r="A143" s="33">
        <f>A142+1</f>
        <v>14142</v>
      </c>
      <c r="B143" s="22" t="s">
        <v>320</v>
      </c>
      <c r="C143" s="4" t="s">
        <v>152</v>
      </c>
      <c r="D143" s="4"/>
      <c r="E143" s="10" t="s">
        <v>32</v>
      </c>
      <c r="F143" s="10" t="s">
        <v>7</v>
      </c>
      <c r="G143" s="10">
        <v>0</v>
      </c>
      <c r="H143" s="10"/>
      <c r="I143" s="10"/>
      <c r="J143" s="10" t="s">
        <v>33</v>
      </c>
      <c r="K143" s="33">
        <v>12</v>
      </c>
      <c r="L143" s="33">
        <v>8</v>
      </c>
      <c r="M143" s="33"/>
      <c r="N143" s="33">
        <v>0</v>
      </c>
      <c r="O143" s="33">
        <v>1</v>
      </c>
      <c r="P143" s="33">
        <v>4</v>
      </c>
      <c r="Q143" s="33">
        <v>6</v>
      </c>
      <c r="R143" s="33">
        <v>10</v>
      </c>
      <c r="S143" s="33">
        <v>16</v>
      </c>
      <c r="T143" s="33">
        <v>16</v>
      </c>
      <c r="U143" s="33">
        <v>18</v>
      </c>
      <c r="V143" s="33">
        <v>18</v>
      </c>
      <c r="W143" s="33">
        <v>19</v>
      </c>
      <c r="X143" s="33" t="str">
        <f>CONCATENATE(LOWER(SUBSTITUTE(SUBSTITUTE(B143," ","_"), ".", "")), ".png")</f>
        <v>aramis_ramirez.png</v>
      </c>
      <c r="Y143" s="33" t="s">
        <v>229</v>
      </c>
      <c r="Z143" s="33" t="str">
        <f>RIGHT(B143, LEN(B143)-SEARCH(" ", B143, 1))</f>
        <v>Ramirez</v>
      </c>
    </row>
    <row r="144" spans="1:26" x14ac:dyDescent="0.25">
      <c r="A144" s="33">
        <f>A143+1</f>
        <v>14143</v>
      </c>
      <c r="B144" s="22" t="s">
        <v>317</v>
      </c>
      <c r="C144" s="4" t="s">
        <v>152</v>
      </c>
      <c r="D144" s="4"/>
      <c r="E144" s="10" t="s">
        <v>32</v>
      </c>
      <c r="F144" s="10" t="s">
        <v>118</v>
      </c>
      <c r="G144" s="10">
        <v>0</v>
      </c>
      <c r="H144" s="10"/>
      <c r="I144" s="10"/>
      <c r="J144" s="10" t="s">
        <v>33</v>
      </c>
      <c r="K144" s="33">
        <v>10</v>
      </c>
      <c r="L144" s="33">
        <v>12</v>
      </c>
      <c r="M144" s="33"/>
      <c r="N144" s="33">
        <v>0</v>
      </c>
      <c r="O144" s="33">
        <v>3</v>
      </c>
      <c r="P144" s="33">
        <v>5</v>
      </c>
      <c r="Q144" s="33">
        <v>7</v>
      </c>
      <c r="R144" s="33">
        <v>11</v>
      </c>
      <c r="S144" s="33">
        <v>16</v>
      </c>
      <c r="T144" s="33">
        <v>16</v>
      </c>
      <c r="U144" s="33">
        <v>18</v>
      </c>
      <c r="V144" s="33">
        <v>18</v>
      </c>
      <c r="W144" s="33">
        <v>19</v>
      </c>
      <c r="X144" s="33" t="str">
        <f>CONCATENATE(LOWER(SUBSTITUTE(SUBSTITUTE(B144," ","_"), ".", "")), ".png")</f>
        <v>mark_reynolds.png</v>
      </c>
      <c r="Y144" s="33" t="s">
        <v>229</v>
      </c>
      <c r="Z144" s="33" t="str">
        <f>RIGHT(B144, LEN(B144)-SEARCH(" ", B144, 1))</f>
        <v>Reynolds</v>
      </c>
    </row>
    <row r="145" spans="1:26" x14ac:dyDescent="0.25">
      <c r="A145" s="33">
        <f>A144+1</f>
        <v>14144</v>
      </c>
      <c r="B145" s="21" t="s">
        <v>332</v>
      </c>
      <c r="C145" s="12" t="s">
        <v>152</v>
      </c>
      <c r="D145" s="33"/>
      <c r="E145" s="12" t="s">
        <v>32</v>
      </c>
      <c r="F145" s="12" t="s">
        <v>82</v>
      </c>
      <c r="G145" s="33"/>
      <c r="H145" s="33"/>
      <c r="I145" s="33"/>
      <c r="J145" s="12" t="s">
        <v>33</v>
      </c>
      <c r="K145" s="33">
        <v>5</v>
      </c>
      <c r="L145" s="33">
        <v>1</v>
      </c>
      <c r="M145" s="33"/>
      <c r="N145" s="33">
        <v>0</v>
      </c>
      <c r="O145" s="33">
        <v>7</v>
      </c>
      <c r="P145" s="33">
        <v>12</v>
      </c>
      <c r="Q145" s="33">
        <v>17</v>
      </c>
      <c r="R145" s="33">
        <v>18</v>
      </c>
      <c r="S145" s="33">
        <v>19</v>
      </c>
      <c r="T145" s="33">
        <v>19</v>
      </c>
      <c r="U145" s="33">
        <v>21</v>
      </c>
      <c r="V145" s="33">
        <v>21</v>
      </c>
      <c r="W145" s="33">
        <v>22</v>
      </c>
      <c r="X145" s="33" t="str">
        <f>CONCATENATE(LOWER(SUBSTITUTE(SUBSTITUTE(B145," ","_"), ".", "")), ".png")</f>
        <v>francisco_rodriguez.png</v>
      </c>
      <c r="Y145" s="33" t="s">
        <v>231</v>
      </c>
      <c r="Z145" s="33" t="str">
        <f>RIGHT(B145, LEN(B145)-SEARCH(" ", B145, 1))</f>
        <v>Rodriguez</v>
      </c>
    </row>
    <row r="146" spans="1:26" x14ac:dyDescent="0.25">
      <c r="A146" s="33">
        <f>A145+1</f>
        <v>14145</v>
      </c>
      <c r="B146" s="22" t="s">
        <v>322</v>
      </c>
      <c r="C146" s="4" t="s">
        <v>152</v>
      </c>
      <c r="D146" s="4"/>
      <c r="E146" s="10" t="s">
        <v>32</v>
      </c>
      <c r="F146" s="10" t="s">
        <v>56</v>
      </c>
      <c r="G146" s="10">
        <v>2</v>
      </c>
      <c r="H146" s="10"/>
      <c r="I146" s="10"/>
      <c r="J146" s="10" t="s">
        <v>42</v>
      </c>
      <c r="K146" s="33">
        <v>9</v>
      </c>
      <c r="L146" s="33">
        <v>14</v>
      </c>
      <c r="M146" s="33"/>
      <c r="N146" s="33">
        <v>0</v>
      </c>
      <c r="O146" s="33">
        <v>2</v>
      </c>
      <c r="P146" s="33">
        <v>5</v>
      </c>
      <c r="Q146" s="33">
        <v>7</v>
      </c>
      <c r="R146" s="33">
        <v>11</v>
      </c>
      <c r="S146" s="33">
        <v>17</v>
      </c>
      <c r="T146" s="33">
        <v>17</v>
      </c>
      <c r="U146" s="33">
        <v>19</v>
      </c>
      <c r="V146" s="33">
        <v>20</v>
      </c>
      <c r="W146" s="33">
        <v>21</v>
      </c>
      <c r="X146" s="33" t="str">
        <f>CONCATENATE(LOWER(SUBSTITUTE(SUBSTITUTE(B146," ","_"), ".", "")), ".png")</f>
        <v>logan_schafer.png</v>
      </c>
      <c r="Y146" s="33" t="s">
        <v>229</v>
      </c>
      <c r="Z146" s="33" t="str">
        <f>RIGHT(B146, LEN(B146)-SEARCH(" ", B146, 1))</f>
        <v>Schafer</v>
      </c>
    </row>
    <row r="147" spans="1:26" x14ac:dyDescent="0.25">
      <c r="A147" s="33">
        <f>A146+1</f>
        <v>14146</v>
      </c>
      <c r="B147" s="22" t="s">
        <v>313</v>
      </c>
      <c r="C147" s="4" t="s">
        <v>152</v>
      </c>
      <c r="D147" s="4"/>
      <c r="E147" s="10" t="s">
        <v>32</v>
      </c>
      <c r="F147" s="10" t="s">
        <v>37</v>
      </c>
      <c r="G147" s="10">
        <v>3</v>
      </c>
      <c r="H147" s="10"/>
      <c r="I147" s="10"/>
      <c r="J147" s="10" t="s">
        <v>33</v>
      </c>
      <c r="K147" s="33">
        <v>10</v>
      </c>
      <c r="L147" s="33">
        <v>23</v>
      </c>
      <c r="M147" s="33"/>
      <c r="N147" s="33">
        <v>0</v>
      </c>
      <c r="O147" s="33">
        <v>1</v>
      </c>
      <c r="P147" s="33">
        <v>5</v>
      </c>
      <c r="Q147" s="33">
        <v>6</v>
      </c>
      <c r="R147" s="33">
        <v>8</v>
      </c>
      <c r="S147" s="33">
        <v>14</v>
      </c>
      <c r="T147" s="33">
        <v>15</v>
      </c>
      <c r="U147" s="33">
        <v>17</v>
      </c>
      <c r="V147" s="33">
        <v>19</v>
      </c>
      <c r="W147" s="33">
        <v>20</v>
      </c>
      <c r="X147" s="33" t="str">
        <f>CONCATENATE(LOWER(SUBSTITUTE(SUBSTITUTE(B147," ","_"), ".", "")), ".png")</f>
        <v>jean_segura.png</v>
      </c>
      <c r="Y147" s="33" t="s">
        <v>229</v>
      </c>
      <c r="Z147" s="33" t="str">
        <f>RIGHT(B147, LEN(B147)-SEARCH(" ", B147, 1))</f>
        <v>Segura</v>
      </c>
    </row>
    <row r="148" spans="1:26" x14ac:dyDescent="0.25">
      <c r="A148" s="33">
        <f>A147+1</f>
        <v>14147</v>
      </c>
      <c r="B148" s="21" t="s">
        <v>333</v>
      </c>
      <c r="C148" s="12" t="s">
        <v>152</v>
      </c>
      <c r="D148" s="33"/>
      <c r="E148" s="12" t="s">
        <v>32</v>
      </c>
      <c r="F148" s="12" t="s">
        <v>85</v>
      </c>
      <c r="G148" s="33"/>
      <c r="H148" s="33"/>
      <c r="I148" s="33"/>
      <c r="J148" s="12" t="s">
        <v>42</v>
      </c>
      <c r="K148" s="33">
        <v>6</v>
      </c>
      <c r="L148" s="33">
        <v>2</v>
      </c>
      <c r="M148" s="33"/>
      <c r="N148" s="33">
        <v>1</v>
      </c>
      <c r="O148" s="33">
        <v>8</v>
      </c>
      <c r="P148" s="33">
        <v>12</v>
      </c>
      <c r="Q148" s="33">
        <v>16</v>
      </c>
      <c r="R148" s="33">
        <v>17</v>
      </c>
      <c r="S148" s="33">
        <v>19</v>
      </c>
      <c r="T148" s="33">
        <v>19</v>
      </c>
      <c r="U148" s="33">
        <v>20</v>
      </c>
      <c r="V148" s="33">
        <v>20</v>
      </c>
      <c r="W148" s="33">
        <v>21</v>
      </c>
      <c r="X148" s="33" t="str">
        <f>CONCATENATE(LOWER(SUBSTITUTE(SUBSTITUTE(B148," ","_"), ".", "")), ".png")</f>
        <v>will_smith.png</v>
      </c>
      <c r="Y148" s="33" t="s">
        <v>231</v>
      </c>
      <c r="Z148" s="33" t="str">
        <f>RIGHT(B148, LEN(B148)-SEARCH(" ", B148, 1))</f>
        <v>Smith</v>
      </c>
    </row>
    <row r="149" spans="1:26" x14ac:dyDescent="0.25">
      <c r="A149" s="33">
        <f>A148+1</f>
        <v>14148</v>
      </c>
      <c r="B149" s="21" t="s">
        <v>336</v>
      </c>
      <c r="C149" s="12" t="s">
        <v>152</v>
      </c>
      <c r="D149" s="33"/>
      <c r="E149" s="12" t="s">
        <v>32</v>
      </c>
      <c r="F149" s="12" t="s">
        <v>85</v>
      </c>
      <c r="G149" s="33"/>
      <c r="H149" s="33"/>
      <c r="I149" s="33"/>
      <c r="J149" s="12" t="s">
        <v>33</v>
      </c>
      <c r="K149" s="33">
        <v>5</v>
      </c>
      <c r="L149" s="33">
        <v>2</v>
      </c>
      <c r="M149" s="33"/>
      <c r="N149" s="33">
        <v>1</v>
      </c>
      <c r="O149" s="33">
        <v>6</v>
      </c>
      <c r="P149" s="33">
        <v>11</v>
      </c>
      <c r="Q149" s="33">
        <v>17</v>
      </c>
      <c r="R149" s="33">
        <v>18</v>
      </c>
      <c r="S149" s="33">
        <v>20</v>
      </c>
      <c r="T149" s="33">
        <v>20</v>
      </c>
      <c r="U149" s="33">
        <v>27</v>
      </c>
      <c r="V149" s="33">
        <v>27</v>
      </c>
      <c r="W149" s="33">
        <v>28</v>
      </c>
      <c r="X149" s="33" t="str">
        <f>CONCATENATE(LOWER(SUBSTITUTE(SUBSTITUTE(B149," ","_"), ".", "")), ".png")</f>
        <v>tyler_thornburg.png</v>
      </c>
      <c r="Y149" s="33" t="s">
        <v>231</v>
      </c>
      <c r="Z149" s="33" t="str">
        <f>RIGHT(B149, LEN(B149)-SEARCH(" ", B149, 1))</f>
        <v>Thornburg</v>
      </c>
    </row>
    <row r="150" spans="1:26" x14ac:dyDescent="0.25">
      <c r="A150" s="33">
        <f>A149+1</f>
        <v>14149</v>
      </c>
      <c r="B150" s="22" t="s">
        <v>319</v>
      </c>
      <c r="C150" s="4" t="s">
        <v>152</v>
      </c>
      <c r="D150" s="4"/>
      <c r="E150" s="10" t="s">
        <v>32</v>
      </c>
      <c r="F150" s="10" t="s">
        <v>6</v>
      </c>
      <c r="G150" s="10">
        <v>2</v>
      </c>
      <c r="H150" s="10"/>
      <c r="I150" s="10"/>
      <c r="J150" s="10" t="s">
        <v>33</v>
      </c>
      <c r="K150" s="33">
        <v>10</v>
      </c>
      <c r="L150" s="33">
        <v>16</v>
      </c>
      <c r="M150" s="33"/>
      <c r="N150" s="33">
        <v>0</v>
      </c>
      <c r="O150" s="33">
        <v>2</v>
      </c>
      <c r="P150" s="33">
        <v>5</v>
      </c>
      <c r="Q150" s="33">
        <v>7</v>
      </c>
      <c r="R150" s="33">
        <v>12</v>
      </c>
      <c r="S150" s="33">
        <v>16</v>
      </c>
      <c r="T150" s="33">
        <v>17</v>
      </c>
      <c r="U150" s="33">
        <v>19</v>
      </c>
      <c r="V150" s="33">
        <v>19</v>
      </c>
      <c r="W150" s="33">
        <v>20</v>
      </c>
      <c r="X150" s="33" t="str">
        <f>CONCATENATE(LOWER(SUBSTITUTE(SUBSTITUTE(B150," ","_"), ".", "")), ".png")</f>
        <v>rickie_weeks.png</v>
      </c>
      <c r="Y150" s="33" t="s">
        <v>229</v>
      </c>
      <c r="Z150" s="33" t="str">
        <f>RIGHT(B150, LEN(B150)-SEARCH(" ", B150, 1))</f>
        <v>Weeks</v>
      </c>
    </row>
    <row r="151" spans="1:26" x14ac:dyDescent="0.25">
      <c r="A151" s="33">
        <f>A150+1</f>
        <v>14150</v>
      </c>
      <c r="B151" s="21" t="s">
        <v>335</v>
      </c>
      <c r="C151" s="12" t="s">
        <v>152</v>
      </c>
      <c r="D151" s="33"/>
      <c r="E151" s="12" t="s">
        <v>32</v>
      </c>
      <c r="F151" s="12" t="s">
        <v>85</v>
      </c>
      <c r="G151" s="33"/>
      <c r="H151" s="33"/>
      <c r="I151" s="33"/>
      <c r="J151" s="12" t="s">
        <v>33</v>
      </c>
      <c r="K151" s="33">
        <v>4</v>
      </c>
      <c r="L151" s="33">
        <v>1</v>
      </c>
      <c r="M151" s="33"/>
      <c r="N151" s="33">
        <v>1</v>
      </c>
      <c r="O151" s="33">
        <v>5</v>
      </c>
      <c r="P151" s="33">
        <v>11</v>
      </c>
      <c r="Q151" s="33">
        <v>16</v>
      </c>
      <c r="R151" s="33">
        <v>17</v>
      </c>
      <c r="S151" s="33">
        <v>19</v>
      </c>
      <c r="T151" s="33">
        <v>19</v>
      </c>
      <c r="U151" s="33">
        <v>27</v>
      </c>
      <c r="V151" s="33">
        <v>27</v>
      </c>
      <c r="W151" s="33">
        <v>28</v>
      </c>
      <c r="X151" s="33" t="str">
        <f>CONCATENATE(LOWER(SUBSTITUTE(SUBSTITUTE(B151," ","_"), ".", "")), ".png")</f>
        <v>rob_wooten.png</v>
      </c>
      <c r="Y151" s="33" t="s">
        <v>231</v>
      </c>
      <c r="Z151" s="33" t="str">
        <f>RIGHT(B151, LEN(B151)-SEARCH(" ", B151, 1))</f>
        <v>Wooten</v>
      </c>
    </row>
    <row r="152" spans="1:26" x14ac:dyDescent="0.25">
      <c r="A152" s="33">
        <f>A151+1</f>
        <v>14151</v>
      </c>
      <c r="B152" s="2" t="s">
        <v>55</v>
      </c>
      <c r="C152" s="2" t="s">
        <v>49</v>
      </c>
      <c r="D152" s="4"/>
      <c r="E152" s="2" t="s">
        <v>32</v>
      </c>
      <c r="F152" s="2" t="s">
        <v>56</v>
      </c>
      <c r="G152" s="6">
        <v>1</v>
      </c>
      <c r="H152" s="2" t="s">
        <v>6</v>
      </c>
      <c r="I152" s="6">
        <v>2</v>
      </c>
      <c r="J152" s="2" t="s">
        <v>42</v>
      </c>
      <c r="K152" s="33">
        <v>10</v>
      </c>
      <c r="L152" s="6">
        <v>11</v>
      </c>
      <c r="M152" s="33"/>
      <c r="N152" s="33">
        <v>0</v>
      </c>
      <c r="O152" s="33">
        <v>1</v>
      </c>
      <c r="P152" s="33">
        <v>4</v>
      </c>
      <c r="Q152" s="33">
        <v>6</v>
      </c>
      <c r="R152" s="33">
        <v>10</v>
      </c>
      <c r="S152" s="33">
        <v>17</v>
      </c>
      <c r="T152" s="33">
        <v>17</v>
      </c>
      <c r="U152" s="33">
        <v>19</v>
      </c>
      <c r="V152" s="33">
        <v>20</v>
      </c>
      <c r="W152" s="33">
        <v>21</v>
      </c>
      <c r="X152" s="33" t="str">
        <f>CONCATENATE(LOWER(SUBSTITUTE(SUBSTITUTE(B152," ","_"), ".", "")), ".png")</f>
        <v>dustin_ackley.png</v>
      </c>
      <c r="Y152" s="33" t="s">
        <v>229</v>
      </c>
      <c r="Z152" s="33" t="str">
        <f>RIGHT(B152, LEN(B152)-SEARCH(" ", B152, 1))</f>
        <v>Ackley</v>
      </c>
    </row>
    <row r="153" spans="1:26" x14ac:dyDescent="0.25">
      <c r="A153" s="33">
        <f>A152+1</f>
        <v>14152</v>
      </c>
      <c r="B153" s="2" t="s">
        <v>57</v>
      </c>
      <c r="C153" s="2" t="s">
        <v>49</v>
      </c>
      <c r="D153" s="4"/>
      <c r="E153" s="2" t="s">
        <v>32</v>
      </c>
      <c r="F153" s="2" t="s">
        <v>45</v>
      </c>
      <c r="G153" s="6">
        <v>2</v>
      </c>
      <c r="H153" s="10"/>
      <c r="I153" s="10"/>
      <c r="J153" s="2" t="s">
        <v>38</v>
      </c>
      <c r="K153" s="33">
        <v>10</v>
      </c>
      <c r="L153" s="6">
        <v>13</v>
      </c>
      <c r="M153" s="33"/>
      <c r="N153" s="33">
        <v>0</v>
      </c>
      <c r="O153" s="33">
        <v>2</v>
      </c>
      <c r="P153" s="33">
        <v>5</v>
      </c>
      <c r="Q153" s="33">
        <v>6</v>
      </c>
      <c r="R153" s="33">
        <v>9</v>
      </c>
      <c r="S153" s="33">
        <v>16</v>
      </c>
      <c r="T153" s="33">
        <v>17</v>
      </c>
      <c r="U153" s="33">
        <v>19</v>
      </c>
      <c r="V153" s="33">
        <v>19</v>
      </c>
      <c r="W153" s="33">
        <v>20</v>
      </c>
      <c r="X153" s="33" t="str">
        <f>CONCATENATE(LOWER(SUBSTITUTE(SUBSTITUTE(B153," ","_"), ".", "")), ".png")</f>
        <v>abraham_almonte.png</v>
      </c>
      <c r="Y153" s="33" t="s">
        <v>229</v>
      </c>
      <c r="Z153" s="33" t="str">
        <f>RIGHT(B153, LEN(B153)-SEARCH(" ", B153, 1))</f>
        <v>Almonte</v>
      </c>
    </row>
    <row r="154" spans="1:26" x14ac:dyDescent="0.25">
      <c r="A154" s="33">
        <f>A153+1</f>
        <v>14153</v>
      </c>
      <c r="B154" s="22" t="s">
        <v>92</v>
      </c>
      <c r="C154" s="4" t="s">
        <v>49</v>
      </c>
      <c r="D154" s="4"/>
      <c r="E154" s="10" t="s">
        <v>32</v>
      </c>
      <c r="F154" s="10" t="s">
        <v>41</v>
      </c>
      <c r="G154" s="10">
        <v>1</v>
      </c>
      <c r="H154" s="10" t="s">
        <v>53</v>
      </c>
      <c r="I154" s="10">
        <v>4</v>
      </c>
      <c r="J154" s="10" t="s">
        <v>33</v>
      </c>
      <c r="K154" s="33">
        <v>11</v>
      </c>
      <c r="L154" s="11">
        <v>8</v>
      </c>
      <c r="M154" s="33"/>
      <c r="N154" s="33">
        <v>0</v>
      </c>
      <c r="O154" s="33">
        <v>0</v>
      </c>
      <c r="P154" s="33">
        <v>3</v>
      </c>
      <c r="Q154" s="33">
        <v>5</v>
      </c>
      <c r="R154" s="33">
        <v>8</v>
      </c>
      <c r="S154" s="33">
        <v>19</v>
      </c>
      <c r="T154" s="33">
        <v>19</v>
      </c>
      <c r="U154" s="33">
        <v>21</v>
      </c>
      <c r="V154" s="33">
        <v>0</v>
      </c>
      <c r="W154" s="33">
        <v>22</v>
      </c>
      <c r="X154" s="33" t="str">
        <f>CONCATENATE(LOWER(SUBSTITUTE(SUBSTITUTE(B154," ","_"), ".", "")), ".png")</f>
        <v>willie_bloomquist.png</v>
      </c>
      <c r="Y154" s="33" t="s">
        <v>229</v>
      </c>
      <c r="Z154" s="33" t="str">
        <f>RIGHT(B154, LEN(B154)-SEARCH(" ", B154, 1))</f>
        <v>Bloomquist</v>
      </c>
    </row>
    <row r="155" spans="1:26" x14ac:dyDescent="0.25">
      <c r="A155" s="33">
        <f>A154+1</f>
        <v>14154</v>
      </c>
      <c r="B155" s="22" t="s">
        <v>93</v>
      </c>
      <c r="C155" s="4" t="s">
        <v>49</v>
      </c>
      <c r="D155" s="4"/>
      <c r="E155" s="10" t="s">
        <v>32</v>
      </c>
      <c r="F155" s="10" t="s">
        <v>32</v>
      </c>
      <c r="G155" s="10">
        <v>6</v>
      </c>
      <c r="H155" s="10"/>
      <c r="I155" s="10"/>
      <c r="J155" s="10" t="s">
        <v>33</v>
      </c>
      <c r="K155" s="33">
        <v>9</v>
      </c>
      <c r="L155" s="11">
        <v>11</v>
      </c>
      <c r="M155" s="33"/>
      <c r="N155" s="33">
        <v>0</v>
      </c>
      <c r="O155" s="33">
        <v>2</v>
      </c>
      <c r="P155" s="33">
        <v>5</v>
      </c>
      <c r="Q155" s="33">
        <v>7</v>
      </c>
      <c r="R155" s="33">
        <v>11</v>
      </c>
      <c r="S155" s="33">
        <v>17</v>
      </c>
      <c r="T155" s="33">
        <v>17</v>
      </c>
      <c r="U155" s="33">
        <v>18</v>
      </c>
      <c r="V155" s="33">
        <v>18</v>
      </c>
      <c r="W155" s="33">
        <v>19</v>
      </c>
      <c r="X155" s="33" t="str">
        <f>CONCATENATE(LOWER(SUBSTITUTE(SUBSTITUTE(B155," ","_"), ".", "")), ".png")</f>
        <v>john_buck.png</v>
      </c>
      <c r="Y155" s="33" t="s">
        <v>229</v>
      </c>
      <c r="Z155" s="33" t="str">
        <f>RIGHT(B155, LEN(B155)-SEARCH(" ", B155, 1))</f>
        <v>Buck</v>
      </c>
    </row>
    <row r="156" spans="1:26" x14ac:dyDescent="0.25">
      <c r="A156" s="33">
        <f>A155+1</f>
        <v>14155</v>
      </c>
      <c r="B156" s="2" t="s">
        <v>51</v>
      </c>
      <c r="C156" s="2" t="s">
        <v>49</v>
      </c>
      <c r="D156" s="4"/>
      <c r="E156" s="2" t="s">
        <v>44</v>
      </c>
      <c r="F156" s="2" t="s">
        <v>6</v>
      </c>
      <c r="G156" s="6">
        <v>4</v>
      </c>
      <c r="H156" s="10"/>
      <c r="I156" s="10"/>
      <c r="J156" s="2" t="s">
        <v>42</v>
      </c>
      <c r="K156" s="33">
        <v>12</v>
      </c>
      <c r="L156" s="6">
        <v>14</v>
      </c>
      <c r="M156" s="33"/>
      <c r="N156" s="33">
        <v>0</v>
      </c>
      <c r="O156" s="33">
        <v>1</v>
      </c>
      <c r="P156" s="33">
        <v>3</v>
      </c>
      <c r="Q156" s="33">
        <v>5</v>
      </c>
      <c r="R156" s="33">
        <v>9</v>
      </c>
      <c r="S156" s="33">
        <v>15</v>
      </c>
      <c r="T156" s="33">
        <v>16</v>
      </c>
      <c r="U156" s="33">
        <v>18</v>
      </c>
      <c r="V156" s="33">
        <v>18</v>
      </c>
      <c r="W156" s="33">
        <v>19</v>
      </c>
      <c r="X156" s="33" t="str">
        <f>CONCATENATE(LOWER(SUBSTITUTE(SUBSTITUTE(B156," ","_"), ".", "")), ".png")</f>
        <v>robinson_cano.png</v>
      </c>
      <c r="Y156" s="33" t="s">
        <v>229</v>
      </c>
      <c r="Z156" s="33" t="str">
        <f>RIGHT(B156, LEN(B156)-SEARCH(" ", B156, 1))</f>
        <v>Cano</v>
      </c>
    </row>
    <row r="157" spans="1:26" x14ac:dyDescent="0.25">
      <c r="A157" s="33">
        <f>A156+1</f>
        <v>14156</v>
      </c>
      <c r="B157" s="21" t="s">
        <v>95</v>
      </c>
      <c r="C157" s="1" t="s">
        <v>49</v>
      </c>
      <c r="D157" s="33"/>
      <c r="E157" s="12" t="s">
        <v>32</v>
      </c>
      <c r="F157" s="12" t="s">
        <v>69</v>
      </c>
      <c r="G157" s="33"/>
      <c r="H157" s="33"/>
      <c r="I157" s="33"/>
      <c r="J157" s="12" t="s">
        <v>42</v>
      </c>
      <c r="K157" s="33">
        <v>2</v>
      </c>
      <c r="L157" s="33">
        <v>6</v>
      </c>
      <c r="M157" s="33"/>
      <c r="N157" s="33">
        <v>4</v>
      </c>
      <c r="O157" s="33">
        <v>9</v>
      </c>
      <c r="P157" s="33">
        <v>14</v>
      </c>
      <c r="Q157" s="33">
        <v>16</v>
      </c>
      <c r="R157" s="33">
        <v>17</v>
      </c>
      <c r="S157" s="33">
        <v>18</v>
      </c>
      <c r="T157" s="33">
        <v>18</v>
      </c>
      <c r="U157" s="1">
        <v>26</v>
      </c>
      <c r="V157" s="1">
        <v>26</v>
      </c>
      <c r="W157" s="33">
        <v>27</v>
      </c>
      <c r="X157" s="33" t="str">
        <f>CONCATENATE(LOWER(SUBSTITUTE(SUBSTITUTE(B157," ","_"), ".", "")), ".png")</f>
        <v>roenis_elias.png</v>
      </c>
      <c r="Y157" s="33" t="s">
        <v>231</v>
      </c>
      <c r="Z157" s="33" t="str">
        <f>RIGHT(B157, LEN(B157)-SEARCH(" ", B157, 1))</f>
        <v>Elias</v>
      </c>
    </row>
    <row r="158" spans="1:26" x14ac:dyDescent="0.25">
      <c r="A158" s="33">
        <f>A157+1</f>
        <v>14157</v>
      </c>
      <c r="B158" s="21" t="s">
        <v>102</v>
      </c>
      <c r="C158" s="1" t="s">
        <v>49</v>
      </c>
      <c r="D158" s="33"/>
      <c r="E158" s="12" t="s">
        <v>32</v>
      </c>
      <c r="F158" s="12" t="s">
        <v>85</v>
      </c>
      <c r="G158" s="33"/>
      <c r="H158" s="33"/>
      <c r="I158" s="33"/>
      <c r="J158" s="12" t="s">
        <v>33</v>
      </c>
      <c r="K158" s="33">
        <v>5</v>
      </c>
      <c r="L158" s="33">
        <v>1</v>
      </c>
      <c r="M158" s="33"/>
      <c r="N158" s="33">
        <v>1</v>
      </c>
      <c r="O158" s="33">
        <v>9</v>
      </c>
      <c r="P158" s="33">
        <v>13</v>
      </c>
      <c r="Q158" s="33">
        <v>16</v>
      </c>
      <c r="R158" s="33">
        <v>18</v>
      </c>
      <c r="S158" s="33">
        <v>21</v>
      </c>
      <c r="T158" s="33">
        <v>21</v>
      </c>
      <c r="U158" s="1">
        <v>27</v>
      </c>
      <c r="V158" s="1">
        <v>27</v>
      </c>
      <c r="W158" s="33">
        <v>28</v>
      </c>
      <c r="X158" s="33" t="str">
        <f>CONCATENATE(LOWER(SUBSTITUTE(SUBSTITUTE(B158," ","_"), ".", "")), ".png")</f>
        <v>danny_farquhar.png</v>
      </c>
      <c r="Y158" s="33" t="s">
        <v>231</v>
      </c>
      <c r="Z158" s="33" t="str">
        <f>RIGHT(B158, LEN(B158)-SEARCH(" ", B158, 1))</f>
        <v>Farquhar</v>
      </c>
    </row>
    <row r="159" spans="1:26" x14ac:dyDescent="0.25">
      <c r="A159" s="33">
        <f>A158+1</f>
        <v>14158</v>
      </c>
      <c r="B159" s="21" t="s">
        <v>103</v>
      </c>
      <c r="C159" s="1" t="s">
        <v>49</v>
      </c>
      <c r="D159" s="33"/>
      <c r="E159" s="12" t="s">
        <v>32</v>
      </c>
      <c r="F159" s="12" t="s">
        <v>85</v>
      </c>
      <c r="G159" s="33"/>
      <c r="H159" s="33"/>
      <c r="I159" s="33"/>
      <c r="J159" s="12" t="s">
        <v>42</v>
      </c>
      <c r="K159" s="33">
        <v>5</v>
      </c>
      <c r="L159" s="33">
        <v>1</v>
      </c>
      <c r="M159" s="33"/>
      <c r="N159" s="33">
        <v>1</v>
      </c>
      <c r="O159" s="33">
        <v>8</v>
      </c>
      <c r="P159" s="33">
        <v>12</v>
      </c>
      <c r="Q159" s="33">
        <v>16</v>
      </c>
      <c r="R159" s="33">
        <v>17</v>
      </c>
      <c r="S159" s="33">
        <v>19</v>
      </c>
      <c r="T159" s="33">
        <v>19</v>
      </c>
      <c r="U159" s="1">
        <v>26</v>
      </c>
      <c r="V159" s="1">
        <v>26</v>
      </c>
      <c r="W159" s="33">
        <v>27</v>
      </c>
      <c r="X159" s="33" t="str">
        <f>CONCATENATE(LOWER(SUBSTITUTE(SUBSTITUTE(B159," ","_"), ".", "")), ".png")</f>
        <v>charlie_furbush.png</v>
      </c>
      <c r="Y159" s="33" t="s">
        <v>231</v>
      </c>
      <c r="Z159" s="33" t="str">
        <f>RIGHT(B159, LEN(B159)-SEARCH(" ", B159, 1))</f>
        <v>Furbush</v>
      </c>
    </row>
    <row r="160" spans="1:26" x14ac:dyDescent="0.25">
      <c r="A160" s="33">
        <f>A159+1</f>
        <v>14159</v>
      </c>
      <c r="B160" s="22" t="s">
        <v>94</v>
      </c>
      <c r="C160" s="4" t="s">
        <v>49</v>
      </c>
      <c r="D160" s="4">
        <v>10</v>
      </c>
      <c r="E160" s="10" t="s">
        <v>32</v>
      </c>
      <c r="F160" s="10" t="s">
        <v>41</v>
      </c>
      <c r="G160" s="10">
        <v>2</v>
      </c>
      <c r="H160" s="10"/>
      <c r="I160" s="10"/>
      <c r="J160" s="10" t="s">
        <v>33</v>
      </c>
      <c r="K160" s="33">
        <v>9</v>
      </c>
      <c r="L160" s="11">
        <v>8</v>
      </c>
      <c r="M160" s="33"/>
      <c r="N160" s="33">
        <v>0</v>
      </c>
      <c r="O160" s="33">
        <v>2</v>
      </c>
      <c r="P160" s="33">
        <v>5</v>
      </c>
      <c r="Q160" s="33">
        <v>7</v>
      </c>
      <c r="R160" s="33">
        <v>13</v>
      </c>
      <c r="S160" s="33">
        <v>20</v>
      </c>
      <c r="T160" s="33">
        <v>20</v>
      </c>
      <c r="U160" s="33">
        <v>21</v>
      </c>
      <c r="V160" s="33">
        <v>21</v>
      </c>
      <c r="W160" s="33">
        <v>22</v>
      </c>
      <c r="X160" s="33" t="str">
        <f>CONCATENATE(LOWER(SUBSTITUTE(SUBSTITUTE(B160," ","_"), ".", "")), ".png")</f>
        <v>cole_gillespie.png</v>
      </c>
      <c r="Y160" s="33" t="s">
        <v>229</v>
      </c>
      <c r="Z160" s="33" t="str">
        <f>RIGHT(B160, LEN(B160)-SEARCH(" ", B160, 1))</f>
        <v>Gillespie</v>
      </c>
    </row>
    <row r="161" spans="1:26" x14ac:dyDescent="0.25">
      <c r="A161" s="33">
        <f>A160+1</f>
        <v>14160</v>
      </c>
      <c r="B161" s="2" t="s">
        <v>59</v>
      </c>
      <c r="C161" s="2" t="s">
        <v>49</v>
      </c>
      <c r="D161" s="4"/>
      <c r="E161" s="2" t="s">
        <v>32</v>
      </c>
      <c r="F161" s="2" t="s">
        <v>5</v>
      </c>
      <c r="G161" s="6">
        <v>0</v>
      </c>
      <c r="H161" s="2" t="s">
        <v>41</v>
      </c>
      <c r="I161" s="6">
        <v>0</v>
      </c>
      <c r="J161" s="2" t="s">
        <v>33</v>
      </c>
      <c r="K161" s="33">
        <v>10</v>
      </c>
      <c r="L161" s="6">
        <v>13</v>
      </c>
      <c r="M161" s="33"/>
      <c r="N161" s="33">
        <v>0</v>
      </c>
      <c r="O161" s="33">
        <v>2</v>
      </c>
      <c r="P161" s="33">
        <v>4</v>
      </c>
      <c r="Q161" s="33">
        <v>6</v>
      </c>
      <c r="R161" s="33">
        <v>9</v>
      </c>
      <c r="S161" s="33">
        <v>14</v>
      </c>
      <c r="T161" s="33">
        <v>15</v>
      </c>
      <c r="U161" s="33">
        <v>17</v>
      </c>
      <c r="V161" s="33">
        <v>18</v>
      </c>
      <c r="W161" s="33">
        <v>18</v>
      </c>
      <c r="X161" s="33" t="str">
        <f>CONCATENATE(LOWER(SUBSTITUTE(SUBSTITUTE(B161," ","_"), ".", "")), ".png")</f>
        <v>corey_hart.png</v>
      </c>
      <c r="Y161" s="33" t="s">
        <v>229</v>
      </c>
      <c r="Z161" s="33" t="str">
        <f>RIGHT(B161, LEN(B161)-SEARCH(" ", B161, 1))</f>
        <v>Hart</v>
      </c>
    </row>
    <row r="162" spans="1:26" x14ac:dyDescent="0.25">
      <c r="A162" s="33">
        <f>A161+1</f>
        <v>14161</v>
      </c>
      <c r="B162" s="2" t="s">
        <v>70</v>
      </c>
      <c r="C162" s="1" t="s">
        <v>49</v>
      </c>
      <c r="D162" s="33"/>
      <c r="E162" s="2" t="s">
        <v>44</v>
      </c>
      <c r="F162" s="2" t="s">
        <v>69</v>
      </c>
      <c r="G162" s="33"/>
      <c r="H162" s="33"/>
      <c r="I162" s="33"/>
      <c r="J162" s="2" t="s">
        <v>33</v>
      </c>
      <c r="K162" s="33">
        <v>5</v>
      </c>
      <c r="L162" s="33">
        <v>7</v>
      </c>
      <c r="M162" s="33"/>
      <c r="N162" s="33">
        <v>1</v>
      </c>
      <c r="O162" s="33">
        <v>9</v>
      </c>
      <c r="P162" s="33">
        <v>13</v>
      </c>
      <c r="Q162" s="33">
        <v>16</v>
      </c>
      <c r="R162" s="33">
        <v>18</v>
      </c>
      <c r="S162" s="33">
        <v>22</v>
      </c>
      <c r="T162" s="33">
        <v>22</v>
      </c>
      <c r="U162" s="6">
        <v>26</v>
      </c>
      <c r="V162" s="6">
        <v>26</v>
      </c>
      <c r="W162" s="33">
        <v>27</v>
      </c>
      <c r="X162" s="33" t="str">
        <f>CONCATENATE(LOWER(SUBSTITUTE(SUBSTITUTE(B162," ","_"), ".", "")), ".png")</f>
        <v>felix_hernandex.png</v>
      </c>
      <c r="Y162" s="33" t="s">
        <v>231</v>
      </c>
      <c r="Z162" s="33" t="str">
        <f>RIGHT(B162, LEN(B162)-SEARCH(" ", B162, 1))</f>
        <v>Hernandex</v>
      </c>
    </row>
    <row r="163" spans="1:26" x14ac:dyDescent="0.25">
      <c r="A163" s="33">
        <f>A162+1</f>
        <v>14162</v>
      </c>
      <c r="B163" s="21" t="s">
        <v>97</v>
      </c>
      <c r="C163" s="1" t="s">
        <v>49</v>
      </c>
      <c r="D163" s="33"/>
      <c r="E163" s="12" t="s">
        <v>32</v>
      </c>
      <c r="F163" s="12" t="s">
        <v>69</v>
      </c>
      <c r="G163" s="33"/>
      <c r="H163" s="33"/>
      <c r="I163" s="33"/>
      <c r="J163" s="12" t="s">
        <v>33</v>
      </c>
      <c r="K163" s="33">
        <v>6</v>
      </c>
      <c r="L163" s="33">
        <v>7</v>
      </c>
      <c r="M163" s="33"/>
      <c r="N163" s="33">
        <v>1</v>
      </c>
      <c r="O163" s="33">
        <v>5</v>
      </c>
      <c r="P163" s="33">
        <v>12</v>
      </c>
      <c r="Q163" s="33">
        <v>17</v>
      </c>
      <c r="R163" s="33">
        <v>17</v>
      </c>
      <c r="S163" s="33">
        <v>18</v>
      </c>
      <c r="T163" s="33">
        <v>18</v>
      </c>
      <c r="U163" s="1">
        <v>23</v>
      </c>
      <c r="V163" s="1">
        <v>23</v>
      </c>
      <c r="W163" s="33">
        <v>24</v>
      </c>
      <c r="X163" s="33" t="str">
        <f>CONCATENATE(LOWER(SUBSTITUTE(SUBSTITUTE(B163," ","_"), ".", "")), ".png")</f>
        <v>hisashi_iwakuma.png</v>
      </c>
      <c r="Y163" s="33" t="s">
        <v>231</v>
      </c>
      <c r="Z163" s="33" t="str">
        <f>RIGHT(B163, LEN(B163)-SEARCH(" ", B163, 1))</f>
        <v>Iwakuma</v>
      </c>
    </row>
    <row r="164" spans="1:26" x14ac:dyDescent="0.25">
      <c r="A164" s="33">
        <f>A163+1</f>
        <v>14163</v>
      </c>
      <c r="B164" s="21" t="s">
        <v>104</v>
      </c>
      <c r="C164" s="1" t="s">
        <v>49</v>
      </c>
      <c r="D164" s="33"/>
      <c r="E164" s="12" t="s">
        <v>32</v>
      </c>
      <c r="F164" s="12" t="s">
        <v>85</v>
      </c>
      <c r="G164" s="33"/>
      <c r="H164" s="33"/>
      <c r="I164" s="33"/>
      <c r="J164" s="12" t="s">
        <v>33</v>
      </c>
      <c r="K164" s="33">
        <v>5</v>
      </c>
      <c r="L164" s="33">
        <v>1</v>
      </c>
      <c r="M164" s="33"/>
      <c r="N164" s="33">
        <v>1</v>
      </c>
      <c r="O164" s="33">
        <v>7</v>
      </c>
      <c r="P164" s="33">
        <v>13</v>
      </c>
      <c r="Q164" s="33">
        <v>16</v>
      </c>
      <c r="R164" s="33">
        <v>17</v>
      </c>
      <c r="S164" s="33">
        <v>19</v>
      </c>
      <c r="T164" s="33">
        <v>19</v>
      </c>
      <c r="U164" s="1">
        <v>23</v>
      </c>
      <c r="V164" s="1">
        <v>23</v>
      </c>
      <c r="W164" s="33">
        <v>24</v>
      </c>
      <c r="X164" s="33" t="str">
        <f>CONCATENATE(LOWER(SUBSTITUTE(SUBSTITUTE(B164," ","_"), ".", "")), ".png")</f>
        <v>dominic_leone.png</v>
      </c>
      <c r="Y164" s="33" t="s">
        <v>231</v>
      </c>
      <c r="Z164" s="33" t="str">
        <f>RIGHT(B164, LEN(B164)-SEARCH(" ", B164, 1))</f>
        <v>Leone</v>
      </c>
    </row>
    <row r="165" spans="1:26" x14ac:dyDescent="0.25">
      <c r="A165" s="33">
        <f>A164+1</f>
        <v>14164</v>
      </c>
      <c r="B165" s="21" t="s">
        <v>101</v>
      </c>
      <c r="C165" s="1" t="s">
        <v>49</v>
      </c>
      <c r="D165" s="33"/>
      <c r="E165" s="12" t="s">
        <v>32</v>
      </c>
      <c r="F165" s="12" t="s">
        <v>85</v>
      </c>
      <c r="G165" s="33"/>
      <c r="H165" s="33"/>
      <c r="I165" s="33"/>
      <c r="J165" s="12" t="s">
        <v>33</v>
      </c>
      <c r="K165" s="33">
        <v>3</v>
      </c>
      <c r="L165" s="33">
        <v>1</v>
      </c>
      <c r="M165" s="33"/>
      <c r="N165" s="33">
        <v>1</v>
      </c>
      <c r="O165" s="33">
        <v>8</v>
      </c>
      <c r="P165" s="33">
        <v>13</v>
      </c>
      <c r="Q165" s="33">
        <v>17</v>
      </c>
      <c r="R165" s="33">
        <v>19</v>
      </c>
      <c r="S165" s="33">
        <v>20</v>
      </c>
      <c r="T165" s="33">
        <v>20</v>
      </c>
      <c r="U165" s="1">
        <v>26</v>
      </c>
      <c r="V165" s="1">
        <v>26</v>
      </c>
      <c r="W165" s="33">
        <v>27</v>
      </c>
      <c r="X165" s="33" t="str">
        <f>CONCATENATE(LOWER(SUBSTITUTE(SUBSTITUTE(B165," ","_"), ".", "")), ".png")</f>
        <v>yoervis_medina.png</v>
      </c>
      <c r="Y165" s="33" t="s">
        <v>231</v>
      </c>
      <c r="Z165" s="33" t="str">
        <f>RIGHT(B165, LEN(B165)-SEARCH(" ", B165, 1))</f>
        <v>Medina</v>
      </c>
    </row>
    <row r="166" spans="1:26" x14ac:dyDescent="0.25">
      <c r="A166" s="33">
        <f>A165+1</f>
        <v>14165</v>
      </c>
      <c r="B166" s="2" t="s">
        <v>52</v>
      </c>
      <c r="C166" s="2" t="s">
        <v>49</v>
      </c>
      <c r="D166" s="4"/>
      <c r="E166" s="2" t="s">
        <v>32</v>
      </c>
      <c r="F166" s="2" t="s">
        <v>53</v>
      </c>
      <c r="G166" s="6">
        <v>3</v>
      </c>
      <c r="H166" s="10"/>
      <c r="I166" s="10"/>
      <c r="J166" s="2" t="s">
        <v>42</v>
      </c>
      <c r="K166" s="33">
        <v>10</v>
      </c>
      <c r="L166" s="6">
        <v>16</v>
      </c>
      <c r="M166" s="33"/>
      <c r="N166" s="33">
        <v>0</v>
      </c>
      <c r="O166" s="33">
        <v>1</v>
      </c>
      <c r="P166" s="33">
        <v>4</v>
      </c>
      <c r="Q166" s="33">
        <v>6</v>
      </c>
      <c r="R166" s="33">
        <v>9</v>
      </c>
      <c r="S166" s="33">
        <v>16</v>
      </c>
      <c r="T166" s="33">
        <v>16</v>
      </c>
      <c r="U166" s="33">
        <v>17</v>
      </c>
      <c r="V166" s="33">
        <v>19</v>
      </c>
      <c r="W166" s="33">
        <v>20</v>
      </c>
      <c r="X166" s="33" t="str">
        <f>CONCATENATE(LOWER(SUBSTITUTE(SUBSTITUTE(B166," ","_"), ".", "")), ".png")</f>
        <v>brad_miller.png</v>
      </c>
      <c r="Y166" s="33" t="s">
        <v>229</v>
      </c>
      <c r="Z166" s="33" t="str">
        <f>RIGHT(B166, LEN(B166)-SEARCH(" ", B166, 1))</f>
        <v>Miller</v>
      </c>
    </row>
    <row r="167" spans="1:26" x14ac:dyDescent="0.25">
      <c r="A167" s="33">
        <f>A166+1</f>
        <v>14166</v>
      </c>
      <c r="B167" s="2" t="s">
        <v>58</v>
      </c>
      <c r="C167" s="2" t="s">
        <v>49</v>
      </c>
      <c r="D167" s="4"/>
      <c r="E167" s="2" t="s">
        <v>32</v>
      </c>
      <c r="F167" s="2" t="s">
        <v>5</v>
      </c>
      <c r="G167" s="6">
        <v>0</v>
      </c>
      <c r="H167" s="2" t="s">
        <v>41</v>
      </c>
      <c r="I167" s="6">
        <v>1</v>
      </c>
      <c r="J167" s="2" t="s">
        <v>42</v>
      </c>
      <c r="K167" s="33">
        <v>10</v>
      </c>
      <c r="L167" s="6">
        <v>8</v>
      </c>
      <c r="M167" s="33"/>
      <c r="N167" s="33">
        <v>0</v>
      </c>
      <c r="O167" s="33">
        <v>2</v>
      </c>
      <c r="P167" s="33">
        <v>5</v>
      </c>
      <c r="Q167" s="33">
        <v>7</v>
      </c>
      <c r="R167" s="33">
        <v>12</v>
      </c>
      <c r="S167" s="33">
        <v>17</v>
      </c>
      <c r="T167" s="33">
        <v>17</v>
      </c>
      <c r="U167" s="33">
        <v>18</v>
      </c>
      <c r="V167" s="33">
        <v>19</v>
      </c>
      <c r="W167" s="33">
        <v>20</v>
      </c>
      <c r="X167" s="33" t="str">
        <f>CONCATENATE(LOWER(SUBSTITUTE(SUBSTITUTE(B167," ","_"), ".", "")), ".png")</f>
        <v>logan_morrison.png</v>
      </c>
      <c r="Y167" s="33" t="s">
        <v>229</v>
      </c>
      <c r="Z167" s="33" t="str">
        <f>RIGHT(B167, LEN(B167)-SEARCH(" ", B167, 1))</f>
        <v>Morrison</v>
      </c>
    </row>
    <row r="168" spans="1:26" x14ac:dyDescent="0.25">
      <c r="A168" s="33">
        <f>A167+1</f>
        <v>14167</v>
      </c>
      <c r="B168" s="21" t="s">
        <v>96</v>
      </c>
      <c r="C168" s="1" t="s">
        <v>49</v>
      </c>
      <c r="D168" s="33"/>
      <c r="E168" s="12" t="s">
        <v>32</v>
      </c>
      <c r="F168" s="12" t="s">
        <v>69</v>
      </c>
      <c r="G168" s="33"/>
      <c r="H168" s="33"/>
      <c r="I168" s="33"/>
      <c r="J168" s="12" t="s">
        <v>42</v>
      </c>
      <c r="K168" s="33">
        <v>5</v>
      </c>
      <c r="L168" s="33">
        <v>6</v>
      </c>
      <c r="M168" s="33"/>
      <c r="N168" s="33">
        <v>0</v>
      </c>
      <c r="O168" s="33">
        <v>6</v>
      </c>
      <c r="P168" s="33">
        <v>13</v>
      </c>
      <c r="Q168" s="33">
        <v>17</v>
      </c>
      <c r="R168" s="33">
        <v>18</v>
      </c>
      <c r="S168" s="33">
        <v>19</v>
      </c>
      <c r="T168" s="33">
        <v>19</v>
      </c>
      <c r="U168" s="1">
        <v>25</v>
      </c>
      <c r="V168" s="1">
        <v>25</v>
      </c>
      <c r="W168" s="33">
        <v>26</v>
      </c>
      <c r="X168" s="33" t="str">
        <f>CONCATENATE(LOWER(SUBSTITUTE(SUBSTITUTE(B168," ","_"), ".", "")), ".png")</f>
        <v>james_paxton.png</v>
      </c>
      <c r="Y168" s="33" t="s">
        <v>231</v>
      </c>
      <c r="Z168" s="33" t="str">
        <f>RIGHT(B168, LEN(B168)-SEARCH(" ", B168, 1))</f>
        <v>Paxton</v>
      </c>
    </row>
    <row r="169" spans="1:26" x14ac:dyDescent="0.25">
      <c r="A169" s="33">
        <f>A168+1</f>
        <v>14168</v>
      </c>
      <c r="B169" s="21" t="s">
        <v>99</v>
      </c>
      <c r="C169" s="1" t="s">
        <v>49</v>
      </c>
      <c r="D169" s="33"/>
      <c r="E169" s="12" t="s">
        <v>32</v>
      </c>
      <c r="F169" s="12" t="s">
        <v>69</v>
      </c>
      <c r="G169" s="33"/>
      <c r="H169" s="33"/>
      <c r="I169" s="33"/>
      <c r="J169" s="12" t="s">
        <v>33</v>
      </c>
      <c r="K169" s="33">
        <v>2</v>
      </c>
      <c r="L169" s="33">
        <v>5</v>
      </c>
      <c r="M169" s="33"/>
      <c r="N169" s="33">
        <v>1</v>
      </c>
      <c r="O169" s="33">
        <v>5</v>
      </c>
      <c r="P169" s="33">
        <v>11</v>
      </c>
      <c r="Q169" s="33">
        <v>15</v>
      </c>
      <c r="R169" s="33">
        <v>17</v>
      </c>
      <c r="S169" s="33">
        <v>19</v>
      </c>
      <c r="T169" s="33">
        <v>19</v>
      </c>
      <c r="U169" s="1">
        <v>21</v>
      </c>
      <c r="V169" s="1">
        <v>21</v>
      </c>
      <c r="W169" s="33">
        <v>22</v>
      </c>
      <c r="X169" s="33" t="str">
        <f>CONCATENATE(LOWER(SUBSTITUTE(SUBSTITUTE(B169," ","_"), ".", "")), ".png")</f>
        <v>erasmo_ramirez.png</v>
      </c>
      <c r="Y169" s="33" t="s">
        <v>231</v>
      </c>
      <c r="Z169" s="33" t="str">
        <f>RIGHT(B169, LEN(B169)-SEARCH(" ", B169, 1))</f>
        <v>Ramirez</v>
      </c>
    </row>
    <row r="170" spans="1:26" x14ac:dyDescent="0.25">
      <c r="A170" s="33">
        <f>A169+1</f>
        <v>14169</v>
      </c>
      <c r="B170" s="21" t="s">
        <v>98</v>
      </c>
      <c r="C170" s="1" t="s">
        <v>49</v>
      </c>
      <c r="D170" s="33"/>
      <c r="E170" s="12" t="s">
        <v>32</v>
      </c>
      <c r="F170" s="12" t="s">
        <v>82</v>
      </c>
      <c r="G170" s="33"/>
      <c r="H170" s="33"/>
      <c r="I170" s="33"/>
      <c r="J170" s="12" t="s">
        <v>33</v>
      </c>
      <c r="K170" s="33">
        <v>3</v>
      </c>
      <c r="L170" s="33">
        <v>1</v>
      </c>
      <c r="M170" s="33"/>
      <c r="N170" s="33">
        <v>1</v>
      </c>
      <c r="O170" s="33">
        <v>7</v>
      </c>
      <c r="P170" s="33">
        <v>13</v>
      </c>
      <c r="Q170" s="33">
        <v>16</v>
      </c>
      <c r="R170" s="33">
        <v>17</v>
      </c>
      <c r="S170" s="33">
        <v>19</v>
      </c>
      <c r="T170" s="33">
        <v>19</v>
      </c>
      <c r="U170" s="1">
        <v>27</v>
      </c>
      <c r="V170" s="1">
        <v>27</v>
      </c>
      <c r="W170" s="33">
        <v>28</v>
      </c>
      <c r="X170" s="33" t="str">
        <f>CONCATENATE(LOWER(SUBSTITUTE(SUBSTITUTE(B170," ","_"), ".", "")), ".png")</f>
        <v>fernando_rodney.png</v>
      </c>
      <c r="Y170" s="33" t="s">
        <v>231</v>
      </c>
      <c r="Z170" s="33" t="str">
        <f>RIGHT(B170, LEN(B170)-SEARCH(" ", B170, 1))</f>
        <v>Rodney</v>
      </c>
    </row>
    <row r="171" spans="1:26" x14ac:dyDescent="0.25">
      <c r="A171" s="33">
        <f>A170+1</f>
        <v>14170</v>
      </c>
      <c r="B171" s="22" t="s">
        <v>91</v>
      </c>
      <c r="C171" s="4" t="s">
        <v>49</v>
      </c>
      <c r="D171" s="4"/>
      <c r="E171" s="10" t="s">
        <v>32</v>
      </c>
      <c r="F171" s="10" t="s">
        <v>41</v>
      </c>
      <c r="G171" s="10">
        <v>1</v>
      </c>
      <c r="H171" s="10"/>
      <c r="I171" s="10"/>
      <c r="J171" s="10" t="s">
        <v>33</v>
      </c>
      <c r="K171" s="33">
        <v>10</v>
      </c>
      <c r="L171" s="11">
        <v>16</v>
      </c>
      <c r="M171" s="33"/>
      <c r="N171" s="33">
        <v>0</v>
      </c>
      <c r="O171" s="33">
        <v>3</v>
      </c>
      <c r="P171" s="33">
        <v>5</v>
      </c>
      <c r="Q171" s="33">
        <v>7</v>
      </c>
      <c r="R171" s="33">
        <v>9</v>
      </c>
      <c r="S171" s="33">
        <v>14</v>
      </c>
      <c r="T171" s="33">
        <v>15</v>
      </c>
      <c r="U171" s="33">
        <v>17</v>
      </c>
      <c r="V171" s="33">
        <v>19</v>
      </c>
      <c r="W171" s="33">
        <v>20</v>
      </c>
      <c r="X171" s="33" t="str">
        <f>CONCATENATE(LOWER(SUBSTITUTE(SUBSTITUTE(B171," ","_"), ".", "")), ".png")</f>
        <v>stefen_romero.png</v>
      </c>
      <c r="Y171" s="33" t="s">
        <v>229</v>
      </c>
      <c r="Z171" s="33" t="str">
        <f>RIGHT(B171, LEN(B171)-SEARCH(" ", B171, 1))</f>
        <v>Romero</v>
      </c>
    </row>
    <row r="172" spans="1:26" x14ac:dyDescent="0.25">
      <c r="A172" s="33">
        <f>A171+1</f>
        <v>14171</v>
      </c>
      <c r="B172" s="22" t="s">
        <v>90</v>
      </c>
      <c r="C172" s="4" t="s">
        <v>49</v>
      </c>
      <c r="D172" s="4"/>
      <c r="E172" s="10" t="s">
        <v>32</v>
      </c>
      <c r="F172" s="10" t="s">
        <v>56</v>
      </c>
      <c r="G172" s="10">
        <v>2</v>
      </c>
      <c r="H172" s="10"/>
      <c r="I172" s="10"/>
      <c r="J172" s="10" t="s">
        <v>42</v>
      </c>
      <c r="K172" s="33">
        <v>10</v>
      </c>
      <c r="L172" s="11">
        <v>17</v>
      </c>
      <c r="M172" s="33"/>
      <c r="N172" s="33">
        <v>0</v>
      </c>
      <c r="O172" s="33">
        <v>3</v>
      </c>
      <c r="P172" s="33">
        <v>5</v>
      </c>
      <c r="Q172" s="33">
        <v>7</v>
      </c>
      <c r="R172" s="33">
        <v>11</v>
      </c>
      <c r="S172" s="33">
        <v>14</v>
      </c>
      <c r="T172" s="33">
        <v>16</v>
      </c>
      <c r="U172" s="33">
        <v>18</v>
      </c>
      <c r="V172" s="33">
        <v>19</v>
      </c>
      <c r="W172" s="33">
        <v>20</v>
      </c>
      <c r="X172" s="33" t="str">
        <f>CONCATENATE(LOWER(SUBSTITUTE(SUBSTITUTE(B172," ","_"), ".", "")), ".png")</f>
        <v>michael_saunders.png</v>
      </c>
      <c r="Y172" s="33" t="s">
        <v>229</v>
      </c>
      <c r="Z172" s="33" t="str">
        <f>RIGHT(B172, LEN(B172)-SEARCH(" ", B172, 1))</f>
        <v>Saunders</v>
      </c>
    </row>
    <row r="173" spans="1:26" x14ac:dyDescent="0.25">
      <c r="A173" s="33">
        <f>A172+1</f>
        <v>14172</v>
      </c>
      <c r="B173" s="2" t="s">
        <v>54</v>
      </c>
      <c r="C173" s="2" t="s">
        <v>49</v>
      </c>
      <c r="D173" s="4"/>
      <c r="E173" s="2" t="s">
        <v>32</v>
      </c>
      <c r="F173" s="2" t="s">
        <v>7</v>
      </c>
      <c r="G173" s="6">
        <v>1</v>
      </c>
      <c r="H173" s="10"/>
      <c r="I173" s="10"/>
      <c r="J173" s="2" t="s">
        <v>42</v>
      </c>
      <c r="K173" s="33">
        <v>10</v>
      </c>
      <c r="L173" s="6">
        <v>15</v>
      </c>
      <c r="M173" s="33"/>
      <c r="N173" s="33">
        <v>0</v>
      </c>
      <c r="O173" s="33">
        <v>1</v>
      </c>
      <c r="P173" s="33">
        <v>3</v>
      </c>
      <c r="Q173" s="33">
        <v>6</v>
      </c>
      <c r="R173" s="33">
        <v>10</v>
      </c>
      <c r="S173" s="33">
        <v>15</v>
      </c>
      <c r="T173" s="33">
        <v>15</v>
      </c>
      <c r="U173" s="33">
        <v>17</v>
      </c>
      <c r="V173" s="33">
        <v>18</v>
      </c>
      <c r="W173" s="33">
        <v>19</v>
      </c>
      <c r="X173" s="33" t="str">
        <f>CONCATENATE(LOWER(SUBSTITUTE(SUBSTITUTE(B173," ","_"), ".", "")), ".png")</f>
        <v>kyle_seager.png</v>
      </c>
      <c r="Y173" s="33" t="s">
        <v>229</v>
      </c>
      <c r="Z173" s="33" t="str">
        <f>RIGHT(B173, LEN(B173)-SEARCH(" ", B173, 1))</f>
        <v>Seager</v>
      </c>
    </row>
    <row r="174" spans="1:26" x14ac:dyDescent="0.25">
      <c r="A174" s="33">
        <f>A173+1</f>
        <v>14173</v>
      </c>
      <c r="B174" s="2" t="s">
        <v>50</v>
      </c>
      <c r="C174" s="2" t="s">
        <v>49</v>
      </c>
      <c r="D174" s="4"/>
      <c r="E174" s="2" t="s">
        <v>32</v>
      </c>
      <c r="F174" s="2" t="s">
        <v>5</v>
      </c>
      <c r="G174" s="6">
        <v>0</v>
      </c>
      <c r="H174" s="10"/>
      <c r="I174" s="10"/>
      <c r="J174" s="2" t="s">
        <v>38</v>
      </c>
      <c r="K174" s="33">
        <v>10</v>
      </c>
      <c r="L174" s="6">
        <v>8</v>
      </c>
      <c r="M174" s="33"/>
      <c r="N174" s="33">
        <v>0</v>
      </c>
      <c r="O174" s="33">
        <v>2</v>
      </c>
      <c r="P174" s="33">
        <v>4</v>
      </c>
      <c r="Q174" s="33">
        <v>7</v>
      </c>
      <c r="R174" s="33">
        <v>12</v>
      </c>
      <c r="S174" s="33">
        <v>16</v>
      </c>
      <c r="T174" s="33">
        <v>16</v>
      </c>
      <c r="U174" s="33">
        <v>18</v>
      </c>
      <c r="V174" s="33">
        <v>18</v>
      </c>
      <c r="W174" s="33">
        <v>19</v>
      </c>
      <c r="X174" s="33" t="str">
        <f>CONCATENATE(LOWER(SUBSTITUTE(SUBSTITUTE(B174," ","_"), ".", "")), ".png")</f>
        <v>justin_smoak.png</v>
      </c>
      <c r="Y174" s="33" t="s">
        <v>229</v>
      </c>
      <c r="Z174" s="33" t="str">
        <f>RIGHT(B174, LEN(B174)-SEARCH(" ", B174, 1))</f>
        <v>Smoak</v>
      </c>
    </row>
    <row r="175" spans="1:26" x14ac:dyDescent="0.25">
      <c r="A175" s="33">
        <f>A174+1</f>
        <v>14174</v>
      </c>
      <c r="B175" s="21" t="s">
        <v>100</v>
      </c>
      <c r="C175" s="1" t="s">
        <v>49</v>
      </c>
      <c r="D175" s="33"/>
      <c r="E175" s="12" t="s">
        <v>32</v>
      </c>
      <c r="F175" s="12" t="s">
        <v>85</v>
      </c>
      <c r="G175" s="33"/>
      <c r="H175" s="33"/>
      <c r="I175" s="33"/>
      <c r="J175" s="12" t="s">
        <v>33</v>
      </c>
      <c r="K175" s="33">
        <v>3</v>
      </c>
      <c r="L175" s="33">
        <v>1</v>
      </c>
      <c r="M175" s="33"/>
      <c r="N175" s="33">
        <v>0</v>
      </c>
      <c r="O175" s="33">
        <v>4</v>
      </c>
      <c r="P175" s="33">
        <v>11</v>
      </c>
      <c r="Q175" s="33">
        <v>16</v>
      </c>
      <c r="R175" s="33">
        <v>18</v>
      </c>
      <c r="S175" s="33">
        <v>21</v>
      </c>
      <c r="T175" s="33">
        <v>21</v>
      </c>
      <c r="U175" s="1">
        <v>27</v>
      </c>
      <c r="V175" s="1">
        <v>27</v>
      </c>
      <c r="W175" s="33">
        <v>28</v>
      </c>
      <c r="X175" s="33" t="str">
        <f>CONCATENATE(LOWER(SUBSTITUTE(SUBSTITUTE(B175," ","_"), ".", "")), ".png")</f>
        <v>tom_wilhelmsen.png</v>
      </c>
      <c r="Y175" s="33" t="s">
        <v>231</v>
      </c>
      <c r="Z175" s="33" t="str">
        <f>RIGHT(B175, LEN(B175)-SEARCH(" ", B175, 1))</f>
        <v>Wilhelmsen</v>
      </c>
    </row>
    <row r="176" spans="1:26" x14ac:dyDescent="0.25">
      <c r="A176" s="33">
        <f>A175+1</f>
        <v>14175</v>
      </c>
      <c r="B176" s="2" t="s">
        <v>48</v>
      </c>
      <c r="C176" s="2" t="s">
        <v>49</v>
      </c>
      <c r="D176" s="4"/>
      <c r="E176" s="2" t="s">
        <v>32</v>
      </c>
      <c r="F176" s="2" t="s">
        <v>32</v>
      </c>
      <c r="G176" s="6">
        <v>4</v>
      </c>
      <c r="H176" s="10"/>
      <c r="I176" s="10"/>
      <c r="J176" s="2" t="s">
        <v>33</v>
      </c>
      <c r="K176" s="33">
        <v>9</v>
      </c>
      <c r="L176" s="6">
        <v>11</v>
      </c>
      <c r="M176" s="33"/>
      <c r="N176" s="33">
        <v>0</v>
      </c>
      <c r="O176" s="33">
        <v>2</v>
      </c>
      <c r="P176" s="33">
        <v>4</v>
      </c>
      <c r="Q176" s="33">
        <v>7</v>
      </c>
      <c r="R176" s="33">
        <v>11</v>
      </c>
      <c r="S176" s="33">
        <v>18</v>
      </c>
      <c r="T176" s="33">
        <v>18</v>
      </c>
      <c r="U176" s="33">
        <v>19</v>
      </c>
      <c r="V176" s="33">
        <v>19</v>
      </c>
      <c r="W176" s="33">
        <v>20</v>
      </c>
      <c r="X176" s="33" t="str">
        <f>CONCATENATE(LOWER(SUBSTITUTE(SUBSTITUTE(B176," ","_"), ".", "")), ".png")</f>
        <v>mike_zunino.png</v>
      </c>
      <c r="Y176" s="33" t="s">
        <v>229</v>
      </c>
      <c r="Z176" s="33" t="str">
        <f>RIGHT(B176, LEN(B176)-SEARCH(" ", B176, 1))</f>
        <v>Zunino</v>
      </c>
    </row>
    <row r="177" spans="1:26" x14ac:dyDescent="0.25">
      <c r="A177" s="33">
        <f>A176+1</f>
        <v>14176</v>
      </c>
      <c r="B177" s="22" t="s">
        <v>345</v>
      </c>
      <c r="C177" s="4" t="s">
        <v>153</v>
      </c>
      <c r="D177" s="4"/>
      <c r="E177" s="10" t="s">
        <v>44</v>
      </c>
      <c r="F177" s="10" t="s">
        <v>6</v>
      </c>
      <c r="G177" s="10">
        <v>4</v>
      </c>
      <c r="H177" s="10" t="s">
        <v>7</v>
      </c>
      <c r="I177" s="10">
        <v>1</v>
      </c>
      <c r="J177" s="10" t="s">
        <v>42</v>
      </c>
      <c r="K177" s="33">
        <v>13</v>
      </c>
      <c r="L177" s="33">
        <v>11</v>
      </c>
      <c r="M177" s="33"/>
      <c r="N177" s="33">
        <v>0</v>
      </c>
      <c r="O177" s="33">
        <v>1</v>
      </c>
      <c r="P177" s="33">
        <v>3</v>
      </c>
      <c r="Q177" s="33">
        <v>5</v>
      </c>
      <c r="R177" s="33">
        <v>9</v>
      </c>
      <c r="S177" s="33">
        <v>15</v>
      </c>
      <c r="T177" s="33">
        <v>15</v>
      </c>
      <c r="U177" s="33">
        <v>18</v>
      </c>
      <c r="V177" s="33">
        <v>19</v>
      </c>
      <c r="W177" s="33">
        <v>20</v>
      </c>
      <c r="X177" s="33" t="str">
        <f>CONCATENATE(LOWER(SUBSTITUTE(SUBSTITUTE(B177," ","_"), ".", "")), ".png")</f>
        <v>matt_carpenter.png</v>
      </c>
      <c r="Y177" s="33" t="s">
        <v>229</v>
      </c>
      <c r="Z177" s="33" t="str">
        <f>RIGHT(B177, LEN(B177)-SEARCH(" ", B177, 1))</f>
        <v>Carpenter</v>
      </c>
    </row>
    <row r="178" spans="1:26" x14ac:dyDescent="0.25">
      <c r="A178" s="33">
        <f>A177+1</f>
        <v>14177</v>
      </c>
      <c r="B178" s="22" t="s">
        <v>346</v>
      </c>
      <c r="C178" s="4" t="s">
        <v>153</v>
      </c>
      <c r="D178" s="4"/>
      <c r="E178" s="10" t="s">
        <v>32</v>
      </c>
      <c r="F178" s="10" t="s">
        <v>37</v>
      </c>
      <c r="G178" s="10">
        <v>4</v>
      </c>
      <c r="H178" s="10"/>
      <c r="I178" s="10"/>
      <c r="J178" s="10" t="s">
        <v>33</v>
      </c>
      <c r="K178" s="33">
        <v>11</v>
      </c>
      <c r="L178" s="33">
        <v>13</v>
      </c>
      <c r="M178" s="33"/>
      <c r="N178" s="33">
        <v>0</v>
      </c>
      <c r="O178" s="33">
        <v>1</v>
      </c>
      <c r="P178" s="33">
        <v>3</v>
      </c>
      <c r="Q178" s="33">
        <v>5</v>
      </c>
      <c r="R178" s="33">
        <v>8</v>
      </c>
      <c r="S178" s="33">
        <v>15</v>
      </c>
      <c r="T178" s="33">
        <v>16</v>
      </c>
      <c r="U178" s="33">
        <v>19</v>
      </c>
      <c r="V178" s="33">
        <v>19</v>
      </c>
      <c r="W178" s="33">
        <v>20</v>
      </c>
      <c r="X178" s="33" t="str">
        <f>CONCATENATE(LOWER(SUBSTITUTE(SUBSTITUTE(B178," ","_"), ".", "")), ".png")</f>
        <v>jhonny_peralta.png</v>
      </c>
      <c r="Y178" s="33" t="s">
        <v>229</v>
      </c>
      <c r="Z178" s="33" t="str">
        <f>RIGHT(B178, LEN(B178)-SEARCH(" ", B178, 1))</f>
        <v>Peralta</v>
      </c>
    </row>
    <row r="179" spans="1:26" x14ac:dyDescent="0.25">
      <c r="A179" s="33">
        <f>A178+1</f>
        <v>14178</v>
      </c>
      <c r="B179" s="22" t="s">
        <v>347</v>
      </c>
      <c r="C179" s="4" t="s">
        <v>153</v>
      </c>
      <c r="D179" s="4"/>
      <c r="E179" s="10" t="s">
        <v>44</v>
      </c>
      <c r="F179" s="10" t="s">
        <v>41</v>
      </c>
      <c r="G179" s="10">
        <v>2</v>
      </c>
      <c r="H179" s="10"/>
      <c r="I179" s="10"/>
      <c r="J179" s="10" t="s">
        <v>33</v>
      </c>
      <c r="K179" s="33">
        <v>12</v>
      </c>
      <c r="L179" s="33">
        <v>14</v>
      </c>
      <c r="M179" s="33"/>
      <c r="N179" s="33">
        <v>0</v>
      </c>
      <c r="O179" s="33">
        <v>1</v>
      </c>
      <c r="P179" s="33">
        <v>3</v>
      </c>
      <c r="Q179" s="33">
        <v>5</v>
      </c>
      <c r="R179" s="33">
        <v>10</v>
      </c>
      <c r="S179" s="33">
        <v>16</v>
      </c>
      <c r="T179" s="33">
        <v>16</v>
      </c>
      <c r="U179" s="33">
        <v>18</v>
      </c>
      <c r="V179" s="33">
        <v>18</v>
      </c>
      <c r="W179" s="33">
        <v>19</v>
      </c>
      <c r="X179" s="33" t="str">
        <f>CONCATENATE(LOWER(SUBSTITUTE(SUBSTITUTE(B179," ","_"), ".", "")), ".png")</f>
        <v>matt_holliday.png</v>
      </c>
      <c r="Y179" s="33" t="s">
        <v>229</v>
      </c>
      <c r="Z179" s="33" t="str">
        <f>RIGHT(B179, LEN(B179)-SEARCH(" ", B179, 1))</f>
        <v>Holliday</v>
      </c>
    </row>
    <row r="180" spans="1:26" x14ac:dyDescent="0.25">
      <c r="A180" s="33">
        <f>A179+1</f>
        <v>14179</v>
      </c>
      <c r="B180" s="22" t="s">
        <v>348</v>
      </c>
      <c r="C180" s="4" t="s">
        <v>153</v>
      </c>
      <c r="D180" s="4"/>
      <c r="E180" s="10" t="s">
        <v>32</v>
      </c>
      <c r="F180" s="10" t="s">
        <v>5</v>
      </c>
      <c r="G180" s="10">
        <v>1</v>
      </c>
      <c r="H180" s="10" t="s">
        <v>41</v>
      </c>
      <c r="I180" s="10">
        <v>1</v>
      </c>
      <c r="J180" s="10" t="s">
        <v>33</v>
      </c>
      <c r="K180" s="33">
        <v>12</v>
      </c>
      <c r="L180" s="33">
        <v>10</v>
      </c>
      <c r="M180" s="33"/>
      <c r="N180" s="33">
        <v>0</v>
      </c>
      <c r="O180" s="33">
        <v>1</v>
      </c>
      <c r="P180" s="33">
        <v>4</v>
      </c>
      <c r="Q180" s="33">
        <v>5</v>
      </c>
      <c r="R180" s="33">
        <v>8</v>
      </c>
      <c r="S180" s="33">
        <v>17</v>
      </c>
      <c r="T180" s="33">
        <v>17</v>
      </c>
      <c r="U180" s="33">
        <v>19</v>
      </c>
      <c r="V180" s="33">
        <v>19</v>
      </c>
      <c r="W180" s="33">
        <v>20</v>
      </c>
      <c r="X180" s="33" t="str">
        <f>CONCATENATE(LOWER(SUBSTITUTE(SUBSTITUTE(B180," ","_"), ".", "")), ".png")</f>
        <v>allen_craig.png</v>
      </c>
      <c r="Y180" s="33" t="s">
        <v>229</v>
      </c>
      <c r="Z180" s="33" t="str">
        <f>RIGHT(B180, LEN(B180)-SEARCH(" ", B180, 1))</f>
        <v>Craig</v>
      </c>
    </row>
    <row r="181" spans="1:26" x14ac:dyDescent="0.25">
      <c r="A181" s="33">
        <f>A180+1</f>
        <v>14180</v>
      </c>
      <c r="B181" s="22" t="s">
        <v>349</v>
      </c>
      <c r="C181" s="4" t="s">
        <v>153</v>
      </c>
      <c r="D181" s="4"/>
      <c r="E181" s="10" t="s">
        <v>32</v>
      </c>
      <c r="F181" s="10" t="s">
        <v>5</v>
      </c>
      <c r="G181" s="10">
        <v>1</v>
      </c>
      <c r="H181" s="10"/>
      <c r="I181" s="10"/>
      <c r="J181" s="10" t="s">
        <v>42</v>
      </c>
      <c r="K181" s="33">
        <v>10</v>
      </c>
      <c r="L181" s="33">
        <v>8</v>
      </c>
      <c r="M181" s="33"/>
      <c r="N181" s="33">
        <v>0</v>
      </c>
      <c r="O181" s="33">
        <v>2</v>
      </c>
      <c r="P181" s="33">
        <v>4</v>
      </c>
      <c r="Q181" s="33">
        <v>6</v>
      </c>
      <c r="R181" s="33">
        <v>9</v>
      </c>
      <c r="S181" s="33">
        <v>16</v>
      </c>
      <c r="T181" s="33">
        <v>16</v>
      </c>
      <c r="U181" s="33">
        <v>18</v>
      </c>
      <c r="V181" s="33">
        <v>18</v>
      </c>
      <c r="W181" s="33">
        <v>19</v>
      </c>
      <c r="X181" s="33" t="str">
        <f>CONCATENATE(LOWER(SUBSTITUTE(SUBSTITUTE(B181," ","_"), ".", "")), ".png")</f>
        <v>matt_adams.png</v>
      </c>
      <c r="Y181" s="33" t="s">
        <v>229</v>
      </c>
      <c r="Z181" s="33" t="str">
        <f>RIGHT(B181, LEN(B181)-SEARCH(" ", B181, 1))</f>
        <v>Adams</v>
      </c>
    </row>
    <row r="182" spans="1:26" x14ac:dyDescent="0.25">
      <c r="A182" s="33">
        <f>A181+1</f>
        <v>14181</v>
      </c>
      <c r="B182" s="22" t="s">
        <v>350</v>
      </c>
      <c r="C182" s="4" t="s">
        <v>153</v>
      </c>
      <c r="D182" s="4"/>
      <c r="E182" s="10" t="s">
        <v>32</v>
      </c>
      <c r="F182" s="10" t="s">
        <v>45</v>
      </c>
      <c r="G182" s="10">
        <v>3</v>
      </c>
      <c r="H182" s="10"/>
      <c r="I182" s="10"/>
      <c r="J182" s="10" t="s">
        <v>42</v>
      </c>
      <c r="K182" s="33">
        <v>11</v>
      </c>
      <c r="L182" s="33">
        <v>15</v>
      </c>
      <c r="M182" s="33"/>
      <c r="N182" s="33">
        <v>0</v>
      </c>
      <c r="O182" s="33">
        <v>1</v>
      </c>
      <c r="P182" s="33">
        <v>5</v>
      </c>
      <c r="Q182" s="33">
        <v>6</v>
      </c>
      <c r="R182" s="33">
        <v>11</v>
      </c>
      <c r="S182" s="33">
        <v>18</v>
      </c>
      <c r="T182" s="33">
        <v>18</v>
      </c>
      <c r="U182" s="33">
        <v>20</v>
      </c>
      <c r="V182" s="33">
        <v>20</v>
      </c>
      <c r="W182" s="33">
        <v>21</v>
      </c>
      <c r="X182" s="33" t="str">
        <f>CONCATENATE(LOWER(SUBSTITUTE(SUBSTITUTE(B182," ","_"), ".", "")), ".png")</f>
        <v>jon_jay.png</v>
      </c>
      <c r="Y182" s="33" t="s">
        <v>229</v>
      </c>
      <c r="Z182" s="33" t="str">
        <f>RIGHT(B182, LEN(B182)-SEARCH(" ", B182, 1))</f>
        <v>Jay</v>
      </c>
    </row>
    <row r="183" spans="1:26" x14ac:dyDescent="0.25">
      <c r="A183" s="33">
        <f>A182+1</f>
        <v>14182</v>
      </c>
      <c r="B183" s="22" t="s">
        <v>351</v>
      </c>
      <c r="C183" s="4" t="s">
        <v>153</v>
      </c>
      <c r="D183" s="4"/>
      <c r="E183" s="10" t="s">
        <v>32</v>
      </c>
      <c r="F183" s="10" t="s">
        <v>32</v>
      </c>
      <c r="G183" s="10">
        <v>9</v>
      </c>
      <c r="H183" s="10"/>
      <c r="I183" s="10"/>
      <c r="J183" s="10" t="s">
        <v>33</v>
      </c>
      <c r="K183" s="33">
        <v>11</v>
      </c>
      <c r="L183" s="33">
        <v>12</v>
      </c>
      <c r="M183" s="33"/>
      <c r="N183" s="33">
        <v>0</v>
      </c>
      <c r="O183" s="33">
        <v>1</v>
      </c>
      <c r="P183" s="33">
        <v>3</v>
      </c>
      <c r="Q183" s="33">
        <v>5</v>
      </c>
      <c r="R183" s="33">
        <v>8</v>
      </c>
      <c r="S183" s="33">
        <v>16</v>
      </c>
      <c r="T183" s="33">
        <v>16</v>
      </c>
      <c r="U183" s="33">
        <v>19</v>
      </c>
      <c r="V183" s="33">
        <v>19</v>
      </c>
      <c r="W183" s="33">
        <v>20</v>
      </c>
      <c r="X183" s="33" t="str">
        <f>CONCATENATE(LOWER(SUBSTITUTE(SUBSTITUTE(B183," ","_"), ".", "")), ".png")</f>
        <v>yadier_molina.png</v>
      </c>
      <c r="Y183" s="33" t="s">
        <v>229</v>
      </c>
      <c r="Z183" s="33" t="str">
        <f>RIGHT(B183, LEN(B183)-SEARCH(" ", B183, 1))</f>
        <v>Molina</v>
      </c>
    </row>
    <row r="184" spans="1:26" x14ac:dyDescent="0.25">
      <c r="A184" s="33">
        <f>A183+1</f>
        <v>14183</v>
      </c>
      <c r="B184" s="22" t="s">
        <v>352</v>
      </c>
      <c r="C184" s="4" t="s">
        <v>153</v>
      </c>
      <c r="D184" s="4"/>
      <c r="E184" s="10" t="s">
        <v>32</v>
      </c>
      <c r="F184" s="10" t="s">
        <v>45</v>
      </c>
      <c r="G184" s="10">
        <v>2</v>
      </c>
      <c r="H184" s="10"/>
      <c r="I184" s="10"/>
      <c r="J184" s="10" t="s">
        <v>33</v>
      </c>
      <c r="K184" s="33">
        <v>10</v>
      </c>
      <c r="L184" s="33">
        <v>17</v>
      </c>
      <c r="M184" s="33"/>
      <c r="N184" s="33">
        <v>0</v>
      </c>
      <c r="O184" s="33">
        <v>2</v>
      </c>
      <c r="P184" s="33">
        <v>5</v>
      </c>
      <c r="Q184" s="33">
        <v>6</v>
      </c>
      <c r="R184" s="33">
        <v>10</v>
      </c>
      <c r="S184" s="33">
        <v>17</v>
      </c>
      <c r="T184" s="33">
        <v>18</v>
      </c>
      <c r="U184" s="33">
        <v>19</v>
      </c>
      <c r="V184" s="33">
        <v>20</v>
      </c>
      <c r="W184" s="33">
        <v>21</v>
      </c>
      <c r="X184" s="33" t="str">
        <f>CONCATENATE(LOWER(SUBSTITUTE(SUBSTITUTE(B184," ","_"), ".", "")), ".png")</f>
        <v>peter_bourjos.png</v>
      </c>
      <c r="Y184" s="33" t="s">
        <v>229</v>
      </c>
      <c r="Z184" s="33" t="str">
        <f>RIGHT(B184, LEN(B184)-SEARCH(" ", B184, 1))</f>
        <v>Bourjos</v>
      </c>
    </row>
    <row r="185" spans="1:26" x14ac:dyDescent="0.25">
      <c r="A185" s="33">
        <f>A184+1</f>
        <v>14184</v>
      </c>
      <c r="B185" s="22" t="s">
        <v>353</v>
      </c>
      <c r="C185" s="4" t="s">
        <v>153</v>
      </c>
      <c r="D185" s="4"/>
      <c r="E185" s="10" t="s">
        <v>32</v>
      </c>
      <c r="F185" s="10" t="s">
        <v>6</v>
      </c>
      <c r="G185" s="10">
        <v>5</v>
      </c>
      <c r="H185" s="10"/>
      <c r="I185" s="10"/>
      <c r="J185" s="10" t="s">
        <v>42</v>
      </c>
      <c r="K185" s="33">
        <v>9</v>
      </c>
      <c r="L185" s="33">
        <v>16</v>
      </c>
      <c r="M185" s="33"/>
      <c r="N185" s="33">
        <v>0</v>
      </c>
      <c r="O185" s="33">
        <v>2</v>
      </c>
      <c r="P185" s="33">
        <v>6</v>
      </c>
      <c r="Q185" s="33">
        <v>8</v>
      </c>
      <c r="R185" s="33">
        <v>11</v>
      </c>
      <c r="S185" s="33">
        <v>20</v>
      </c>
      <c r="T185" s="33">
        <v>20</v>
      </c>
      <c r="U185" s="33">
        <v>21</v>
      </c>
      <c r="V185" s="33">
        <v>21</v>
      </c>
      <c r="W185" s="33">
        <v>22</v>
      </c>
      <c r="X185" s="33" t="str">
        <f>CONCATENATE(LOWER(SUBSTITUTE(SUBSTITUTE(B185," ","_"), ".", "")), ".png")</f>
        <v>kolten_wong.png</v>
      </c>
      <c r="Y185" s="33" t="s">
        <v>229</v>
      </c>
      <c r="Z185" s="33" t="str">
        <f>RIGHT(B185, LEN(B185)-SEARCH(" ", B185, 1))</f>
        <v>Wong</v>
      </c>
    </row>
    <row r="186" spans="1:26" x14ac:dyDescent="0.25">
      <c r="A186" s="33">
        <f>A185+1</f>
        <v>14185</v>
      </c>
      <c r="B186" s="22" t="s">
        <v>354</v>
      </c>
      <c r="C186" s="4" t="s">
        <v>153</v>
      </c>
      <c r="D186" s="4"/>
      <c r="E186" s="10" t="s">
        <v>32</v>
      </c>
      <c r="F186" s="10" t="s">
        <v>53</v>
      </c>
      <c r="G186" s="10">
        <v>2</v>
      </c>
      <c r="H186" s="10" t="s">
        <v>7</v>
      </c>
      <c r="I186" s="10">
        <v>1</v>
      </c>
      <c r="J186" s="10" t="s">
        <v>42</v>
      </c>
      <c r="K186" s="33">
        <v>9</v>
      </c>
      <c r="L186" s="33">
        <v>14</v>
      </c>
      <c r="M186" s="33"/>
      <c r="N186" s="33">
        <v>0</v>
      </c>
      <c r="O186" s="33">
        <v>1</v>
      </c>
      <c r="P186" s="33">
        <v>5</v>
      </c>
      <c r="Q186" s="33">
        <v>7</v>
      </c>
      <c r="R186" s="33">
        <v>11</v>
      </c>
      <c r="S186" s="33">
        <v>17</v>
      </c>
      <c r="T186" s="33">
        <v>17</v>
      </c>
      <c r="U186" s="33">
        <v>20</v>
      </c>
      <c r="V186" s="33">
        <v>20</v>
      </c>
      <c r="W186" s="33">
        <v>21</v>
      </c>
      <c r="X186" s="33" t="str">
        <f>CONCATENATE(LOWER(SUBSTITUTE(SUBSTITUTE(B186," ","_"), ".", "")), ".png")</f>
        <v>daniel_descalso.png</v>
      </c>
      <c r="Y186" s="33" t="s">
        <v>229</v>
      </c>
      <c r="Z186" s="33" t="str">
        <f>RIGHT(B186, LEN(B186)-SEARCH(" ", B186, 1))</f>
        <v>Descalso</v>
      </c>
    </row>
    <row r="187" spans="1:26" x14ac:dyDescent="0.25">
      <c r="A187" s="33">
        <f>A186+1</f>
        <v>14186</v>
      </c>
      <c r="B187" s="22" t="s">
        <v>355</v>
      </c>
      <c r="C187" s="4" t="s">
        <v>153</v>
      </c>
      <c r="D187" s="4"/>
      <c r="E187" s="10" t="s">
        <v>32</v>
      </c>
      <c r="F187" s="10" t="s">
        <v>6</v>
      </c>
      <c r="G187" s="10">
        <v>4</v>
      </c>
      <c r="H187" s="10"/>
      <c r="I187" s="10"/>
      <c r="J187" s="10" t="s">
        <v>33</v>
      </c>
      <c r="K187" s="33">
        <v>10</v>
      </c>
      <c r="L187" s="33">
        <v>13</v>
      </c>
      <c r="M187" s="33"/>
      <c r="N187" s="33">
        <v>0</v>
      </c>
      <c r="O187" s="33">
        <v>1</v>
      </c>
      <c r="P187" s="33">
        <v>4</v>
      </c>
      <c r="Q187" s="33">
        <v>6</v>
      </c>
      <c r="R187" s="33">
        <v>9</v>
      </c>
      <c r="S187" s="33">
        <v>18</v>
      </c>
      <c r="T187" s="33">
        <v>18</v>
      </c>
      <c r="U187" s="33">
        <v>19</v>
      </c>
      <c r="V187" s="33">
        <v>20</v>
      </c>
      <c r="W187" s="33">
        <v>21</v>
      </c>
      <c r="X187" s="33" t="str">
        <f>CONCATENATE(LOWER(SUBSTITUTE(SUBSTITUTE(B187," ","_"), ".", "")), ".png")</f>
        <v>mark_ellis.png</v>
      </c>
      <c r="Y187" s="33" t="s">
        <v>229</v>
      </c>
      <c r="Z187" s="33" t="str">
        <f>RIGHT(B187, LEN(B187)-SEARCH(" ", B187, 1))</f>
        <v>Ellis</v>
      </c>
    </row>
    <row r="188" spans="1:26" x14ac:dyDescent="0.25">
      <c r="A188" s="33">
        <f>A187+1</f>
        <v>14187</v>
      </c>
      <c r="B188" s="22" t="s">
        <v>356</v>
      </c>
      <c r="C188" s="4" t="s">
        <v>153</v>
      </c>
      <c r="D188" s="4"/>
      <c r="E188" s="10" t="s">
        <v>32</v>
      </c>
      <c r="F188" s="10" t="s">
        <v>41</v>
      </c>
      <c r="G188" s="10">
        <v>1</v>
      </c>
      <c r="H188" s="10"/>
      <c r="I188" s="10"/>
      <c r="J188" s="10" t="s">
        <v>42</v>
      </c>
      <c r="K188" s="33">
        <v>11</v>
      </c>
      <c r="L188" s="33">
        <v>11</v>
      </c>
      <c r="M188" s="33"/>
      <c r="N188" s="33">
        <v>0</v>
      </c>
      <c r="O188" s="33">
        <v>1</v>
      </c>
      <c r="P188" s="33">
        <v>4</v>
      </c>
      <c r="Q188" s="33">
        <v>6</v>
      </c>
      <c r="R188" s="33">
        <v>9</v>
      </c>
      <c r="S188" s="33">
        <v>16</v>
      </c>
      <c r="T188" s="33">
        <v>16</v>
      </c>
      <c r="U188" s="33">
        <v>18</v>
      </c>
      <c r="V188" s="33">
        <v>18</v>
      </c>
      <c r="W188" s="33">
        <v>19</v>
      </c>
      <c r="X188" s="33" t="str">
        <f>CONCATENATE(LOWER(SUBSTITUTE(SUBSTITUTE(B188," ","_"), ".", "")), ".png")</f>
        <v>oscar_taveras.png</v>
      </c>
      <c r="Y188" s="33" t="s">
        <v>229</v>
      </c>
      <c r="Z188" s="33" t="str">
        <f>RIGHT(B188, LEN(B188)-SEARCH(" ", B188, 1))</f>
        <v>Taveras</v>
      </c>
    </row>
    <row r="189" spans="1:26" x14ac:dyDescent="0.25">
      <c r="A189" s="33">
        <f>A188+1</f>
        <v>14188</v>
      </c>
      <c r="B189" s="22" t="s">
        <v>357</v>
      </c>
      <c r="C189" s="4" t="s">
        <v>153</v>
      </c>
      <c r="D189" s="4"/>
      <c r="E189" s="10" t="s">
        <v>32</v>
      </c>
      <c r="F189" s="10" t="s">
        <v>32</v>
      </c>
      <c r="G189" s="10">
        <v>7</v>
      </c>
      <c r="H189" s="10"/>
      <c r="I189" s="10"/>
      <c r="J189" s="10" t="s">
        <v>33</v>
      </c>
      <c r="K189" s="33">
        <v>9</v>
      </c>
      <c r="L189" s="33">
        <v>8</v>
      </c>
      <c r="M189" s="33"/>
      <c r="N189" s="33">
        <v>0</v>
      </c>
      <c r="O189" s="33">
        <v>2</v>
      </c>
      <c r="P189" s="33">
        <v>5</v>
      </c>
      <c r="Q189" s="33">
        <v>7</v>
      </c>
      <c r="R189" s="33">
        <v>10</v>
      </c>
      <c r="S189" s="33">
        <v>18</v>
      </c>
      <c r="T189" s="33">
        <v>18</v>
      </c>
      <c r="U189" s="33">
        <v>20</v>
      </c>
      <c r="V189" s="33">
        <v>20</v>
      </c>
      <c r="W189" s="33">
        <v>21</v>
      </c>
      <c r="X189" s="33" t="str">
        <f>CONCATENATE(LOWER(SUBSTITUTE(SUBSTITUTE(B189," ","_"), ".", "")), ".png")</f>
        <v>tony_cruz.png</v>
      </c>
      <c r="Y189" s="33" t="s">
        <v>229</v>
      </c>
      <c r="Z189" s="33" t="str">
        <f>RIGHT(B189, LEN(B189)-SEARCH(" ", B189, 1))</f>
        <v>Cruz</v>
      </c>
    </row>
    <row r="190" spans="1:26" x14ac:dyDescent="0.25">
      <c r="A190" s="33">
        <f>A189+1</f>
        <v>14189</v>
      </c>
      <c r="B190" s="22" t="s">
        <v>358</v>
      </c>
      <c r="C190" s="4" t="s">
        <v>153</v>
      </c>
      <c r="D190" s="4"/>
      <c r="E190" s="10" t="s">
        <v>32</v>
      </c>
      <c r="F190" s="10" t="s">
        <v>56</v>
      </c>
      <c r="G190" s="10">
        <v>1</v>
      </c>
      <c r="H190" s="10"/>
      <c r="I190" s="10"/>
      <c r="J190" s="10" t="s">
        <v>33</v>
      </c>
      <c r="K190" s="33">
        <v>11</v>
      </c>
      <c r="L190" s="33">
        <v>14</v>
      </c>
      <c r="M190" s="33"/>
      <c r="N190" s="33">
        <v>0</v>
      </c>
      <c r="O190" s="33">
        <v>1</v>
      </c>
      <c r="P190" s="33">
        <v>4</v>
      </c>
      <c r="Q190" s="33">
        <v>6</v>
      </c>
      <c r="R190" s="33">
        <v>11</v>
      </c>
      <c r="S190" s="33">
        <v>18</v>
      </c>
      <c r="T190" s="33">
        <v>19</v>
      </c>
      <c r="U190" s="33">
        <v>20</v>
      </c>
      <c r="V190" s="33">
        <v>20</v>
      </c>
      <c r="W190" s="33">
        <v>21</v>
      </c>
      <c r="X190" s="33" t="str">
        <f>CONCATENATE(LOWER(SUBSTITUTE(SUBSTITUTE(B190," ","_"), ".", "")), ".png")</f>
        <v>shane_robinson.png</v>
      </c>
      <c r="Y190" s="33" t="s">
        <v>229</v>
      </c>
      <c r="Z190" s="33" t="str">
        <f>RIGHT(B190, LEN(B190)-SEARCH(" ", B190, 1))</f>
        <v>Robinson</v>
      </c>
    </row>
    <row r="191" spans="1:26" x14ac:dyDescent="0.25">
      <c r="A191" s="33">
        <f>A190+1</f>
        <v>14190</v>
      </c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 t="str">
        <f>CONCATENATE(LOWER(SUBSTITUTE(SUBSTITUTE(B191," ","_"), ".", "")), ".png")</f>
        <v>.png</v>
      </c>
      <c r="Y191" s="33"/>
      <c r="Z191" s="33" t="e">
        <f>RIGHT(B191, LEN(B191)-SEARCH(" ", B191, 1))</f>
        <v>#VALUE!</v>
      </c>
    </row>
    <row r="192" spans="1:26" x14ac:dyDescent="0.25">
      <c r="A192" s="33">
        <f>A191+1</f>
        <v>14191</v>
      </c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 t="str">
        <f>CONCATENATE(LOWER(SUBSTITUTE(SUBSTITUTE(B192," ","_"), ".", "")), ".png")</f>
        <v>.png</v>
      </c>
      <c r="Y192" s="33"/>
      <c r="Z192" s="33" t="e">
        <f>RIGHT(B192, LEN(B192)-SEARCH(" ", B192, 1))</f>
        <v>#VALUE!</v>
      </c>
    </row>
    <row r="193" spans="1:26" x14ac:dyDescent="0.25">
      <c r="A193" s="33">
        <f>A192+1</f>
        <v>14192</v>
      </c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 t="str">
        <f>CONCATENATE(LOWER(SUBSTITUTE(SUBSTITUTE(B193," ","_"), ".", "")), ".png")</f>
        <v>.png</v>
      </c>
      <c r="Y193" s="33"/>
      <c r="Z193" s="33" t="e">
        <f>RIGHT(B193, LEN(B193)-SEARCH(" ", B193, 1))</f>
        <v>#VALUE!</v>
      </c>
    </row>
    <row r="194" spans="1:26" x14ac:dyDescent="0.25">
      <c r="A194" s="33">
        <f>A193+1</f>
        <v>14193</v>
      </c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 t="str">
        <f>CONCATENATE(LOWER(SUBSTITUTE(SUBSTITUTE(B194," ","_"), ".", "")), ".png")</f>
        <v>.png</v>
      </c>
      <c r="Y194" s="33"/>
      <c r="Z194" s="33" t="e">
        <f>RIGHT(B194, LEN(B194)-SEARCH(" ", B194, 1))</f>
        <v>#VALUE!</v>
      </c>
    </row>
    <row r="195" spans="1:26" x14ac:dyDescent="0.25">
      <c r="A195" s="33">
        <f>A194+1</f>
        <v>14194</v>
      </c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 t="str">
        <f>CONCATENATE(LOWER(SUBSTITUTE(SUBSTITUTE(B195," ","_"), ".", "")), ".png")</f>
        <v>.png</v>
      </c>
      <c r="Y195" s="33"/>
      <c r="Z195" s="33" t="e">
        <f>RIGHT(B195, LEN(B195)-SEARCH(" ", B195, 1))</f>
        <v>#VALUE!</v>
      </c>
    </row>
    <row r="196" spans="1:26" x14ac:dyDescent="0.25">
      <c r="A196" s="33">
        <f>A195+1</f>
        <v>14195</v>
      </c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 t="str">
        <f>CONCATENATE(LOWER(SUBSTITUTE(SUBSTITUTE(B196," ","_"), ".", "")), ".png")</f>
        <v>.png</v>
      </c>
      <c r="Y196" s="33"/>
      <c r="Z196" s="33" t="e">
        <f>RIGHT(B196, LEN(B196)-SEARCH(" ", B196, 1))</f>
        <v>#VALUE!</v>
      </c>
    </row>
    <row r="197" spans="1:26" x14ac:dyDescent="0.25">
      <c r="A197" s="33">
        <f>A196+1</f>
        <v>14196</v>
      </c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 t="str">
        <f>CONCATENATE(LOWER(SUBSTITUTE(SUBSTITUTE(B197," ","_"), ".", "")), ".png")</f>
        <v>.png</v>
      </c>
      <c r="Y197" s="33"/>
      <c r="Z197" s="33" t="e">
        <f>RIGHT(B197, LEN(B197)-SEARCH(" ", B197, 1))</f>
        <v>#VALUE!</v>
      </c>
    </row>
    <row r="198" spans="1:26" x14ac:dyDescent="0.25">
      <c r="A198" s="33">
        <f>A197+1</f>
        <v>14197</v>
      </c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 t="str">
        <f>CONCATENATE(LOWER(SUBSTITUTE(SUBSTITUTE(B198," ","_"), ".", "")), ".png")</f>
        <v>.png</v>
      </c>
      <c r="Y198" s="33"/>
      <c r="Z198" s="33" t="e">
        <f>RIGHT(B198, LEN(B198)-SEARCH(" ", B198, 1))</f>
        <v>#VALUE!</v>
      </c>
    </row>
    <row r="199" spans="1:26" x14ac:dyDescent="0.25">
      <c r="A199" s="33">
        <f>A198+1</f>
        <v>14198</v>
      </c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 t="str">
        <f>CONCATENATE(LOWER(SUBSTITUTE(SUBSTITUTE(B199," ","_"), ".", "")), ".png")</f>
        <v>.png</v>
      </c>
      <c r="Y199" s="33"/>
      <c r="Z199" s="33" t="e">
        <f>RIGHT(B199, LEN(B199)-SEARCH(" ", B199, 1))</f>
        <v>#VALUE!</v>
      </c>
    </row>
    <row r="200" spans="1:26" x14ac:dyDescent="0.25">
      <c r="A200" s="33">
        <f>A199+1</f>
        <v>14199</v>
      </c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 t="str">
        <f>CONCATENATE(LOWER(SUBSTITUTE(SUBSTITUTE(B200," ","_"), ".", "")), ".png")</f>
        <v>.png</v>
      </c>
      <c r="Y200" s="33"/>
      <c r="Z200" s="33" t="e">
        <f>RIGHT(B200, LEN(B200)-SEARCH(" ", B200, 1))</f>
        <v>#VALUE!</v>
      </c>
    </row>
    <row r="201" spans="1:26" x14ac:dyDescent="0.25">
      <c r="A201" s="33">
        <f>A200+1</f>
        <v>14200</v>
      </c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 t="str">
        <f>CONCATENATE(LOWER(SUBSTITUTE(SUBSTITUTE(B201," ","_"), ".", "")), ".png")</f>
        <v>.png</v>
      </c>
      <c r="Y201" s="33"/>
      <c r="Z201" s="33" t="e">
        <f>RIGHT(B201, LEN(B201)-SEARCH(" ", B201, 1))</f>
        <v>#VALUE!</v>
      </c>
    </row>
    <row r="202" spans="1:26" x14ac:dyDescent="0.25">
      <c r="A202" s="33">
        <f>A201+1</f>
        <v>14201</v>
      </c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 t="str">
        <f>CONCATENATE(LOWER(SUBSTITUTE(SUBSTITUTE(B202," ","_"), ".", "")), ".png")</f>
        <v>.png</v>
      </c>
      <c r="Y202" s="33"/>
      <c r="Z202" s="33" t="e">
        <f>RIGHT(B202, LEN(B202)-SEARCH(" ", B202, 1))</f>
        <v>#VALUE!</v>
      </c>
    </row>
    <row r="203" spans="1:26" x14ac:dyDescent="0.25">
      <c r="A203" s="33">
        <f>A202+1</f>
        <v>14202</v>
      </c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 t="str">
        <f>CONCATENATE(LOWER(SUBSTITUTE(SUBSTITUTE(B203," ","_"), ".", "")), ".png")</f>
        <v>.png</v>
      </c>
      <c r="Y203" s="33"/>
      <c r="Z203" s="33" t="e">
        <f>RIGHT(B203, LEN(B203)-SEARCH(" ", B203, 1))</f>
        <v>#VALUE!</v>
      </c>
    </row>
    <row r="204" spans="1:26" x14ac:dyDescent="0.25">
      <c r="A204" s="33">
        <f>A203+1</f>
        <v>14203</v>
      </c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 t="str">
        <f>CONCATENATE(LOWER(SUBSTITUTE(SUBSTITUTE(B204," ","_"), ".", "")), ".png")</f>
        <v>.png</v>
      </c>
      <c r="Y204" s="33"/>
      <c r="Z204" s="33" t="e">
        <f>RIGHT(B204, LEN(B204)-SEARCH(" ", B204, 1))</f>
        <v>#VALUE!</v>
      </c>
    </row>
    <row r="205" spans="1:26" x14ac:dyDescent="0.25">
      <c r="A205" s="33">
        <f>A204+1</f>
        <v>14204</v>
      </c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 t="str">
        <f>CONCATENATE(LOWER(SUBSTITUTE(SUBSTITUTE(B205," ","_"), ".", "")), ".png")</f>
        <v>.png</v>
      </c>
      <c r="Y205" s="33"/>
      <c r="Z205" s="33" t="e">
        <f>RIGHT(B205, LEN(B205)-SEARCH(" ", B205, 1))</f>
        <v>#VALUE!</v>
      </c>
    </row>
    <row r="206" spans="1:26" x14ac:dyDescent="0.25">
      <c r="A206" s="33">
        <f>A205+1</f>
        <v>14205</v>
      </c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 t="str">
        <f>CONCATENATE(LOWER(SUBSTITUTE(SUBSTITUTE(B206," ","_"), ".", "")), ".png")</f>
        <v>.png</v>
      </c>
      <c r="Y206" s="33"/>
      <c r="Z206" s="33" t="e">
        <f>RIGHT(B206, LEN(B206)-SEARCH(" ", B206, 1))</f>
        <v>#VALUE!</v>
      </c>
    </row>
    <row r="207" spans="1:26" x14ac:dyDescent="0.25">
      <c r="A207" s="33">
        <f>A206+1</f>
        <v>14206</v>
      </c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 t="str">
        <f>CONCATENATE(LOWER(SUBSTITUTE(SUBSTITUTE(B207," ","_"), ".", "")), ".png")</f>
        <v>.png</v>
      </c>
      <c r="Y207" s="33"/>
      <c r="Z207" s="33" t="e">
        <f>RIGHT(B207, LEN(B207)-SEARCH(" ", B207, 1))</f>
        <v>#VALUE!</v>
      </c>
    </row>
    <row r="208" spans="1:26" x14ac:dyDescent="0.25">
      <c r="A208" s="33">
        <f>A207+1</f>
        <v>14207</v>
      </c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 t="str">
        <f>CONCATENATE(LOWER(SUBSTITUTE(SUBSTITUTE(B208," ","_"), ".", "")), ".png")</f>
        <v>.png</v>
      </c>
      <c r="Y208" s="33"/>
      <c r="Z208" s="33" t="e">
        <f>RIGHT(B208, LEN(B208)-SEARCH(" ", B208, 1))</f>
        <v>#VALUE!</v>
      </c>
    </row>
    <row r="209" spans="1:26" x14ac:dyDescent="0.25">
      <c r="A209" s="33">
        <f>A208+1</f>
        <v>14208</v>
      </c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 t="str">
        <f>CONCATENATE(LOWER(SUBSTITUTE(SUBSTITUTE(B209," ","_"), ".", "")), ".png")</f>
        <v>.png</v>
      </c>
      <c r="Y209" s="33"/>
      <c r="Z209" s="33" t="e">
        <f>RIGHT(B209, LEN(B209)-SEARCH(" ", B209, 1))</f>
        <v>#VALUE!</v>
      </c>
    </row>
    <row r="210" spans="1:26" x14ac:dyDescent="0.25">
      <c r="A210" s="33">
        <f>A209+1</f>
        <v>14209</v>
      </c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 t="str">
        <f>CONCATENATE(LOWER(SUBSTITUTE(SUBSTITUTE(B210," ","_"), ".", "")), ".png")</f>
        <v>.png</v>
      </c>
      <c r="Y210" s="33"/>
      <c r="Z210" s="33" t="e">
        <f>RIGHT(B210, LEN(B210)-SEARCH(" ", B210, 1))</f>
        <v>#VALUE!</v>
      </c>
    </row>
    <row r="211" spans="1:26" x14ac:dyDescent="0.25">
      <c r="A211" s="33">
        <f>A210+1</f>
        <v>14210</v>
      </c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 t="str">
        <f>CONCATENATE(LOWER(SUBSTITUTE(SUBSTITUTE(B211," ","_"), ".", "")), ".png")</f>
        <v>.png</v>
      </c>
      <c r="Y211" s="33"/>
      <c r="Z211" s="33" t="e">
        <f>RIGHT(B211, LEN(B211)-SEARCH(" ", B211, 1))</f>
        <v>#VALUE!</v>
      </c>
    </row>
    <row r="212" spans="1:26" x14ac:dyDescent="0.25">
      <c r="A212" s="33">
        <f>A211+1</f>
        <v>14211</v>
      </c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 t="str">
        <f>CONCATENATE(LOWER(SUBSTITUTE(SUBSTITUTE(B212," ","_"), ".", "")), ".png")</f>
        <v>.png</v>
      </c>
      <c r="Y212" s="33"/>
      <c r="Z212" s="33" t="e">
        <f>RIGHT(B212, LEN(B212)-SEARCH(" ", B212, 1))</f>
        <v>#VALUE!</v>
      </c>
    </row>
    <row r="213" spans="1:26" x14ac:dyDescent="0.25">
      <c r="A213" s="33">
        <f>A212+1</f>
        <v>14212</v>
      </c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 t="str">
        <f>CONCATENATE(LOWER(SUBSTITUTE(SUBSTITUTE(B213," ","_"), ".", "")), ".png")</f>
        <v>.png</v>
      </c>
      <c r="Y213" s="33"/>
      <c r="Z213" s="33" t="e">
        <f>RIGHT(B213, LEN(B213)-SEARCH(" ", B213, 1))</f>
        <v>#VALUE!</v>
      </c>
    </row>
    <row r="214" spans="1:26" x14ac:dyDescent="0.25">
      <c r="A214" s="33">
        <f>A213+1</f>
        <v>14213</v>
      </c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 t="str">
        <f>CONCATENATE(LOWER(SUBSTITUTE(SUBSTITUTE(B214," ","_"), ".", "")), ".png")</f>
        <v>.png</v>
      </c>
      <c r="Y214" s="33"/>
      <c r="Z214" s="33" t="e">
        <f>RIGHT(B214, LEN(B214)-SEARCH(" ", B214, 1))</f>
        <v>#VALUE!</v>
      </c>
    </row>
    <row r="215" spans="1:26" x14ac:dyDescent="0.25">
      <c r="A215" s="33">
        <f>A214+1</f>
        <v>14214</v>
      </c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 t="str">
        <f>CONCATENATE(LOWER(SUBSTITUTE(SUBSTITUTE(B215," ","_"), ".", "")), ".png")</f>
        <v>.png</v>
      </c>
      <c r="Y215" s="33"/>
      <c r="Z215" s="33" t="e">
        <f>RIGHT(B215, LEN(B215)-SEARCH(" ", B215, 1))</f>
        <v>#VALUE!</v>
      </c>
    </row>
    <row r="216" spans="1:26" x14ac:dyDescent="0.25">
      <c r="A216" s="33">
        <f>A215+1</f>
        <v>14215</v>
      </c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 t="str">
        <f>CONCATENATE(LOWER(SUBSTITUTE(SUBSTITUTE(B216," ","_"), ".", "")), ".png")</f>
        <v>.png</v>
      </c>
      <c r="Y216" s="33"/>
      <c r="Z216" s="33" t="e">
        <f>RIGHT(B216, LEN(B216)-SEARCH(" ", B216, 1))</f>
        <v>#VALUE!</v>
      </c>
    </row>
    <row r="217" spans="1:26" x14ac:dyDescent="0.25">
      <c r="A217" s="33">
        <f>A216+1</f>
        <v>14216</v>
      </c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 t="str">
        <f>CONCATENATE(LOWER(SUBSTITUTE(SUBSTITUTE(B217," ","_"), ".", "")), ".png")</f>
        <v>.png</v>
      </c>
      <c r="Y217" s="33"/>
      <c r="Z217" s="33" t="e">
        <f>RIGHT(B217, LEN(B217)-SEARCH(" ", B217, 1))</f>
        <v>#VALUE!</v>
      </c>
    </row>
    <row r="218" spans="1:26" x14ac:dyDescent="0.25">
      <c r="A218" s="33">
        <f>A217+1</f>
        <v>14217</v>
      </c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 t="str">
        <f>CONCATENATE(LOWER(SUBSTITUTE(SUBSTITUTE(B218," ","_"), ".", "")), ".png")</f>
        <v>.png</v>
      </c>
      <c r="Y218" s="33"/>
      <c r="Z218" s="33" t="e">
        <f>RIGHT(B218, LEN(B218)-SEARCH(" ", B218, 1))</f>
        <v>#VALUE!</v>
      </c>
    </row>
    <row r="219" spans="1:26" x14ac:dyDescent="0.25">
      <c r="A219" s="33">
        <f>A218+1</f>
        <v>14218</v>
      </c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 t="str">
        <f>CONCATENATE(LOWER(SUBSTITUTE(SUBSTITUTE(B219," ","_"), ".", "")), ".png")</f>
        <v>.png</v>
      </c>
      <c r="Y219" s="33"/>
      <c r="Z219" s="33" t="e">
        <f>RIGHT(B219, LEN(B219)-SEARCH(" ", B219, 1))</f>
        <v>#VALUE!</v>
      </c>
    </row>
    <row r="220" spans="1:26" x14ac:dyDescent="0.25">
      <c r="A220" s="33">
        <f>A219+1</f>
        <v>14219</v>
      </c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 t="str">
        <f>CONCATENATE(LOWER(SUBSTITUTE(SUBSTITUTE(B220," ","_"), ".", "")), ".png")</f>
        <v>.png</v>
      </c>
      <c r="Y220" s="33"/>
      <c r="Z220" s="33" t="e">
        <f>RIGHT(B220, LEN(B220)-SEARCH(" ", B220, 1))</f>
        <v>#VALUE!</v>
      </c>
    </row>
    <row r="221" spans="1:26" x14ac:dyDescent="0.25">
      <c r="A221" s="33">
        <f>A220+1</f>
        <v>14220</v>
      </c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 t="str">
        <f>CONCATENATE(LOWER(SUBSTITUTE(SUBSTITUTE(B221," ","_"), ".", "")), ".png")</f>
        <v>.png</v>
      </c>
      <c r="Y221" s="33"/>
      <c r="Z221" s="33" t="e">
        <f>RIGHT(B221, LEN(B221)-SEARCH(" ", B221, 1))</f>
        <v>#VALUE!</v>
      </c>
    </row>
    <row r="222" spans="1:26" x14ac:dyDescent="0.25">
      <c r="A222" s="33">
        <f>A221+1</f>
        <v>14221</v>
      </c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 t="str">
        <f>CONCATENATE(LOWER(SUBSTITUTE(SUBSTITUTE(B222," ","_"), ".", "")), ".png")</f>
        <v>.png</v>
      </c>
      <c r="Y222" s="33"/>
      <c r="Z222" s="33" t="e">
        <f>RIGHT(B222, LEN(B222)-SEARCH(" ", B222, 1))</f>
        <v>#VALUE!</v>
      </c>
    </row>
    <row r="223" spans="1:26" x14ac:dyDescent="0.25">
      <c r="A223" s="33">
        <f>A222+1</f>
        <v>14222</v>
      </c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 t="str">
        <f>CONCATENATE(LOWER(SUBSTITUTE(SUBSTITUTE(B223," ","_"), ".", "")), ".png")</f>
        <v>.png</v>
      </c>
      <c r="Y223" s="33"/>
      <c r="Z223" s="33" t="e">
        <f>RIGHT(B223, LEN(B223)-SEARCH(" ", B223, 1))</f>
        <v>#VALUE!</v>
      </c>
    </row>
    <row r="224" spans="1:26" x14ac:dyDescent="0.25">
      <c r="A224" s="33">
        <f>A223+1</f>
        <v>14223</v>
      </c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 t="str">
        <f>CONCATENATE(LOWER(SUBSTITUTE(SUBSTITUTE(B224," ","_"), ".", "")), ".png")</f>
        <v>.png</v>
      </c>
      <c r="Y224" s="33"/>
      <c r="Z224" s="33" t="e">
        <f>RIGHT(B224, LEN(B224)-SEARCH(" ", B224, 1))</f>
        <v>#VALUE!</v>
      </c>
    </row>
    <row r="225" spans="1:26" x14ac:dyDescent="0.25">
      <c r="A225" s="33">
        <f>A224+1</f>
        <v>14224</v>
      </c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 t="str">
        <f>CONCATENATE(LOWER(SUBSTITUTE(SUBSTITUTE(B225," ","_"), ".", "")), ".png")</f>
        <v>.png</v>
      </c>
      <c r="Y225" s="33"/>
      <c r="Z225" s="33" t="e">
        <f>RIGHT(B225, LEN(B225)-SEARCH(" ", B225, 1))</f>
        <v>#VALUE!</v>
      </c>
    </row>
    <row r="226" spans="1:26" x14ac:dyDescent="0.25">
      <c r="A226" s="33">
        <f>A225+1</f>
        <v>14225</v>
      </c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 t="str">
        <f>CONCATENATE(LOWER(SUBSTITUTE(SUBSTITUTE(B226," ","_"), ".", "")), ".png")</f>
        <v>.png</v>
      </c>
      <c r="Y226" s="33"/>
      <c r="Z226" s="33" t="e">
        <f>RIGHT(B226, LEN(B226)-SEARCH(" ", B226, 1))</f>
        <v>#VALUE!</v>
      </c>
    </row>
    <row r="227" spans="1:26" x14ac:dyDescent="0.25">
      <c r="A227" s="33">
        <f>A226+1</f>
        <v>14226</v>
      </c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 t="str">
        <f>CONCATENATE(LOWER(SUBSTITUTE(SUBSTITUTE(B227," ","_"), ".", "")), ".png")</f>
        <v>.png</v>
      </c>
      <c r="Y227" s="33"/>
      <c r="Z227" s="33" t="e">
        <f>RIGHT(B227, LEN(B227)-SEARCH(" ", B227, 1))</f>
        <v>#VALUE!</v>
      </c>
    </row>
    <row r="228" spans="1:26" x14ac:dyDescent="0.25">
      <c r="A228" s="33">
        <f>A227+1</f>
        <v>14227</v>
      </c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 t="str">
        <f>CONCATENATE(LOWER(SUBSTITUTE(SUBSTITUTE(B228," ","_"), ".", "")), ".png")</f>
        <v>.png</v>
      </c>
      <c r="Y228" s="33"/>
      <c r="Z228" s="33" t="e">
        <f>RIGHT(B228, LEN(B228)-SEARCH(" ", B228, 1))</f>
        <v>#VALUE!</v>
      </c>
    </row>
    <row r="229" spans="1:26" x14ac:dyDescent="0.25">
      <c r="A229" s="33">
        <f>A228+1</f>
        <v>14228</v>
      </c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 t="str">
        <f>CONCATENATE(LOWER(SUBSTITUTE(SUBSTITUTE(B229," ","_"), ".", "")), ".png")</f>
        <v>.png</v>
      </c>
      <c r="Y229" s="33"/>
      <c r="Z229" s="33" t="e">
        <f>RIGHT(B229, LEN(B229)-SEARCH(" ", B229, 1))</f>
        <v>#VALUE!</v>
      </c>
    </row>
    <row r="230" spans="1:26" x14ac:dyDescent="0.25">
      <c r="A230" s="33">
        <f>A229+1</f>
        <v>14229</v>
      </c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 t="str">
        <f>CONCATENATE(LOWER(SUBSTITUTE(SUBSTITUTE(B230," ","_"), ".", "")), ".png")</f>
        <v>.png</v>
      </c>
      <c r="Y230" s="33"/>
      <c r="Z230" s="33" t="e">
        <f>RIGHT(B230, LEN(B230)-SEARCH(" ", B230, 1))</f>
        <v>#VALUE!</v>
      </c>
    </row>
    <row r="231" spans="1:26" x14ac:dyDescent="0.25">
      <c r="A231" s="33">
        <f>A230+1</f>
        <v>14230</v>
      </c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 t="str">
        <f>CONCATENATE(LOWER(SUBSTITUTE(SUBSTITUTE(B231," ","_"), ".", "")), ".png")</f>
        <v>.png</v>
      </c>
      <c r="Y231" s="33"/>
      <c r="Z231" s="33" t="e">
        <f>RIGHT(B231, LEN(B231)-SEARCH(" ", B231, 1))</f>
        <v>#VALUE!</v>
      </c>
    </row>
    <row r="232" spans="1:26" x14ac:dyDescent="0.25">
      <c r="A232" s="33">
        <f>A231+1</f>
        <v>14231</v>
      </c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 t="str">
        <f>CONCATENATE(LOWER(SUBSTITUTE(SUBSTITUTE(B232," ","_"), ".", "")), ".png")</f>
        <v>.png</v>
      </c>
      <c r="Y232" s="33"/>
      <c r="Z232" s="33" t="e">
        <f>RIGHT(B232, LEN(B232)-SEARCH(" ", B232, 1))</f>
        <v>#VALUE!</v>
      </c>
    </row>
    <row r="233" spans="1:26" x14ac:dyDescent="0.25">
      <c r="A233" s="33">
        <f>A232+1</f>
        <v>14232</v>
      </c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 t="str">
        <f>CONCATENATE(LOWER(SUBSTITUTE(SUBSTITUTE(B233," ","_"), ".", "")), ".png")</f>
        <v>.png</v>
      </c>
      <c r="Y233" s="33"/>
      <c r="Z233" s="33" t="e">
        <f>RIGHT(B233, LEN(B233)-SEARCH(" ", B233, 1))</f>
        <v>#VALUE!</v>
      </c>
    </row>
    <row r="234" spans="1:26" x14ac:dyDescent="0.25">
      <c r="A234" s="33">
        <f>A233+1</f>
        <v>14233</v>
      </c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 t="str">
        <f>CONCATENATE(LOWER(SUBSTITUTE(SUBSTITUTE(B234," ","_"), ".", "")), ".png")</f>
        <v>.png</v>
      </c>
      <c r="Y234" s="33"/>
      <c r="Z234" s="33" t="e">
        <f>RIGHT(B234, LEN(B234)-SEARCH(" ", B234, 1))</f>
        <v>#VALUE!</v>
      </c>
    </row>
    <row r="235" spans="1:26" x14ac:dyDescent="0.25">
      <c r="A235" s="33">
        <f>A234+1</f>
        <v>14234</v>
      </c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 t="str">
        <f>CONCATENATE(LOWER(SUBSTITUTE(SUBSTITUTE(B235," ","_"), ".", "")), ".png")</f>
        <v>.png</v>
      </c>
      <c r="Y235" s="33"/>
      <c r="Z235" s="33" t="e">
        <f>RIGHT(B235, LEN(B235)-SEARCH(" ", B235, 1))</f>
        <v>#VALUE!</v>
      </c>
    </row>
    <row r="236" spans="1:26" x14ac:dyDescent="0.25">
      <c r="A236" s="33">
        <f>A235+1</f>
        <v>14235</v>
      </c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 t="str">
        <f>CONCATENATE(LOWER(SUBSTITUTE(SUBSTITUTE(B236," ","_"), ".", "")), ".png")</f>
        <v>.png</v>
      </c>
      <c r="Y236" s="33"/>
      <c r="Z236" s="33" t="e">
        <f>RIGHT(B236, LEN(B236)-SEARCH(" ", B236, 1))</f>
        <v>#VALUE!</v>
      </c>
    </row>
    <row r="237" spans="1:26" x14ac:dyDescent="0.25">
      <c r="A237" s="33">
        <f>A236+1</f>
        <v>14236</v>
      </c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 t="str">
        <f>CONCATENATE(LOWER(SUBSTITUTE(SUBSTITUTE(B237," ","_"), ".", "")), ".png")</f>
        <v>.png</v>
      </c>
      <c r="Y237" s="33"/>
      <c r="Z237" s="33" t="e">
        <f>RIGHT(B237, LEN(B237)-SEARCH(" ", B237, 1))</f>
        <v>#VALUE!</v>
      </c>
    </row>
    <row r="238" spans="1:26" x14ac:dyDescent="0.25">
      <c r="A238" s="33">
        <f>A237+1</f>
        <v>14237</v>
      </c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 t="str">
        <f>CONCATENATE(LOWER(SUBSTITUTE(SUBSTITUTE(B238," ","_"), ".", "")), ".png")</f>
        <v>.png</v>
      </c>
      <c r="Y238" s="33"/>
      <c r="Z238" s="33" t="e">
        <f>RIGHT(B238, LEN(B238)-SEARCH(" ", B238, 1))</f>
        <v>#VALUE!</v>
      </c>
    </row>
    <row r="239" spans="1:26" x14ac:dyDescent="0.25">
      <c r="A239" s="33">
        <f>A238+1</f>
        <v>14238</v>
      </c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 t="str">
        <f>CONCATENATE(LOWER(SUBSTITUTE(SUBSTITUTE(B239," ","_"), ".", "")), ".png")</f>
        <v>.png</v>
      </c>
      <c r="Y239" s="33"/>
      <c r="Z239" s="33" t="e">
        <f>RIGHT(B239, LEN(B239)-SEARCH(" ", B239, 1))</f>
        <v>#VALUE!</v>
      </c>
    </row>
    <row r="240" spans="1:26" x14ac:dyDescent="0.25">
      <c r="A240" s="33">
        <f>A239+1</f>
        <v>14239</v>
      </c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 t="str">
        <f>CONCATENATE(LOWER(SUBSTITUTE(SUBSTITUTE(B240," ","_"), ".", "")), ".png")</f>
        <v>.png</v>
      </c>
      <c r="Y240" s="33"/>
      <c r="Z240" s="33" t="e">
        <f>RIGHT(B240, LEN(B240)-SEARCH(" ", B240, 1))</f>
        <v>#VALUE!</v>
      </c>
    </row>
    <row r="241" spans="1:26" x14ac:dyDescent="0.25">
      <c r="A241" s="33">
        <f>A240+1</f>
        <v>14240</v>
      </c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 t="str">
        <f>CONCATENATE(LOWER(SUBSTITUTE(SUBSTITUTE(B241," ","_"), ".", "")), ".png")</f>
        <v>.png</v>
      </c>
      <c r="Y241" s="33"/>
      <c r="Z241" s="33" t="e">
        <f>RIGHT(B241, LEN(B241)-SEARCH(" ", B241, 1))</f>
        <v>#VALUE!</v>
      </c>
    </row>
    <row r="242" spans="1:26" x14ac:dyDescent="0.25">
      <c r="A242" s="33">
        <f>A241+1</f>
        <v>14241</v>
      </c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 t="str">
        <f>CONCATENATE(LOWER(SUBSTITUTE(SUBSTITUTE(B242," ","_"), ".", "")), ".png")</f>
        <v>.png</v>
      </c>
      <c r="Y242" s="33"/>
      <c r="Z242" s="33" t="e">
        <f>RIGHT(B242, LEN(B242)-SEARCH(" ", B242, 1))</f>
        <v>#VALUE!</v>
      </c>
    </row>
    <row r="243" spans="1:26" x14ac:dyDescent="0.25">
      <c r="A243" s="33">
        <f>A242+1</f>
        <v>14242</v>
      </c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 t="str">
        <f>CONCATENATE(LOWER(SUBSTITUTE(SUBSTITUTE(B243," ","_"), ".", "")), ".png")</f>
        <v>.png</v>
      </c>
      <c r="Y243" s="33"/>
      <c r="Z243" s="33" t="e">
        <f>RIGHT(B243, LEN(B243)-SEARCH(" ", B243, 1))</f>
        <v>#VALUE!</v>
      </c>
    </row>
    <row r="244" spans="1:26" x14ac:dyDescent="0.25">
      <c r="A244" s="33">
        <f>A243+1</f>
        <v>14243</v>
      </c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 t="str">
        <f>CONCATENATE(LOWER(SUBSTITUTE(SUBSTITUTE(B244," ","_"), ".", "")), ".png")</f>
        <v>.png</v>
      </c>
      <c r="Y244" s="33"/>
      <c r="Z244" s="33" t="e">
        <f>RIGHT(B244, LEN(B244)-SEARCH(" ", B244, 1))</f>
        <v>#VALUE!</v>
      </c>
    </row>
    <row r="245" spans="1:26" x14ac:dyDescent="0.25">
      <c r="A245" s="33">
        <f>A244+1</f>
        <v>14244</v>
      </c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 t="str">
        <f>CONCATENATE(LOWER(SUBSTITUTE(SUBSTITUTE(B245," ","_"), ".", "")), ".png")</f>
        <v>.png</v>
      </c>
      <c r="Y245" s="33"/>
      <c r="Z245" s="33" t="e">
        <f>RIGHT(B245, LEN(B245)-SEARCH(" ", B245, 1))</f>
        <v>#VALUE!</v>
      </c>
    </row>
    <row r="246" spans="1:26" x14ac:dyDescent="0.25">
      <c r="A246" s="33">
        <f>A245+1</f>
        <v>14245</v>
      </c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 t="str">
        <f>CONCATENATE(LOWER(SUBSTITUTE(SUBSTITUTE(B246," ","_"), ".", "")), ".png")</f>
        <v>.png</v>
      </c>
      <c r="Y246" s="33"/>
      <c r="Z246" s="33" t="e">
        <f>RIGHT(B246, LEN(B246)-SEARCH(" ", B246, 1))</f>
        <v>#VALUE!</v>
      </c>
    </row>
    <row r="247" spans="1:26" x14ac:dyDescent="0.25">
      <c r="A247" s="33">
        <f>A246+1</f>
        <v>14246</v>
      </c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 t="str">
        <f>CONCATENATE(LOWER(SUBSTITUTE(SUBSTITUTE(B247," ","_"), ".", "")), ".png")</f>
        <v>.png</v>
      </c>
      <c r="Y247" s="33"/>
      <c r="Z247" s="33" t="e">
        <f>RIGHT(B247, LEN(B247)-SEARCH(" ", B247, 1))</f>
        <v>#VALUE!</v>
      </c>
    </row>
    <row r="248" spans="1:26" x14ac:dyDescent="0.25">
      <c r="A248" s="33">
        <f>A247+1</f>
        <v>14247</v>
      </c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 t="str">
        <f>CONCATENATE(LOWER(SUBSTITUTE(SUBSTITUTE(B248," ","_"), ".", "")), ".png")</f>
        <v>.png</v>
      </c>
      <c r="Y248" s="33"/>
      <c r="Z248" s="33" t="e">
        <f>RIGHT(B248, LEN(B248)-SEARCH(" ", B248, 1))</f>
        <v>#VALUE!</v>
      </c>
    </row>
    <row r="249" spans="1:26" x14ac:dyDescent="0.25">
      <c r="A249" s="33">
        <f>A248+1</f>
        <v>14248</v>
      </c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 t="str">
        <f>CONCATENATE(LOWER(SUBSTITUTE(SUBSTITUTE(B249," ","_"), ".", "")), ".png")</f>
        <v>.png</v>
      </c>
      <c r="Y249" s="33"/>
      <c r="Z249" s="33" t="e">
        <f>RIGHT(B249, LEN(B249)-SEARCH(" ", B249, 1))</f>
        <v>#VALUE!</v>
      </c>
    </row>
    <row r="250" spans="1:26" x14ac:dyDescent="0.25">
      <c r="A250" s="33">
        <f>A249+1</f>
        <v>14249</v>
      </c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 t="str">
        <f>CONCATENATE(LOWER(SUBSTITUTE(SUBSTITUTE(B250," ","_"), ".", "")), ".png")</f>
        <v>.png</v>
      </c>
      <c r="Y250" s="33"/>
      <c r="Z250" s="33" t="e">
        <f>RIGHT(B250, LEN(B250)-SEARCH(" ", B250, 1))</f>
        <v>#VALUE!</v>
      </c>
    </row>
    <row r="251" spans="1:26" x14ac:dyDescent="0.25">
      <c r="A251" s="33">
        <f>A250+1</f>
        <v>14250</v>
      </c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 t="str">
        <f>CONCATENATE(LOWER(SUBSTITUTE(SUBSTITUTE(B251," ","_"), ".", "")), ".png")</f>
        <v>.png</v>
      </c>
      <c r="Y251" s="33"/>
      <c r="Z251" s="33" t="e">
        <f>RIGHT(B251, LEN(B251)-SEARCH(" ", B251, 1))</f>
        <v>#VALUE!</v>
      </c>
    </row>
    <row r="252" spans="1:26" x14ac:dyDescent="0.25">
      <c r="A252" s="33">
        <f>A251+1</f>
        <v>14251</v>
      </c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 t="str">
        <f>CONCATENATE(LOWER(SUBSTITUTE(SUBSTITUTE(B252," ","_"), ".", "")), ".png")</f>
        <v>.png</v>
      </c>
      <c r="Y252" s="33"/>
      <c r="Z252" s="33" t="e">
        <f>RIGHT(B252, LEN(B252)-SEARCH(" ", B252, 1))</f>
        <v>#VALUE!</v>
      </c>
    </row>
    <row r="253" spans="1:26" x14ac:dyDescent="0.25">
      <c r="A253" s="33">
        <f>A252+1</f>
        <v>14252</v>
      </c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 t="str">
        <f>CONCATENATE(LOWER(SUBSTITUTE(SUBSTITUTE(B253," ","_"), ".", "")), ".png")</f>
        <v>.png</v>
      </c>
      <c r="Y253" s="33"/>
      <c r="Z253" s="33" t="e">
        <f>RIGHT(B253, LEN(B253)-SEARCH(" ", B253, 1))</f>
        <v>#VALUE!</v>
      </c>
    </row>
    <row r="254" spans="1:26" x14ac:dyDescent="0.25">
      <c r="A254" s="33">
        <f>A253+1</f>
        <v>14253</v>
      </c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 t="str">
        <f>CONCATENATE(LOWER(SUBSTITUTE(SUBSTITUTE(B254," ","_"), ".", "")), ".png")</f>
        <v>.png</v>
      </c>
      <c r="Y254" s="33"/>
      <c r="Z254" s="33" t="e">
        <f>RIGHT(B254, LEN(B254)-SEARCH(" ", B254, 1))</f>
        <v>#VALUE!</v>
      </c>
    </row>
    <row r="255" spans="1:26" x14ac:dyDescent="0.25">
      <c r="A255" s="33">
        <f>A254+1</f>
        <v>14254</v>
      </c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 t="str">
        <f>CONCATENATE(LOWER(SUBSTITUTE(SUBSTITUTE(B255," ","_"), ".", "")), ".png")</f>
        <v>.png</v>
      </c>
      <c r="Y255" s="33"/>
      <c r="Z255" s="33" t="e">
        <f>RIGHT(B255, LEN(B255)-SEARCH(" ", B255, 1))</f>
        <v>#VALUE!</v>
      </c>
    </row>
    <row r="256" spans="1:26" x14ac:dyDescent="0.25">
      <c r="A256" s="33">
        <f>A255+1</f>
        <v>14255</v>
      </c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 t="str">
        <f>CONCATENATE(LOWER(SUBSTITUTE(SUBSTITUTE(B256," ","_"), ".", "")), ".png")</f>
        <v>.png</v>
      </c>
      <c r="Y256" s="33"/>
      <c r="Z256" s="33" t="e">
        <f>RIGHT(B256, LEN(B256)-SEARCH(" ", B256, 1))</f>
        <v>#VALUE!</v>
      </c>
    </row>
    <row r="257" spans="1:26" x14ac:dyDescent="0.25">
      <c r="A257" s="33">
        <f>A256+1</f>
        <v>14256</v>
      </c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 t="str">
        <f>CONCATENATE(LOWER(SUBSTITUTE(SUBSTITUTE(B257," ","_"), ".", "")), ".png")</f>
        <v>.png</v>
      </c>
      <c r="Y257" s="33"/>
      <c r="Z257" s="33" t="e">
        <f>RIGHT(B257, LEN(B257)-SEARCH(" ", B257, 1))</f>
        <v>#VALUE!</v>
      </c>
    </row>
    <row r="258" spans="1:26" x14ac:dyDescent="0.25">
      <c r="A258" s="33">
        <f>A257+1</f>
        <v>14257</v>
      </c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 t="str">
        <f>CONCATENATE(LOWER(SUBSTITUTE(SUBSTITUTE(B258," ","_"), ".", "")), ".png")</f>
        <v>.png</v>
      </c>
      <c r="Y258" s="33"/>
      <c r="Z258" s="33" t="e">
        <f>RIGHT(B258, LEN(B258)-SEARCH(" ", B258, 1))</f>
        <v>#VALUE!</v>
      </c>
    </row>
    <row r="259" spans="1:26" x14ac:dyDescent="0.25">
      <c r="A259" s="33">
        <f>A258+1</f>
        <v>14258</v>
      </c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 t="str">
        <f>CONCATENATE(LOWER(SUBSTITUTE(SUBSTITUTE(B259," ","_"), ".", "")), ".png")</f>
        <v>.png</v>
      </c>
      <c r="Y259" s="33"/>
      <c r="Z259" s="33" t="e">
        <f>RIGHT(B259, LEN(B259)-SEARCH(" ", B259, 1))</f>
        <v>#VALUE!</v>
      </c>
    </row>
    <row r="260" spans="1:26" x14ac:dyDescent="0.25">
      <c r="A260" s="33">
        <f>A259+1</f>
        <v>14259</v>
      </c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 t="str">
        <f>CONCATENATE(LOWER(SUBSTITUTE(SUBSTITUTE(B260," ","_"), ".", "")), ".png")</f>
        <v>.png</v>
      </c>
      <c r="Y260" s="33"/>
      <c r="Z260" s="33" t="e">
        <f>RIGHT(B260, LEN(B260)-SEARCH(" ", B260, 1))</f>
        <v>#VALUE!</v>
      </c>
    </row>
    <row r="261" spans="1:26" x14ac:dyDescent="0.25">
      <c r="A261" s="33">
        <f>A260+1</f>
        <v>14260</v>
      </c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 t="str">
        <f>CONCATENATE(LOWER(SUBSTITUTE(SUBSTITUTE(B261," ","_"), ".", "")), ".png")</f>
        <v>.png</v>
      </c>
      <c r="Y261" s="33"/>
      <c r="Z261" s="33" t="e">
        <f>RIGHT(B261, LEN(B261)-SEARCH(" ", B261, 1))</f>
        <v>#VALUE!</v>
      </c>
    </row>
    <row r="262" spans="1:26" x14ac:dyDescent="0.25">
      <c r="A262" s="33">
        <f>A261+1</f>
        <v>14261</v>
      </c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 t="str">
        <f>CONCATENATE(LOWER(SUBSTITUTE(SUBSTITUTE(B262," ","_"), ".", "")), ".png")</f>
        <v>.png</v>
      </c>
      <c r="Y262" s="33"/>
      <c r="Z262" s="33" t="e">
        <f>RIGHT(B262, LEN(B262)-SEARCH(" ", B262, 1))</f>
        <v>#VALUE!</v>
      </c>
    </row>
    <row r="263" spans="1:26" x14ac:dyDescent="0.25">
      <c r="A263" s="33">
        <f>A262+1</f>
        <v>14262</v>
      </c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 t="str">
        <f>CONCATENATE(LOWER(SUBSTITUTE(SUBSTITUTE(B263," ","_"), ".", "")), ".png")</f>
        <v>.png</v>
      </c>
      <c r="Y263" s="33"/>
      <c r="Z263" s="33" t="e">
        <f>RIGHT(B263, LEN(B263)-SEARCH(" ", B263, 1))</f>
        <v>#VALUE!</v>
      </c>
    </row>
    <row r="264" spans="1:26" x14ac:dyDescent="0.25">
      <c r="A264" s="33">
        <f>A263+1</f>
        <v>14263</v>
      </c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 t="str">
        <f>CONCATENATE(LOWER(SUBSTITUTE(SUBSTITUTE(B264," ","_"), ".", "")), ".png")</f>
        <v>.png</v>
      </c>
      <c r="Y264" s="33"/>
      <c r="Z264" s="33" t="e">
        <f>RIGHT(B264, LEN(B264)-SEARCH(" ", B264, 1))</f>
        <v>#VALUE!</v>
      </c>
    </row>
    <row r="265" spans="1:26" x14ac:dyDescent="0.25">
      <c r="A265" s="33">
        <f>A264+1</f>
        <v>14264</v>
      </c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 t="str">
        <f>CONCATENATE(LOWER(SUBSTITUTE(SUBSTITUTE(B265," ","_"), ".", "")), ".png")</f>
        <v>.png</v>
      </c>
      <c r="Y265" s="33"/>
      <c r="Z265" s="33" t="e">
        <f>RIGHT(B265, LEN(B265)-SEARCH(" ", B265, 1))</f>
        <v>#VALUE!</v>
      </c>
    </row>
    <row r="266" spans="1:26" x14ac:dyDescent="0.25">
      <c r="A266" s="33">
        <f>A265+1</f>
        <v>14265</v>
      </c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 t="str">
        <f>CONCATENATE(LOWER(SUBSTITUTE(SUBSTITUTE(B266," ","_"), ".", "")), ".png")</f>
        <v>.png</v>
      </c>
      <c r="Y266" s="33"/>
      <c r="Z266" s="33" t="e">
        <f>RIGHT(B266, LEN(B266)-SEARCH(" ", B266, 1))</f>
        <v>#VALUE!</v>
      </c>
    </row>
    <row r="267" spans="1:26" x14ac:dyDescent="0.25">
      <c r="A267" s="33">
        <f>A266+1</f>
        <v>14266</v>
      </c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 t="str">
        <f>CONCATENATE(LOWER(SUBSTITUTE(SUBSTITUTE(B267," ","_"), ".", "")), ".png")</f>
        <v>.png</v>
      </c>
      <c r="Y267" s="33"/>
      <c r="Z267" s="33" t="e">
        <f>RIGHT(B267, LEN(B267)-SEARCH(" ", B267, 1))</f>
        <v>#VALUE!</v>
      </c>
    </row>
    <row r="268" spans="1:26" x14ac:dyDescent="0.25">
      <c r="A268" s="33">
        <f>A267+1</f>
        <v>14267</v>
      </c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 t="str">
        <f>CONCATENATE(LOWER(SUBSTITUTE(SUBSTITUTE(B268," ","_"), ".", "")), ".png")</f>
        <v>.png</v>
      </c>
      <c r="Y268" s="33"/>
      <c r="Z268" s="33" t="e">
        <f>RIGHT(B268, LEN(B268)-SEARCH(" ", B268, 1))</f>
        <v>#VALUE!</v>
      </c>
    </row>
    <row r="269" spans="1:26" x14ac:dyDescent="0.25">
      <c r="A269" s="33">
        <f>A268+1</f>
        <v>14268</v>
      </c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 t="str">
        <f>CONCATENATE(LOWER(SUBSTITUTE(SUBSTITUTE(B269," ","_"), ".", "")), ".png")</f>
        <v>.png</v>
      </c>
      <c r="Y269" s="33"/>
      <c r="Z269" s="33" t="e">
        <f>RIGHT(B269, LEN(B269)-SEARCH(" ", B269, 1))</f>
        <v>#VALUE!</v>
      </c>
    </row>
    <row r="270" spans="1:26" x14ac:dyDescent="0.25">
      <c r="A270" s="33">
        <f>A269+1</f>
        <v>14269</v>
      </c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 t="str">
        <f>CONCATENATE(LOWER(SUBSTITUTE(SUBSTITUTE(B270," ","_"), ".", "")), ".png")</f>
        <v>.png</v>
      </c>
      <c r="Y270" s="33"/>
      <c r="Z270" s="33" t="e">
        <f>RIGHT(B270, LEN(B270)-SEARCH(" ", B270, 1))</f>
        <v>#VALUE!</v>
      </c>
    </row>
    <row r="271" spans="1:26" x14ac:dyDescent="0.25">
      <c r="A271" s="33">
        <f>A270+1</f>
        <v>14270</v>
      </c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 t="str">
        <f>CONCATENATE(LOWER(SUBSTITUTE(SUBSTITUTE(B271," ","_"), ".", "")), ".png")</f>
        <v>.png</v>
      </c>
      <c r="Y271" s="33"/>
      <c r="Z271" s="33" t="e">
        <f>RIGHT(B271, LEN(B271)-SEARCH(" ", B271, 1))</f>
        <v>#VALUE!</v>
      </c>
    </row>
    <row r="272" spans="1:26" x14ac:dyDescent="0.25">
      <c r="A272" s="33">
        <f>A271+1</f>
        <v>14271</v>
      </c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 t="str">
        <f>CONCATENATE(LOWER(SUBSTITUTE(SUBSTITUTE(B272," ","_"), ".", "")), ".png")</f>
        <v>.png</v>
      </c>
      <c r="Y272" s="33"/>
      <c r="Z272" s="33" t="e">
        <f>RIGHT(B272, LEN(B272)-SEARCH(" ", B272, 1))</f>
        <v>#VALUE!</v>
      </c>
    </row>
    <row r="273" spans="1:26" x14ac:dyDescent="0.25">
      <c r="A273" s="33">
        <f>A272+1</f>
        <v>14272</v>
      </c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 t="str">
        <f>CONCATENATE(LOWER(SUBSTITUTE(SUBSTITUTE(B273," ","_"), ".", "")), ".png")</f>
        <v>.png</v>
      </c>
      <c r="Y273" s="33"/>
      <c r="Z273" s="33" t="e">
        <f>RIGHT(B273, LEN(B273)-SEARCH(" ", B273, 1))</f>
        <v>#VALUE!</v>
      </c>
    </row>
    <row r="274" spans="1:26" x14ac:dyDescent="0.25">
      <c r="A274" s="33">
        <f>A273+1</f>
        <v>14273</v>
      </c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 t="str">
        <f>CONCATENATE(LOWER(SUBSTITUTE(SUBSTITUTE(B274," ","_"), ".", "")), ".png")</f>
        <v>.png</v>
      </c>
      <c r="Y274" s="33"/>
      <c r="Z274" s="33" t="e">
        <f>RIGHT(B274, LEN(B274)-SEARCH(" ", B274, 1))</f>
        <v>#VALUE!</v>
      </c>
    </row>
    <row r="275" spans="1:26" x14ac:dyDescent="0.25">
      <c r="A275" s="33">
        <f>A274+1</f>
        <v>14274</v>
      </c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 t="str">
        <f>CONCATENATE(LOWER(SUBSTITUTE(SUBSTITUTE(B275," ","_"), ".", "")), ".png")</f>
        <v>.png</v>
      </c>
      <c r="Y275" s="33"/>
      <c r="Z275" s="33" t="e">
        <f>RIGHT(B275, LEN(B275)-SEARCH(" ", B275, 1))</f>
        <v>#VALUE!</v>
      </c>
    </row>
    <row r="276" spans="1:26" x14ac:dyDescent="0.25">
      <c r="A276" s="33">
        <f>A275+1</f>
        <v>14275</v>
      </c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 t="str">
        <f>CONCATENATE(LOWER(SUBSTITUTE(SUBSTITUTE(B276," ","_"), ".", "")), ".png")</f>
        <v>.png</v>
      </c>
      <c r="Y276" s="33"/>
      <c r="Z276" s="33" t="e">
        <f>RIGHT(B276, LEN(B276)-SEARCH(" ", B276, 1))</f>
        <v>#VALUE!</v>
      </c>
    </row>
    <row r="277" spans="1:26" x14ac:dyDescent="0.25">
      <c r="A277" s="33">
        <f>A276+1</f>
        <v>14276</v>
      </c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 t="str">
        <f>CONCATENATE(LOWER(SUBSTITUTE(SUBSTITUTE(B277," ","_"), ".", "")), ".png")</f>
        <v>.png</v>
      </c>
      <c r="Y277" s="33"/>
      <c r="Z277" s="33" t="e">
        <f>RIGHT(B277, LEN(B277)-SEARCH(" ", B277, 1))</f>
        <v>#VALUE!</v>
      </c>
    </row>
    <row r="278" spans="1:26" x14ac:dyDescent="0.25">
      <c r="A278" s="33">
        <f>A277+1</f>
        <v>14277</v>
      </c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 t="str">
        <f>CONCATENATE(LOWER(SUBSTITUTE(SUBSTITUTE(B278," ","_"), ".", "")), ".png")</f>
        <v>.png</v>
      </c>
      <c r="Y278" s="33"/>
      <c r="Z278" s="33" t="e">
        <f>RIGHT(B278, LEN(B278)-SEARCH(" ", B278, 1))</f>
        <v>#VALUE!</v>
      </c>
    </row>
    <row r="279" spans="1:26" x14ac:dyDescent="0.25">
      <c r="A279" s="33">
        <f>A278+1</f>
        <v>14278</v>
      </c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 t="str">
        <f>CONCATENATE(LOWER(SUBSTITUTE(SUBSTITUTE(B279," ","_"), ".", "")), ".png")</f>
        <v>.png</v>
      </c>
      <c r="Y279" s="33"/>
      <c r="Z279" s="33" t="e">
        <f>RIGHT(B279, LEN(B279)-SEARCH(" ", B279, 1))</f>
        <v>#VALUE!</v>
      </c>
    </row>
    <row r="280" spans="1:26" x14ac:dyDescent="0.25">
      <c r="A280" s="33">
        <f>A279+1</f>
        <v>14279</v>
      </c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 t="str">
        <f>CONCATENATE(LOWER(SUBSTITUTE(SUBSTITUTE(B280," ","_"), ".", "")), ".png")</f>
        <v>.png</v>
      </c>
      <c r="Y280" s="33"/>
      <c r="Z280" s="33" t="e">
        <f>RIGHT(B280, LEN(B280)-SEARCH(" ", B280, 1))</f>
        <v>#VALUE!</v>
      </c>
    </row>
    <row r="281" spans="1:26" x14ac:dyDescent="0.25">
      <c r="A281" s="33">
        <f>A280+1</f>
        <v>14280</v>
      </c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 t="str">
        <f>CONCATENATE(LOWER(SUBSTITUTE(SUBSTITUTE(B281," ","_"), ".", "")), ".png")</f>
        <v>.png</v>
      </c>
      <c r="Y281" s="33"/>
      <c r="Z281" s="33" t="e">
        <f>RIGHT(B281, LEN(B281)-SEARCH(" ", B281, 1))</f>
        <v>#VALUE!</v>
      </c>
    </row>
    <row r="282" spans="1:26" x14ac:dyDescent="0.25">
      <c r="A282" s="33">
        <f>A281+1</f>
        <v>14281</v>
      </c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 t="str">
        <f>CONCATENATE(LOWER(SUBSTITUTE(SUBSTITUTE(B282," ","_"), ".", "")), ".png")</f>
        <v>.png</v>
      </c>
      <c r="Y282" s="33"/>
      <c r="Z282" s="33" t="e">
        <f>RIGHT(B282, LEN(B282)-SEARCH(" ", B282, 1))</f>
        <v>#VALUE!</v>
      </c>
    </row>
    <row r="283" spans="1:26" x14ac:dyDescent="0.25">
      <c r="A283" s="33">
        <f>A282+1</f>
        <v>14282</v>
      </c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 t="str">
        <f>CONCATENATE(LOWER(SUBSTITUTE(SUBSTITUTE(B283," ","_"), ".", "")), ".png")</f>
        <v>.png</v>
      </c>
      <c r="Y283" s="33"/>
      <c r="Z283" s="33" t="e">
        <f>RIGHT(B283, LEN(B283)-SEARCH(" ", B283, 1))</f>
        <v>#VALUE!</v>
      </c>
    </row>
    <row r="284" spans="1:26" x14ac:dyDescent="0.25">
      <c r="A284" s="33">
        <f>A283+1</f>
        <v>14283</v>
      </c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 t="str">
        <f>CONCATENATE(LOWER(SUBSTITUTE(SUBSTITUTE(B284," ","_"), ".", "")), ".png")</f>
        <v>.png</v>
      </c>
      <c r="Y284" s="33"/>
      <c r="Z284" s="33" t="e">
        <f>RIGHT(B284, LEN(B284)-SEARCH(" ", B284, 1))</f>
        <v>#VALUE!</v>
      </c>
    </row>
    <row r="285" spans="1:26" x14ac:dyDescent="0.25">
      <c r="A285" s="33">
        <f>A284+1</f>
        <v>14284</v>
      </c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 t="str">
        <f>CONCATENATE(LOWER(SUBSTITUTE(SUBSTITUTE(B285," ","_"), ".", "")), ".png")</f>
        <v>.png</v>
      </c>
      <c r="Y285" s="33"/>
      <c r="Z285" s="33" t="e">
        <f>RIGHT(B285, LEN(B285)-SEARCH(" ", B285, 1))</f>
        <v>#VALUE!</v>
      </c>
    </row>
    <row r="286" spans="1:26" x14ac:dyDescent="0.25">
      <c r="A286" s="33">
        <f>A285+1</f>
        <v>14285</v>
      </c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 t="str">
        <f>CONCATENATE(LOWER(SUBSTITUTE(SUBSTITUTE(B286," ","_"), ".", "")), ".png")</f>
        <v>.png</v>
      </c>
      <c r="Y286" s="33"/>
      <c r="Z286" s="33" t="e">
        <f>RIGHT(B286, LEN(B286)-SEARCH(" ", B286, 1))</f>
        <v>#VALUE!</v>
      </c>
    </row>
    <row r="287" spans="1:26" x14ac:dyDescent="0.25">
      <c r="A287" s="33">
        <f>A286+1</f>
        <v>14286</v>
      </c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 t="str">
        <f>CONCATENATE(LOWER(SUBSTITUTE(SUBSTITUTE(B287," ","_"), ".", "")), ".png")</f>
        <v>.png</v>
      </c>
      <c r="Y287" s="33"/>
      <c r="Z287" s="33" t="e">
        <f>RIGHT(B287, LEN(B287)-SEARCH(" ", B287, 1))</f>
        <v>#VALUE!</v>
      </c>
    </row>
    <row r="288" spans="1:26" x14ac:dyDescent="0.25">
      <c r="A288" s="33">
        <f>A287+1</f>
        <v>14287</v>
      </c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 t="str">
        <f>CONCATENATE(LOWER(SUBSTITUTE(SUBSTITUTE(B288," ","_"), ".", "")), ".png")</f>
        <v>.png</v>
      </c>
      <c r="Y288" s="33"/>
      <c r="Z288" s="33" t="e">
        <f>RIGHT(B288, LEN(B288)-SEARCH(" ", B288, 1))</f>
        <v>#VALUE!</v>
      </c>
    </row>
    <row r="289" spans="1:26" x14ac:dyDescent="0.25">
      <c r="A289" s="33">
        <f>A288+1</f>
        <v>14288</v>
      </c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 t="str">
        <f>CONCATENATE(LOWER(SUBSTITUTE(SUBSTITUTE(B289," ","_"), ".", "")), ".png")</f>
        <v>.png</v>
      </c>
      <c r="Y289" s="33"/>
      <c r="Z289" s="33" t="e">
        <f>RIGHT(B289, LEN(B289)-SEARCH(" ", B289, 1))</f>
        <v>#VALUE!</v>
      </c>
    </row>
    <row r="290" spans="1:26" x14ac:dyDescent="0.25">
      <c r="A290" s="33">
        <f>A289+1</f>
        <v>14289</v>
      </c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 t="str">
        <f>CONCATENATE(LOWER(SUBSTITUTE(SUBSTITUTE(B290," ","_"), ".", "")), ".png")</f>
        <v>.png</v>
      </c>
      <c r="Y290" s="33"/>
      <c r="Z290" s="33" t="e">
        <f>RIGHT(B290, LEN(B290)-SEARCH(" ", B290, 1))</f>
        <v>#VALUE!</v>
      </c>
    </row>
    <row r="291" spans="1:26" x14ac:dyDescent="0.25">
      <c r="A291" s="33">
        <f>A290+1</f>
        <v>14290</v>
      </c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 t="str">
        <f>CONCATENATE(LOWER(SUBSTITUTE(SUBSTITUTE(B291," ","_"), ".", "")), ".png")</f>
        <v>.png</v>
      </c>
      <c r="Y291" s="33"/>
      <c r="Z291" s="33" t="e">
        <f>RIGHT(B291, LEN(B291)-SEARCH(" ", B291, 1))</f>
        <v>#VALUE!</v>
      </c>
    </row>
    <row r="292" spans="1:26" x14ac:dyDescent="0.25">
      <c r="A292" s="33">
        <f>A291+1</f>
        <v>14291</v>
      </c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 t="str">
        <f>CONCATENATE(LOWER(SUBSTITUTE(SUBSTITUTE(B292," ","_"), ".", "")), ".png")</f>
        <v>.png</v>
      </c>
      <c r="Y292" s="33"/>
      <c r="Z292" s="33" t="e">
        <f>RIGHT(B292, LEN(B292)-SEARCH(" ", B292, 1))</f>
        <v>#VALUE!</v>
      </c>
    </row>
    <row r="293" spans="1:26" x14ac:dyDescent="0.25">
      <c r="A293" s="33">
        <f>A292+1</f>
        <v>14292</v>
      </c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 t="str">
        <f>CONCATENATE(LOWER(SUBSTITUTE(SUBSTITUTE(B293," ","_"), ".", "")), ".png")</f>
        <v>.png</v>
      </c>
      <c r="Y293" s="33"/>
      <c r="Z293" s="33" t="e">
        <f>RIGHT(B293, LEN(B293)-SEARCH(" ", B293, 1))</f>
        <v>#VALUE!</v>
      </c>
    </row>
    <row r="294" spans="1:26" x14ac:dyDescent="0.25">
      <c r="A294" s="33">
        <f>A293+1</f>
        <v>14293</v>
      </c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 t="str">
        <f>CONCATENATE(LOWER(SUBSTITUTE(SUBSTITUTE(B294," ","_"), ".", "")), ".png")</f>
        <v>.png</v>
      </c>
      <c r="Y294" s="33"/>
      <c r="Z294" s="33" t="e">
        <f>RIGHT(B294, LEN(B294)-SEARCH(" ", B294, 1))</f>
        <v>#VALUE!</v>
      </c>
    </row>
    <row r="295" spans="1:26" x14ac:dyDescent="0.25">
      <c r="A295" s="33">
        <f>A294+1</f>
        <v>14294</v>
      </c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 t="str">
        <f>CONCATENATE(LOWER(SUBSTITUTE(SUBSTITUTE(B295," ","_"), ".", "")), ".png")</f>
        <v>.png</v>
      </c>
      <c r="Y295" s="33"/>
      <c r="Z295" s="33" t="e">
        <f>RIGHT(B295, LEN(B295)-SEARCH(" ", B295, 1))</f>
        <v>#VALUE!</v>
      </c>
    </row>
    <row r="296" spans="1:26" x14ac:dyDescent="0.25">
      <c r="A296" s="33">
        <f>A295+1</f>
        <v>14295</v>
      </c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 t="str">
        <f>CONCATENATE(LOWER(SUBSTITUTE(SUBSTITUTE(B296," ","_"), ".", "")), ".png")</f>
        <v>.png</v>
      </c>
      <c r="Y296" s="33"/>
      <c r="Z296" s="33" t="e">
        <f>RIGHT(B296, LEN(B296)-SEARCH(" ", B296, 1))</f>
        <v>#VALUE!</v>
      </c>
    </row>
    <row r="297" spans="1:26" x14ac:dyDescent="0.25">
      <c r="A297" s="33">
        <f>A296+1</f>
        <v>14296</v>
      </c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 t="str">
        <f>CONCATENATE(LOWER(SUBSTITUTE(SUBSTITUTE(B297," ","_"), ".", "")), ".png")</f>
        <v>.png</v>
      </c>
      <c r="Y297" s="33"/>
      <c r="Z297" s="33" t="e">
        <f>RIGHT(B297, LEN(B297)-SEARCH(" ", B297, 1))</f>
        <v>#VALUE!</v>
      </c>
    </row>
    <row r="298" spans="1:26" x14ac:dyDescent="0.25">
      <c r="A298" s="33">
        <f>A297+1</f>
        <v>14297</v>
      </c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 t="str">
        <f>CONCATENATE(LOWER(SUBSTITUTE(SUBSTITUTE(B298," ","_"), ".", "")), ".png")</f>
        <v>.png</v>
      </c>
      <c r="Y298" s="33"/>
      <c r="Z298" s="33" t="e">
        <f>RIGHT(B298, LEN(B298)-SEARCH(" ", B298, 1))</f>
        <v>#VALUE!</v>
      </c>
    </row>
    <row r="299" spans="1:26" x14ac:dyDescent="0.25">
      <c r="A299" s="33">
        <f>A298+1</f>
        <v>14298</v>
      </c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 t="str">
        <f>CONCATENATE(LOWER(SUBSTITUTE(SUBSTITUTE(B299," ","_"), ".", "")), ".png")</f>
        <v>.png</v>
      </c>
      <c r="Y299" s="33"/>
      <c r="Z299" s="33" t="e">
        <f>RIGHT(B299, LEN(B299)-SEARCH(" ", B299, 1))</f>
        <v>#VALUE!</v>
      </c>
    </row>
    <row r="300" spans="1:26" x14ac:dyDescent="0.25">
      <c r="A300" s="33">
        <f>A299+1</f>
        <v>14299</v>
      </c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 t="str">
        <f>CONCATENATE(LOWER(SUBSTITUTE(SUBSTITUTE(B300," ","_"), ".", "")), ".png")</f>
        <v>.png</v>
      </c>
      <c r="Y300" s="33"/>
      <c r="Z300" s="33" t="e">
        <f>RIGHT(B300, LEN(B300)-SEARCH(" ", B300, 1))</f>
        <v>#VALUE!</v>
      </c>
    </row>
    <row r="301" spans="1:26" x14ac:dyDescent="0.25">
      <c r="A301" s="33">
        <f>A300+1</f>
        <v>14300</v>
      </c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 t="str">
        <f>CONCATENATE(LOWER(SUBSTITUTE(SUBSTITUTE(B301," ","_"), ".", "")), ".png")</f>
        <v>.png</v>
      </c>
      <c r="Y301" s="33"/>
      <c r="Z301" s="33" t="e">
        <f>RIGHT(B301, LEN(B301)-SEARCH(" ", B301, 1))</f>
        <v>#VALUE!</v>
      </c>
    </row>
    <row r="302" spans="1:26" x14ac:dyDescent="0.25">
      <c r="A302" s="33">
        <f>A301+1</f>
        <v>14301</v>
      </c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 t="str">
        <f>CONCATENATE(LOWER(SUBSTITUTE(SUBSTITUTE(B302," ","_"), ".", "")), ".png")</f>
        <v>.png</v>
      </c>
      <c r="Y302" s="33"/>
      <c r="Z302" s="33" t="e">
        <f>RIGHT(B302, LEN(B302)-SEARCH(" ", B302, 1))</f>
        <v>#VALUE!</v>
      </c>
    </row>
    <row r="303" spans="1:26" x14ac:dyDescent="0.25">
      <c r="A303" s="33">
        <f>A302+1</f>
        <v>14302</v>
      </c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 t="str">
        <f>CONCATENATE(LOWER(SUBSTITUTE(SUBSTITUTE(B303," ","_"), ".", "")), ".png")</f>
        <v>.png</v>
      </c>
      <c r="Y303" s="33"/>
      <c r="Z303" s="33" t="e">
        <f>RIGHT(B303, LEN(B303)-SEARCH(" ", B303, 1))</f>
        <v>#VALUE!</v>
      </c>
    </row>
    <row r="304" spans="1:26" x14ac:dyDescent="0.25">
      <c r="A304" s="33">
        <f>A303+1</f>
        <v>14303</v>
      </c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 t="str">
        <f>CONCATENATE(LOWER(SUBSTITUTE(SUBSTITUTE(B304," ","_"), ".", "")), ".png")</f>
        <v>.png</v>
      </c>
      <c r="Y304" s="33"/>
      <c r="Z304" s="33" t="e">
        <f>RIGHT(B304, LEN(B304)-SEARCH(" ", B304, 1))</f>
        <v>#VALUE!</v>
      </c>
    </row>
    <row r="305" spans="1:26" x14ac:dyDescent="0.25">
      <c r="A305" s="33">
        <f>A304+1</f>
        <v>14304</v>
      </c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 t="str">
        <f>CONCATENATE(LOWER(SUBSTITUTE(SUBSTITUTE(B305," ","_"), ".", "")), ".png")</f>
        <v>.png</v>
      </c>
      <c r="Y305" s="33"/>
      <c r="Z305" s="33" t="e">
        <f>RIGHT(B305, LEN(B305)-SEARCH(" ", B305, 1))</f>
        <v>#VALUE!</v>
      </c>
    </row>
    <row r="306" spans="1:26" x14ac:dyDescent="0.25">
      <c r="A306" s="33">
        <f>A305+1</f>
        <v>14305</v>
      </c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 t="str">
        <f>CONCATENATE(LOWER(SUBSTITUTE(SUBSTITUTE(B306," ","_"), ".", "")), ".png")</f>
        <v>.png</v>
      </c>
      <c r="Y306" s="33"/>
      <c r="Z306" s="33" t="e">
        <f>RIGHT(B306, LEN(B306)-SEARCH(" ", B306, 1))</f>
        <v>#VALUE!</v>
      </c>
    </row>
    <row r="307" spans="1:26" x14ac:dyDescent="0.25">
      <c r="A307" s="33">
        <f>A306+1</f>
        <v>14306</v>
      </c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 t="str">
        <f>CONCATENATE(LOWER(SUBSTITUTE(SUBSTITUTE(B307," ","_"), ".", "")), ".png")</f>
        <v>.png</v>
      </c>
      <c r="Y307" s="33"/>
      <c r="Z307" s="33" t="e">
        <f>RIGHT(B307, LEN(B307)-SEARCH(" ", B307, 1))</f>
        <v>#VALUE!</v>
      </c>
    </row>
    <row r="308" spans="1:26" x14ac:dyDescent="0.25">
      <c r="A308" s="33">
        <f>A307+1</f>
        <v>14307</v>
      </c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 t="str">
        <f>CONCATENATE(LOWER(SUBSTITUTE(SUBSTITUTE(B308," ","_"), ".", "")), ".png")</f>
        <v>.png</v>
      </c>
      <c r="Y308" s="33"/>
      <c r="Z308" s="33" t="e">
        <f>RIGHT(B308, LEN(B308)-SEARCH(" ", B308, 1))</f>
        <v>#VALUE!</v>
      </c>
    </row>
    <row r="309" spans="1:26" x14ac:dyDescent="0.25">
      <c r="A309" s="33">
        <f>A308+1</f>
        <v>14308</v>
      </c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 t="str">
        <f>CONCATENATE(LOWER(SUBSTITUTE(SUBSTITUTE(B309," ","_"), ".", "")), ".png")</f>
        <v>.png</v>
      </c>
      <c r="Y309" s="33"/>
      <c r="Z309" s="33" t="e">
        <f>RIGHT(B309, LEN(B309)-SEARCH(" ", B309, 1))</f>
        <v>#VALUE!</v>
      </c>
    </row>
    <row r="310" spans="1:26" x14ac:dyDescent="0.25">
      <c r="A310" s="33">
        <f>A309+1</f>
        <v>14309</v>
      </c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 t="str">
        <f>CONCATENATE(LOWER(SUBSTITUTE(SUBSTITUTE(B310," ","_"), ".", "")), ".png")</f>
        <v>.png</v>
      </c>
      <c r="Y310" s="33"/>
      <c r="Z310" s="33" t="e">
        <f>RIGHT(B310, LEN(B310)-SEARCH(" ", B310, 1))</f>
        <v>#VALUE!</v>
      </c>
    </row>
    <row r="311" spans="1:26" x14ac:dyDescent="0.25">
      <c r="A311" s="33">
        <f>A310+1</f>
        <v>14310</v>
      </c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 t="str">
        <f>CONCATENATE(LOWER(SUBSTITUTE(SUBSTITUTE(B311," ","_"), ".", "")), ".png")</f>
        <v>.png</v>
      </c>
      <c r="Y311" s="33"/>
      <c r="Z311" s="33" t="e">
        <f>RIGHT(B311, LEN(B311)-SEARCH(" ", B311, 1))</f>
        <v>#VALUE!</v>
      </c>
    </row>
    <row r="312" spans="1:26" x14ac:dyDescent="0.25">
      <c r="A312" s="33">
        <f>A311+1</f>
        <v>14311</v>
      </c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 t="str">
        <f>CONCATENATE(LOWER(SUBSTITUTE(SUBSTITUTE(B312," ","_"), ".", "")), ".png")</f>
        <v>.png</v>
      </c>
      <c r="Y312" s="33"/>
      <c r="Z312" s="33" t="e">
        <f>RIGHT(B312, LEN(B312)-SEARCH(" ", B312, 1))</f>
        <v>#VALUE!</v>
      </c>
    </row>
    <row r="313" spans="1:26" x14ac:dyDescent="0.25">
      <c r="A313" s="33">
        <f>A312+1</f>
        <v>14312</v>
      </c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 t="str">
        <f>CONCATENATE(LOWER(SUBSTITUTE(SUBSTITUTE(B313," ","_"), ".", "")), ".png")</f>
        <v>.png</v>
      </c>
      <c r="Y313" s="33"/>
      <c r="Z313" s="33" t="e">
        <f>RIGHT(B313, LEN(B313)-SEARCH(" ", B313, 1))</f>
        <v>#VALUE!</v>
      </c>
    </row>
    <row r="314" spans="1:26" x14ac:dyDescent="0.25">
      <c r="A314" s="33">
        <f>A313+1</f>
        <v>14313</v>
      </c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 t="str">
        <f>CONCATENATE(LOWER(SUBSTITUTE(SUBSTITUTE(B314," ","_"), ".", "")), ".png")</f>
        <v>.png</v>
      </c>
      <c r="Y314" s="33"/>
      <c r="Z314" s="33" t="e">
        <f>RIGHT(B314, LEN(B314)-SEARCH(" ", B314, 1))</f>
        <v>#VALUE!</v>
      </c>
    </row>
    <row r="315" spans="1:26" x14ac:dyDescent="0.25">
      <c r="A315" s="33">
        <f>A314+1</f>
        <v>14314</v>
      </c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 t="str">
        <f>CONCATENATE(LOWER(SUBSTITUTE(SUBSTITUTE(B315," ","_"), ".", "")), ".png")</f>
        <v>.png</v>
      </c>
      <c r="Y315" s="33"/>
      <c r="Z315" s="33" t="e">
        <f>RIGHT(B315, LEN(B315)-SEARCH(" ", B315, 1))</f>
        <v>#VALUE!</v>
      </c>
    </row>
    <row r="316" spans="1:26" x14ac:dyDescent="0.25">
      <c r="A316" s="33">
        <f>A315+1</f>
        <v>14315</v>
      </c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 t="str">
        <f>CONCATENATE(LOWER(SUBSTITUTE(SUBSTITUTE(B316," ","_"), ".", "")), ".png")</f>
        <v>.png</v>
      </c>
      <c r="Y316" s="33"/>
      <c r="Z316" s="33" t="e">
        <f>RIGHT(B316, LEN(B316)-SEARCH(" ", B316, 1))</f>
        <v>#VALUE!</v>
      </c>
    </row>
    <row r="317" spans="1:26" x14ac:dyDescent="0.25">
      <c r="A317" s="33">
        <f>A316+1</f>
        <v>14316</v>
      </c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 t="str">
        <f>CONCATENATE(LOWER(SUBSTITUTE(SUBSTITUTE(B317," ","_"), ".", "")), ".png")</f>
        <v>.png</v>
      </c>
      <c r="Y317" s="33"/>
      <c r="Z317" s="33" t="e">
        <f>RIGHT(B317, LEN(B317)-SEARCH(" ", B317, 1))</f>
        <v>#VALUE!</v>
      </c>
    </row>
    <row r="318" spans="1:26" x14ac:dyDescent="0.25">
      <c r="A318" s="33">
        <f>A317+1</f>
        <v>14317</v>
      </c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 t="str">
        <f>CONCATENATE(LOWER(SUBSTITUTE(SUBSTITUTE(B318," ","_"), ".", "")), ".png")</f>
        <v>.png</v>
      </c>
      <c r="Y318" s="33"/>
      <c r="Z318" s="33" t="e">
        <f>RIGHT(B318, LEN(B318)-SEARCH(" ", B318, 1))</f>
        <v>#VALUE!</v>
      </c>
    </row>
    <row r="319" spans="1:26" x14ac:dyDescent="0.25">
      <c r="A319" s="33">
        <f>A318+1</f>
        <v>14318</v>
      </c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 t="str">
        <f>CONCATENATE(LOWER(SUBSTITUTE(SUBSTITUTE(B319," ","_"), ".", "")), ".png")</f>
        <v>.png</v>
      </c>
      <c r="Y319" s="33"/>
      <c r="Z319" s="33" t="e">
        <f>RIGHT(B319, LEN(B319)-SEARCH(" ", B319, 1))</f>
        <v>#VALUE!</v>
      </c>
    </row>
    <row r="320" spans="1:26" x14ac:dyDescent="0.25">
      <c r="A320" s="33">
        <f>A319+1</f>
        <v>14319</v>
      </c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 t="str">
        <f>CONCATENATE(LOWER(SUBSTITUTE(SUBSTITUTE(B320," ","_"), ".", "")), ".png")</f>
        <v>.png</v>
      </c>
      <c r="Y320" s="33"/>
      <c r="Z320" s="33" t="e">
        <f>RIGHT(B320, LEN(B320)-SEARCH(" ", B320, 1))</f>
        <v>#VALUE!</v>
      </c>
    </row>
    <row r="321" spans="1:26" x14ac:dyDescent="0.25">
      <c r="A321" s="33">
        <f>A320+1</f>
        <v>14320</v>
      </c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 t="str">
        <f>CONCATENATE(LOWER(SUBSTITUTE(SUBSTITUTE(B321," ","_"), ".", "")), ".png")</f>
        <v>.png</v>
      </c>
      <c r="Y321" s="33"/>
      <c r="Z321" s="33" t="e">
        <f>RIGHT(B321, LEN(B321)-SEARCH(" ", B321, 1))</f>
        <v>#VALUE!</v>
      </c>
    </row>
    <row r="322" spans="1:26" x14ac:dyDescent="0.25">
      <c r="A322" s="33">
        <f>A321+1</f>
        <v>14321</v>
      </c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 t="str">
        <f>CONCATENATE(LOWER(SUBSTITUTE(SUBSTITUTE(B322," ","_"), ".", "")), ".png")</f>
        <v>.png</v>
      </c>
      <c r="Y322" s="33"/>
      <c r="Z322" s="33" t="e">
        <f>RIGHT(B322, LEN(B322)-SEARCH(" ", B322, 1))</f>
        <v>#VALUE!</v>
      </c>
    </row>
    <row r="323" spans="1:26" x14ac:dyDescent="0.25">
      <c r="A323" s="33">
        <f>A322+1</f>
        <v>14322</v>
      </c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 t="str">
        <f>CONCATENATE(LOWER(SUBSTITUTE(SUBSTITUTE(B323," ","_"), ".", "")), ".png")</f>
        <v>.png</v>
      </c>
      <c r="Y323" s="33"/>
      <c r="Z323" s="33" t="e">
        <f>RIGHT(B323, LEN(B323)-SEARCH(" ", B323, 1))</f>
        <v>#VALUE!</v>
      </c>
    </row>
    <row r="324" spans="1:26" x14ac:dyDescent="0.25">
      <c r="A324" s="33">
        <f>A323+1</f>
        <v>14323</v>
      </c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 t="str">
        <f>CONCATENATE(LOWER(SUBSTITUTE(SUBSTITUTE(B324," ","_"), ".", "")), ".png")</f>
        <v>.png</v>
      </c>
      <c r="Y324" s="33"/>
      <c r="Z324" s="33" t="e">
        <f>RIGHT(B324, LEN(B324)-SEARCH(" ", B324, 1))</f>
        <v>#VALUE!</v>
      </c>
    </row>
    <row r="325" spans="1:26" x14ac:dyDescent="0.25">
      <c r="A325" s="33">
        <f>A324+1</f>
        <v>14324</v>
      </c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 t="str">
        <f>CONCATENATE(LOWER(SUBSTITUTE(SUBSTITUTE(B325," ","_"), ".", "")), ".png")</f>
        <v>.png</v>
      </c>
      <c r="Y325" s="33"/>
      <c r="Z325" s="33" t="e">
        <f>RIGHT(B325, LEN(B325)-SEARCH(" ", B325, 1))</f>
        <v>#VALUE!</v>
      </c>
    </row>
    <row r="326" spans="1:26" x14ac:dyDescent="0.25">
      <c r="A326" s="33">
        <f>A325+1</f>
        <v>14325</v>
      </c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 t="str">
        <f>CONCATENATE(LOWER(SUBSTITUTE(SUBSTITUTE(B326," ","_"), ".", "")), ".png")</f>
        <v>.png</v>
      </c>
      <c r="Y326" s="33"/>
      <c r="Z326" s="33" t="e">
        <f>RIGHT(B326, LEN(B326)-SEARCH(" ", B326, 1))</f>
        <v>#VALUE!</v>
      </c>
    </row>
    <row r="327" spans="1:26" x14ac:dyDescent="0.25">
      <c r="A327" s="33">
        <f>A326+1</f>
        <v>14326</v>
      </c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 t="str">
        <f>CONCATENATE(LOWER(SUBSTITUTE(SUBSTITUTE(B327," ","_"), ".", "")), ".png")</f>
        <v>.png</v>
      </c>
      <c r="Y327" s="33"/>
      <c r="Z327" s="33" t="e">
        <f>RIGHT(B327, LEN(B327)-SEARCH(" ", B327, 1))</f>
        <v>#VALUE!</v>
      </c>
    </row>
    <row r="328" spans="1:26" x14ac:dyDescent="0.25">
      <c r="A328" s="33">
        <f>A327+1</f>
        <v>14327</v>
      </c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 t="str">
        <f>CONCATENATE(LOWER(SUBSTITUTE(SUBSTITUTE(B328," ","_"), ".", "")), ".png")</f>
        <v>.png</v>
      </c>
      <c r="Y328" s="33"/>
      <c r="Z328" s="33" t="e">
        <f>RIGHT(B328, LEN(B328)-SEARCH(" ", B328, 1))</f>
        <v>#VALUE!</v>
      </c>
    </row>
    <row r="329" spans="1:26" x14ac:dyDescent="0.25">
      <c r="A329" s="33">
        <f>A328+1</f>
        <v>14328</v>
      </c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 t="str">
        <f>CONCATENATE(LOWER(SUBSTITUTE(SUBSTITUTE(B329," ","_"), ".", "")), ".png")</f>
        <v>.png</v>
      </c>
      <c r="Y329" s="33"/>
      <c r="Z329" s="33" t="e">
        <f>RIGHT(B329, LEN(B329)-SEARCH(" ", B329, 1))</f>
        <v>#VALUE!</v>
      </c>
    </row>
    <row r="330" spans="1:26" x14ac:dyDescent="0.25">
      <c r="A330" s="33">
        <f>A329+1</f>
        <v>14329</v>
      </c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 t="str">
        <f>CONCATENATE(LOWER(SUBSTITUTE(SUBSTITUTE(B330," ","_"), ".", "")), ".png")</f>
        <v>.png</v>
      </c>
      <c r="Y330" s="33"/>
      <c r="Z330" s="33" t="e">
        <f>RIGHT(B330, LEN(B330)-SEARCH(" ", B330, 1))</f>
        <v>#VALUE!</v>
      </c>
    </row>
    <row r="331" spans="1:26" x14ac:dyDescent="0.25">
      <c r="A331" s="33">
        <f>A330+1</f>
        <v>14330</v>
      </c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 t="str">
        <f>CONCATENATE(LOWER(SUBSTITUTE(SUBSTITUTE(B331," ","_"), ".", "")), ".png")</f>
        <v>.png</v>
      </c>
      <c r="Y331" s="33"/>
      <c r="Z331" s="33" t="e">
        <f>RIGHT(B331, LEN(B331)-SEARCH(" ", B331, 1))</f>
        <v>#VALUE!</v>
      </c>
    </row>
    <row r="332" spans="1:26" x14ac:dyDescent="0.25">
      <c r="A332" s="33">
        <f>A331+1</f>
        <v>14331</v>
      </c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 t="str">
        <f>CONCATENATE(LOWER(SUBSTITUTE(SUBSTITUTE(B332," ","_"), ".", "")), ".png")</f>
        <v>.png</v>
      </c>
      <c r="Y332" s="33"/>
      <c r="Z332" s="33" t="e">
        <f>RIGHT(B332, LEN(B332)-SEARCH(" ", B332, 1))</f>
        <v>#VALUE!</v>
      </c>
    </row>
    <row r="333" spans="1:26" x14ac:dyDescent="0.25">
      <c r="A333" s="33">
        <f>A332+1</f>
        <v>14332</v>
      </c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 t="str">
        <f>CONCATENATE(LOWER(SUBSTITUTE(SUBSTITUTE(B333," ","_"), ".", "")), ".png")</f>
        <v>.png</v>
      </c>
      <c r="Y333" s="33"/>
      <c r="Z333" s="33" t="e">
        <f>RIGHT(B333, LEN(B333)-SEARCH(" ", B333, 1))</f>
        <v>#VALUE!</v>
      </c>
    </row>
    <row r="334" spans="1:26" x14ac:dyDescent="0.25">
      <c r="A334" s="33">
        <f>A333+1</f>
        <v>14333</v>
      </c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 t="str">
        <f>CONCATENATE(LOWER(SUBSTITUTE(SUBSTITUTE(B334," ","_"), ".", "")), ".png")</f>
        <v>.png</v>
      </c>
      <c r="Y334" s="33"/>
      <c r="Z334" s="33" t="e">
        <f>RIGHT(B334, LEN(B334)-SEARCH(" ", B334, 1))</f>
        <v>#VALUE!</v>
      </c>
    </row>
    <row r="335" spans="1:26" x14ac:dyDescent="0.25">
      <c r="A335" s="33">
        <f>A334+1</f>
        <v>14334</v>
      </c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 t="str">
        <f>CONCATENATE(LOWER(SUBSTITUTE(SUBSTITUTE(B335," ","_"), ".", "")), ".png")</f>
        <v>.png</v>
      </c>
      <c r="Y335" s="33"/>
      <c r="Z335" s="33" t="e">
        <f>RIGHT(B335, LEN(B335)-SEARCH(" ", B335, 1))</f>
        <v>#VALUE!</v>
      </c>
    </row>
    <row r="336" spans="1:26" x14ac:dyDescent="0.25">
      <c r="A336" s="33">
        <f>A335+1</f>
        <v>14335</v>
      </c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 t="str">
        <f>CONCATENATE(LOWER(SUBSTITUTE(SUBSTITUTE(B336," ","_"), ".", "")), ".png")</f>
        <v>.png</v>
      </c>
      <c r="Y336" s="33"/>
      <c r="Z336" s="33" t="e">
        <f>RIGHT(B336, LEN(B336)-SEARCH(" ", B336, 1))</f>
        <v>#VALUE!</v>
      </c>
    </row>
    <row r="337" spans="1:26" x14ac:dyDescent="0.25">
      <c r="A337" s="33">
        <f>A336+1</f>
        <v>14336</v>
      </c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 t="str">
        <f>CONCATENATE(LOWER(SUBSTITUTE(SUBSTITUTE(B337," ","_"), ".", "")), ".png")</f>
        <v>.png</v>
      </c>
      <c r="Y337" s="33"/>
      <c r="Z337" s="33" t="e">
        <f>RIGHT(B337, LEN(B337)-SEARCH(" ", B337, 1))</f>
        <v>#VALUE!</v>
      </c>
    </row>
    <row r="338" spans="1:26" x14ac:dyDescent="0.25">
      <c r="A338" s="33">
        <f>A337+1</f>
        <v>14337</v>
      </c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 t="str">
        <f>CONCATENATE(LOWER(SUBSTITUTE(SUBSTITUTE(B338," ","_"), ".", "")), ".png")</f>
        <v>.png</v>
      </c>
      <c r="Y338" s="33"/>
      <c r="Z338" s="33" t="e">
        <f>RIGHT(B338, LEN(B338)-SEARCH(" ", B338, 1))</f>
        <v>#VALUE!</v>
      </c>
    </row>
    <row r="339" spans="1:26" x14ac:dyDescent="0.25">
      <c r="A339" s="33">
        <f>A338+1</f>
        <v>14338</v>
      </c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 t="str">
        <f>CONCATENATE(LOWER(SUBSTITUTE(SUBSTITUTE(B339," ","_"), ".", "")), ".png")</f>
        <v>.png</v>
      </c>
      <c r="Y339" s="33"/>
      <c r="Z339" s="33" t="e">
        <f>RIGHT(B339, LEN(B339)-SEARCH(" ", B339, 1))</f>
        <v>#VALUE!</v>
      </c>
    </row>
    <row r="340" spans="1:26" x14ac:dyDescent="0.25">
      <c r="A340" s="33">
        <f>A339+1</f>
        <v>14339</v>
      </c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 t="str">
        <f>CONCATENATE(LOWER(SUBSTITUTE(SUBSTITUTE(B340," ","_"), ".", "")), ".png")</f>
        <v>.png</v>
      </c>
      <c r="Y340" s="33"/>
      <c r="Z340" s="33" t="e">
        <f>RIGHT(B340, LEN(B340)-SEARCH(" ", B340, 1))</f>
        <v>#VALUE!</v>
      </c>
    </row>
    <row r="341" spans="1:26" x14ac:dyDescent="0.25">
      <c r="A341" s="33">
        <f>A340+1</f>
        <v>14340</v>
      </c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 t="str">
        <f>CONCATENATE(LOWER(SUBSTITUTE(SUBSTITUTE(B341," ","_"), ".", "")), ".png")</f>
        <v>.png</v>
      </c>
      <c r="Y341" s="33"/>
      <c r="Z341" s="33" t="e">
        <f>RIGHT(B341, LEN(B341)-SEARCH(" ", B341, 1))</f>
        <v>#VALUE!</v>
      </c>
    </row>
    <row r="342" spans="1:26" x14ac:dyDescent="0.25">
      <c r="A342" s="33">
        <f>A341+1</f>
        <v>14341</v>
      </c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 t="str">
        <f>CONCATENATE(LOWER(SUBSTITUTE(SUBSTITUTE(B342," ","_"), ".", "")), ".png")</f>
        <v>.png</v>
      </c>
      <c r="Y342" s="33"/>
      <c r="Z342" s="33" t="e">
        <f>RIGHT(B342, LEN(B342)-SEARCH(" ", B342, 1))</f>
        <v>#VALUE!</v>
      </c>
    </row>
    <row r="343" spans="1:26" x14ac:dyDescent="0.25">
      <c r="A343" s="33">
        <f>A342+1</f>
        <v>14342</v>
      </c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 t="str">
        <f>CONCATENATE(LOWER(SUBSTITUTE(SUBSTITUTE(B343," ","_"), ".", "")), ".png")</f>
        <v>.png</v>
      </c>
      <c r="Y343" s="33"/>
      <c r="Z343" s="33" t="e">
        <f>RIGHT(B343, LEN(B343)-SEARCH(" ", B343, 1))</f>
        <v>#VALUE!</v>
      </c>
    </row>
    <row r="344" spans="1:26" x14ac:dyDescent="0.25">
      <c r="A344" s="33">
        <f>A343+1</f>
        <v>14343</v>
      </c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 t="str">
        <f>CONCATENATE(LOWER(SUBSTITUTE(SUBSTITUTE(B344," ","_"), ".", "")), ".png")</f>
        <v>.png</v>
      </c>
      <c r="Y344" s="33"/>
      <c r="Z344" s="33" t="e">
        <f>RIGHT(B344, LEN(B344)-SEARCH(" ", B344, 1))</f>
        <v>#VALUE!</v>
      </c>
    </row>
    <row r="345" spans="1:26" x14ac:dyDescent="0.25">
      <c r="A345" s="33">
        <f>A344+1</f>
        <v>14344</v>
      </c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 t="str">
        <f>CONCATENATE(LOWER(SUBSTITUTE(SUBSTITUTE(B345," ","_"), ".", "")), ".png")</f>
        <v>.png</v>
      </c>
      <c r="Y345" s="33"/>
      <c r="Z345" s="33" t="e">
        <f>RIGHT(B345, LEN(B345)-SEARCH(" ", B345, 1))</f>
        <v>#VALUE!</v>
      </c>
    </row>
    <row r="346" spans="1:26" x14ac:dyDescent="0.25">
      <c r="A346" s="33">
        <f>A345+1</f>
        <v>14345</v>
      </c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 t="str">
        <f>CONCATENATE(LOWER(SUBSTITUTE(SUBSTITUTE(B346," ","_"), ".", "")), ".png")</f>
        <v>.png</v>
      </c>
      <c r="Y346" s="33"/>
      <c r="Z346" s="33" t="e">
        <f>RIGHT(B346, LEN(B346)-SEARCH(" ", B346, 1))</f>
        <v>#VALUE!</v>
      </c>
    </row>
    <row r="347" spans="1:26" x14ac:dyDescent="0.25">
      <c r="A347" s="33">
        <f>A346+1</f>
        <v>14346</v>
      </c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 t="str">
        <f>CONCATENATE(LOWER(SUBSTITUTE(SUBSTITUTE(B347," ","_"), ".", "")), ".png")</f>
        <v>.png</v>
      </c>
      <c r="Y347" s="33"/>
      <c r="Z347" s="33" t="e">
        <f>RIGHT(B347, LEN(B347)-SEARCH(" ", B347, 1))</f>
        <v>#VALUE!</v>
      </c>
    </row>
    <row r="348" spans="1:26" x14ac:dyDescent="0.25">
      <c r="A348" s="33">
        <f>A347+1</f>
        <v>14347</v>
      </c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 t="str">
        <f>CONCATENATE(LOWER(SUBSTITUTE(SUBSTITUTE(B348," ","_"), ".", "")), ".png")</f>
        <v>.png</v>
      </c>
      <c r="Y348" s="33"/>
      <c r="Z348" s="33" t="e">
        <f>RIGHT(B348, LEN(B348)-SEARCH(" ", B348, 1))</f>
        <v>#VALUE!</v>
      </c>
    </row>
    <row r="349" spans="1:26" x14ac:dyDescent="0.25">
      <c r="A349" s="33">
        <f>A348+1</f>
        <v>14348</v>
      </c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 t="str">
        <f>CONCATENATE(LOWER(SUBSTITUTE(SUBSTITUTE(B349," ","_"), ".", "")), ".png")</f>
        <v>.png</v>
      </c>
      <c r="Y349" s="33"/>
      <c r="Z349" s="33" t="e">
        <f>RIGHT(B349, LEN(B349)-SEARCH(" ", B349, 1))</f>
        <v>#VALUE!</v>
      </c>
    </row>
    <row r="350" spans="1:26" x14ac:dyDescent="0.25">
      <c r="A350" s="33">
        <f>A349+1</f>
        <v>14349</v>
      </c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 t="str">
        <f>CONCATENATE(LOWER(SUBSTITUTE(SUBSTITUTE(B350," ","_"), ".", "")), ".png")</f>
        <v>.png</v>
      </c>
      <c r="Y350" s="33"/>
      <c r="Z350" s="33" t="e">
        <f>RIGHT(B350, LEN(B350)-SEARCH(" ", B350, 1))</f>
        <v>#VALUE!</v>
      </c>
    </row>
    <row r="351" spans="1:26" x14ac:dyDescent="0.25">
      <c r="A351" s="33">
        <f>A350+1</f>
        <v>14350</v>
      </c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 t="str">
        <f>CONCATENATE(LOWER(SUBSTITUTE(SUBSTITUTE(B351," ","_"), ".", "")), ".png")</f>
        <v>.png</v>
      </c>
      <c r="Y351" s="33"/>
      <c r="Z351" s="33" t="e">
        <f>RIGHT(B351, LEN(B351)-SEARCH(" ", B351, 1))</f>
        <v>#VALUE!</v>
      </c>
    </row>
    <row r="352" spans="1:26" x14ac:dyDescent="0.25">
      <c r="A352" s="33">
        <f>A351+1</f>
        <v>14351</v>
      </c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 t="str">
        <f>CONCATENATE(LOWER(SUBSTITUTE(SUBSTITUTE(B352," ","_"), ".", "")), ".png")</f>
        <v>.png</v>
      </c>
      <c r="Y352" s="33"/>
      <c r="Z352" s="33" t="e">
        <f>RIGHT(B352, LEN(B352)-SEARCH(" ", B352, 1))</f>
        <v>#VALUE!</v>
      </c>
    </row>
    <row r="353" spans="1:26" x14ac:dyDescent="0.25">
      <c r="A353" s="33">
        <f>A352+1</f>
        <v>14352</v>
      </c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 t="str">
        <f>CONCATENATE(LOWER(SUBSTITUTE(SUBSTITUTE(B353," ","_"), ".", "")), ".png")</f>
        <v>.png</v>
      </c>
      <c r="Y353" s="33"/>
      <c r="Z353" s="33" t="e">
        <f>RIGHT(B353, LEN(B353)-SEARCH(" ", B353, 1))</f>
        <v>#VALUE!</v>
      </c>
    </row>
    <row r="354" spans="1:26" x14ac:dyDescent="0.25">
      <c r="A354" s="33">
        <f>A353+1</f>
        <v>14353</v>
      </c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 t="str">
        <f>CONCATENATE(LOWER(SUBSTITUTE(SUBSTITUTE(B354," ","_"), ".", "")), ".png")</f>
        <v>.png</v>
      </c>
      <c r="Y354" s="33"/>
      <c r="Z354" s="33" t="e">
        <f>RIGHT(B354, LEN(B354)-SEARCH(" ", B354, 1))</f>
        <v>#VALUE!</v>
      </c>
    </row>
    <row r="355" spans="1:26" x14ac:dyDescent="0.25">
      <c r="A355" s="33">
        <f>A354+1</f>
        <v>14354</v>
      </c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 t="str">
        <f>CONCATENATE(LOWER(SUBSTITUTE(SUBSTITUTE(B355," ","_"), ".", "")), ".png")</f>
        <v>.png</v>
      </c>
      <c r="Y355" s="33"/>
      <c r="Z355" s="33" t="e">
        <f>RIGHT(B355, LEN(B355)-SEARCH(" ", B355, 1))</f>
        <v>#VALUE!</v>
      </c>
    </row>
    <row r="356" spans="1:26" x14ac:dyDescent="0.25">
      <c r="A356" s="33">
        <f>A355+1</f>
        <v>14355</v>
      </c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 t="str">
        <f>CONCATENATE(LOWER(SUBSTITUTE(SUBSTITUTE(B356," ","_"), ".", "")), ".png")</f>
        <v>.png</v>
      </c>
      <c r="Y356" s="33"/>
      <c r="Z356" s="33" t="e">
        <f>RIGHT(B356, LEN(B356)-SEARCH(" ", B356, 1))</f>
        <v>#VALUE!</v>
      </c>
    </row>
    <row r="357" spans="1:26" x14ac:dyDescent="0.25">
      <c r="A357" s="33">
        <f>A356+1</f>
        <v>14356</v>
      </c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 t="str">
        <f>CONCATENATE(LOWER(SUBSTITUTE(SUBSTITUTE(B357," ","_"), ".", "")), ".png")</f>
        <v>.png</v>
      </c>
      <c r="Y357" s="33"/>
      <c r="Z357" s="33" t="e">
        <f>RIGHT(B357, LEN(B357)-SEARCH(" ", B357, 1))</f>
        <v>#VALUE!</v>
      </c>
    </row>
    <row r="358" spans="1:26" x14ac:dyDescent="0.25">
      <c r="A358" s="33">
        <f>A357+1</f>
        <v>14357</v>
      </c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 t="str">
        <f>CONCATENATE(LOWER(SUBSTITUTE(SUBSTITUTE(B358," ","_"), ".", "")), ".png")</f>
        <v>.png</v>
      </c>
      <c r="Y358" s="33"/>
      <c r="Z358" s="33" t="e">
        <f>RIGHT(B358, LEN(B358)-SEARCH(" ", B358, 1))</f>
        <v>#VALUE!</v>
      </c>
    </row>
    <row r="359" spans="1:26" x14ac:dyDescent="0.25">
      <c r="A359" s="33">
        <f>A358+1</f>
        <v>14358</v>
      </c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 t="str">
        <f>CONCATENATE(LOWER(SUBSTITUTE(SUBSTITUTE(B359," ","_"), ".", "")), ".png")</f>
        <v>.png</v>
      </c>
      <c r="Y359" s="33"/>
      <c r="Z359" s="33" t="e">
        <f>RIGHT(B359, LEN(B359)-SEARCH(" ", B359, 1))</f>
        <v>#VALUE!</v>
      </c>
    </row>
    <row r="360" spans="1:26" x14ac:dyDescent="0.25">
      <c r="A360" s="33">
        <f>A359+1</f>
        <v>14359</v>
      </c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 t="str">
        <f>CONCATENATE(LOWER(SUBSTITUTE(SUBSTITUTE(B360," ","_"), ".", "")), ".png")</f>
        <v>.png</v>
      </c>
      <c r="Y360" s="33"/>
      <c r="Z360" s="33" t="e">
        <f>RIGHT(B360, LEN(B360)-SEARCH(" ", B360, 1))</f>
        <v>#VALUE!</v>
      </c>
    </row>
    <row r="361" spans="1:26" x14ac:dyDescent="0.25">
      <c r="A361" s="33">
        <f>A360+1</f>
        <v>14360</v>
      </c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 t="str">
        <f>CONCATENATE(LOWER(SUBSTITUTE(SUBSTITUTE(B361," ","_"), ".", "")), ".png")</f>
        <v>.png</v>
      </c>
      <c r="Y361" s="33"/>
      <c r="Z361" s="33" t="e">
        <f>RIGHT(B361, LEN(B361)-SEARCH(" ", B361, 1))</f>
        <v>#VALUE!</v>
      </c>
    </row>
    <row r="362" spans="1:26" x14ac:dyDescent="0.25">
      <c r="A362" s="33">
        <f>A361+1</f>
        <v>14361</v>
      </c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 t="str">
        <f>CONCATENATE(LOWER(SUBSTITUTE(SUBSTITUTE(B362," ","_"), ".", "")), ".png")</f>
        <v>.png</v>
      </c>
      <c r="Y362" s="33"/>
      <c r="Z362" s="33" t="e">
        <f>RIGHT(B362, LEN(B362)-SEARCH(" ", B362, 1))</f>
        <v>#VALUE!</v>
      </c>
    </row>
    <row r="363" spans="1:26" x14ac:dyDescent="0.25">
      <c r="A363" s="33">
        <f>A362+1</f>
        <v>14362</v>
      </c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 t="str">
        <f>CONCATENATE(LOWER(SUBSTITUTE(SUBSTITUTE(B363," ","_"), ".", "")), ".png")</f>
        <v>.png</v>
      </c>
      <c r="Y363" s="33"/>
      <c r="Z363" s="33" t="e">
        <f>RIGHT(B363, LEN(B363)-SEARCH(" ", B363, 1))</f>
        <v>#VALUE!</v>
      </c>
    </row>
    <row r="364" spans="1:26" x14ac:dyDescent="0.25">
      <c r="A364" s="33">
        <f>A363+1</f>
        <v>14363</v>
      </c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 t="str">
        <f>CONCATENATE(LOWER(SUBSTITUTE(SUBSTITUTE(B364," ","_"), ".", "")), ".png")</f>
        <v>.png</v>
      </c>
      <c r="Y364" s="33"/>
      <c r="Z364" s="33" t="e">
        <f>RIGHT(B364, LEN(B364)-SEARCH(" ", B364, 1))</f>
        <v>#VALUE!</v>
      </c>
    </row>
    <row r="365" spans="1:26" x14ac:dyDescent="0.25">
      <c r="A365" s="33">
        <f>A364+1</f>
        <v>14364</v>
      </c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 t="str">
        <f>CONCATENATE(LOWER(SUBSTITUTE(SUBSTITUTE(B365," ","_"), ".", "")), ".png")</f>
        <v>.png</v>
      </c>
      <c r="Y365" s="33"/>
      <c r="Z365" s="33" t="e">
        <f>RIGHT(B365, LEN(B365)-SEARCH(" ", B365, 1))</f>
        <v>#VALUE!</v>
      </c>
    </row>
    <row r="366" spans="1:26" x14ac:dyDescent="0.25">
      <c r="A366" s="33">
        <f>A365+1</f>
        <v>14365</v>
      </c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 t="str">
        <f>CONCATENATE(LOWER(SUBSTITUTE(SUBSTITUTE(B366," ","_"), ".", "")), ".png")</f>
        <v>.png</v>
      </c>
      <c r="Y366" s="33"/>
      <c r="Z366" s="33" t="e">
        <f>RIGHT(B366, LEN(B366)-SEARCH(" ", B366, 1))</f>
        <v>#VALUE!</v>
      </c>
    </row>
    <row r="367" spans="1:26" x14ac:dyDescent="0.25">
      <c r="A367" s="33">
        <f>A366+1</f>
        <v>14366</v>
      </c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 t="str">
        <f>CONCATENATE(LOWER(SUBSTITUTE(SUBSTITUTE(B367," ","_"), ".", "")), ".png")</f>
        <v>.png</v>
      </c>
      <c r="Y367" s="33"/>
      <c r="Z367" s="33" t="e">
        <f>RIGHT(B367, LEN(B367)-SEARCH(" ", B367, 1))</f>
        <v>#VALUE!</v>
      </c>
    </row>
    <row r="368" spans="1:26" x14ac:dyDescent="0.25">
      <c r="A368" s="33">
        <f>A367+1</f>
        <v>14367</v>
      </c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 t="str">
        <f>CONCATENATE(LOWER(SUBSTITUTE(SUBSTITUTE(B368," ","_"), ".", "")), ".png")</f>
        <v>.png</v>
      </c>
      <c r="Y368" s="33"/>
      <c r="Z368" s="33" t="e">
        <f>RIGHT(B368, LEN(B368)-SEARCH(" ", B368, 1))</f>
        <v>#VALUE!</v>
      </c>
    </row>
    <row r="369" spans="1:26" x14ac:dyDescent="0.25">
      <c r="A369" s="33">
        <f>A368+1</f>
        <v>14368</v>
      </c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 t="str">
        <f>CONCATENATE(LOWER(SUBSTITUTE(SUBSTITUTE(B369," ","_"), ".", "")), ".png")</f>
        <v>.png</v>
      </c>
      <c r="Y369" s="33"/>
      <c r="Z369" s="33" t="e">
        <f>RIGHT(B369, LEN(B369)-SEARCH(" ", B369, 1))</f>
        <v>#VALUE!</v>
      </c>
    </row>
    <row r="370" spans="1:26" x14ac:dyDescent="0.25">
      <c r="A370" s="33">
        <f>A369+1</f>
        <v>14369</v>
      </c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 t="str">
        <f>CONCATENATE(LOWER(SUBSTITUTE(SUBSTITUTE(B370," ","_"), ".", "")), ".png")</f>
        <v>.png</v>
      </c>
      <c r="Y370" s="33"/>
      <c r="Z370" s="33" t="e">
        <f>RIGHT(B370, LEN(B370)-SEARCH(" ", B370, 1))</f>
        <v>#VALUE!</v>
      </c>
    </row>
    <row r="371" spans="1:26" x14ac:dyDescent="0.25">
      <c r="A371" s="33">
        <f>A370+1</f>
        <v>14370</v>
      </c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 t="str">
        <f>CONCATENATE(LOWER(SUBSTITUTE(SUBSTITUTE(B371," ","_"), ".", "")), ".png")</f>
        <v>.png</v>
      </c>
      <c r="Y371" s="33"/>
      <c r="Z371" s="33" t="e">
        <f>RIGHT(B371, LEN(B371)-SEARCH(" ", B371, 1))</f>
        <v>#VALUE!</v>
      </c>
    </row>
    <row r="372" spans="1:26" x14ac:dyDescent="0.25">
      <c r="A372" s="33">
        <f>A371+1</f>
        <v>14371</v>
      </c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 t="str">
        <f>CONCATENATE(LOWER(SUBSTITUTE(SUBSTITUTE(B372," ","_"), ".", "")), ".png")</f>
        <v>.png</v>
      </c>
      <c r="Y372" s="33"/>
      <c r="Z372" s="33" t="e">
        <f>RIGHT(B372, LEN(B372)-SEARCH(" ", B372, 1))</f>
        <v>#VALUE!</v>
      </c>
    </row>
    <row r="373" spans="1:26" x14ac:dyDescent="0.25">
      <c r="A373" s="33">
        <f>A372+1</f>
        <v>14372</v>
      </c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 t="str">
        <f>CONCATENATE(LOWER(SUBSTITUTE(SUBSTITUTE(B373," ","_"), ".", "")), ".png")</f>
        <v>.png</v>
      </c>
      <c r="Y373" s="33"/>
      <c r="Z373" s="33" t="e">
        <f>RIGHT(B373, LEN(B373)-SEARCH(" ", B373, 1))</f>
        <v>#VALUE!</v>
      </c>
    </row>
    <row r="374" spans="1:26" x14ac:dyDescent="0.25">
      <c r="A374" s="33">
        <f>A373+1</f>
        <v>14373</v>
      </c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 t="str">
        <f>CONCATENATE(LOWER(SUBSTITUTE(SUBSTITUTE(B374," ","_"), ".", "")), ".png")</f>
        <v>.png</v>
      </c>
      <c r="Y374" s="33"/>
      <c r="Z374" s="33" t="e">
        <f>RIGHT(B374, LEN(B374)-SEARCH(" ", B374, 1))</f>
        <v>#VALUE!</v>
      </c>
    </row>
    <row r="375" spans="1:26" x14ac:dyDescent="0.25">
      <c r="A375" s="33">
        <f>A374+1</f>
        <v>14374</v>
      </c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 t="str">
        <f>CONCATENATE(LOWER(SUBSTITUTE(SUBSTITUTE(B375," ","_"), ".", "")), ".png")</f>
        <v>.png</v>
      </c>
      <c r="Y375" s="33"/>
      <c r="Z375" s="33" t="e">
        <f>RIGHT(B375, LEN(B375)-SEARCH(" ", B375, 1))</f>
        <v>#VALUE!</v>
      </c>
    </row>
    <row r="376" spans="1:26" x14ac:dyDescent="0.25">
      <c r="A376" s="33">
        <f>A375+1</f>
        <v>14375</v>
      </c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 t="str">
        <f>CONCATENATE(LOWER(SUBSTITUTE(SUBSTITUTE(B376," ","_"), ".", "")), ".png")</f>
        <v>.png</v>
      </c>
      <c r="Y376" s="33"/>
      <c r="Z376" s="33" t="e">
        <f>RIGHT(B376, LEN(B376)-SEARCH(" ", B376, 1))</f>
        <v>#VALUE!</v>
      </c>
    </row>
    <row r="377" spans="1:26" x14ac:dyDescent="0.25">
      <c r="A377" s="33">
        <f>A376+1</f>
        <v>14376</v>
      </c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 t="str">
        <f>CONCATENATE(LOWER(SUBSTITUTE(SUBSTITUTE(B377," ","_"), ".", "")), ".png")</f>
        <v>.png</v>
      </c>
      <c r="Y377" s="33"/>
      <c r="Z377" s="33" t="e">
        <f>RIGHT(B377, LEN(B377)-SEARCH(" ", B377, 1))</f>
        <v>#VALUE!</v>
      </c>
    </row>
    <row r="378" spans="1:26" x14ac:dyDescent="0.25">
      <c r="A378" s="33">
        <f>A377+1</f>
        <v>14377</v>
      </c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 t="str">
        <f>CONCATENATE(LOWER(SUBSTITUTE(SUBSTITUTE(B378," ","_"), ".", "")), ".png")</f>
        <v>.png</v>
      </c>
      <c r="Y378" s="33"/>
      <c r="Z378" s="33" t="e">
        <f>RIGHT(B378, LEN(B378)-SEARCH(" ", B378, 1))</f>
        <v>#VALUE!</v>
      </c>
    </row>
    <row r="379" spans="1:26" x14ac:dyDescent="0.25">
      <c r="A379" s="33">
        <f>A378+1</f>
        <v>14378</v>
      </c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 t="str">
        <f>CONCATENATE(LOWER(SUBSTITUTE(SUBSTITUTE(B379," ","_"), ".", "")), ".png")</f>
        <v>.png</v>
      </c>
      <c r="Y379" s="33"/>
      <c r="Z379" s="33" t="e">
        <f>RIGHT(B379, LEN(B379)-SEARCH(" ", B379, 1))</f>
        <v>#VALUE!</v>
      </c>
    </row>
    <row r="380" spans="1:26" x14ac:dyDescent="0.25">
      <c r="A380" s="33">
        <f>A379+1</f>
        <v>14379</v>
      </c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 t="str">
        <f>CONCATENATE(LOWER(SUBSTITUTE(SUBSTITUTE(B380," ","_"), ".", "")), ".png")</f>
        <v>.png</v>
      </c>
      <c r="Y380" s="33"/>
      <c r="Z380" s="33" t="e">
        <f>RIGHT(B380, LEN(B380)-SEARCH(" ", B380, 1))</f>
        <v>#VALUE!</v>
      </c>
    </row>
    <row r="381" spans="1:26" x14ac:dyDescent="0.25">
      <c r="A381" s="33">
        <f>A380+1</f>
        <v>14380</v>
      </c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 t="str">
        <f>CONCATENATE(LOWER(SUBSTITUTE(SUBSTITUTE(B381," ","_"), ".", "")), ".png")</f>
        <v>.png</v>
      </c>
      <c r="Y381" s="33"/>
      <c r="Z381" s="33" t="e">
        <f>RIGHT(B381, LEN(B381)-SEARCH(" ", B381, 1))</f>
        <v>#VALUE!</v>
      </c>
    </row>
    <row r="382" spans="1:26" x14ac:dyDescent="0.25">
      <c r="A382" s="33">
        <f>A381+1</f>
        <v>14381</v>
      </c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 t="str">
        <f>CONCATENATE(LOWER(SUBSTITUTE(SUBSTITUTE(B382," ","_"), ".", "")), ".png")</f>
        <v>.png</v>
      </c>
      <c r="Y382" s="33"/>
      <c r="Z382" s="33" t="e">
        <f>RIGHT(B382, LEN(B382)-SEARCH(" ", B382, 1))</f>
        <v>#VALUE!</v>
      </c>
    </row>
    <row r="383" spans="1:26" x14ac:dyDescent="0.25">
      <c r="A383" s="33">
        <f>A382+1</f>
        <v>14382</v>
      </c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 t="str">
        <f>CONCATENATE(LOWER(SUBSTITUTE(SUBSTITUTE(B383," ","_"), ".", "")), ".png")</f>
        <v>.png</v>
      </c>
      <c r="Y383" s="33"/>
      <c r="Z383" s="33" t="e">
        <f>RIGHT(B383, LEN(B383)-SEARCH(" ", B383, 1))</f>
        <v>#VALUE!</v>
      </c>
    </row>
    <row r="384" spans="1:26" x14ac:dyDescent="0.25">
      <c r="A384" s="33">
        <f>A383+1</f>
        <v>14383</v>
      </c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 t="str">
        <f>CONCATENATE(LOWER(SUBSTITUTE(SUBSTITUTE(B384," ","_"), ".", "")), ".png")</f>
        <v>.png</v>
      </c>
      <c r="Y384" s="33"/>
      <c r="Z384" s="33" t="e">
        <f>RIGHT(B384, LEN(B384)-SEARCH(" ", B384, 1))</f>
        <v>#VALUE!</v>
      </c>
    </row>
    <row r="385" spans="1:26" x14ac:dyDescent="0.25">
      <c r="A385" s="33">
        <f>A384+1</f>
        <v>14384</v>
      </c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 t="str">
        <f>CONCATENATE(LOWER(SUBSTITUTE(SUBSTITUTE(B385," ","_"), ".", "")), ".png")</f>
        <v>.png</v>
      </c>
      <c r="Y385" s="33"/>
      <c r="Z385" s="33" t="e">
        <f>RIGHT(B385, LEN(B385)-SEARCH(" ", B385, 1))</f>
        <v>#VALUE!</v>
      </c>
    </row>
    <row r="386" spans="1:26" x14ac:dyDescent="0.25">
      <c r="A386" s="33">
        <f>A385+1</f>
        <v>14385</v>
      </c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 t="str">
        <f>CONCATENATE(LOWER(SUBSTITUTE(SUBSTITUTE(B386," ","_"), ".", "")), ".png")</f>
        <v>.png</v>
      </c>
      <c r="Y386" s="33"/>
      <c r="Z386" s="33" t="e">
        <f>RIGHT(B386, LEN(B386)-SEARCH(" ", B386, 1))</f>
        <v>#VALUE!</v>
      </c>
    </row>
    <row r="387" spans="1:26" x14ac:dyDescent="0.25">
      <c r="A387" s="33">
        <f>A386+1</f>
        <v>14386</v>
      </c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 t="str">
        <f>CONCATENATE(LOWER(SUBSTITUTE(SUBSTITUTE(B387," ","_"), ".", "")), ".png")</f>
        <v>.png</v>
      </c>
      <c r="Y387" s="33"/>
      <c r="Z387" s="33" t="e">
        <f>RIGHT(B387, LEN(B387)-SEARCH(" ", B387, 1))</f>
        <v>#VALUE!</v>
      </c>
    </row>
    <row r="388" spans="1:26" x14ac:dyDescent="0.25">
      <c r="A388" s="33">
        <f>A387+1</f>
        <v>14387</v>
      </c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 t="str">
        <f>CONCATENATE(LOWER(SUBSTITUTE(SUBSTITUTE(B388," ","_"), ".", "")), ".png")</f>
        <v>.png</v>
      </c>
      <c r="Y388" s="33"/>
      <c r="Z388" s="33" t="e">
        <f>RIGHT(B388, LEN(B388)-SEARCH(" ", B388, 1))</f>
        <v>#VALUE!</v>
      </c>
    </row>
    <row r="389" spans="1:26" x14ac:dyDescent="0.25">
      <c r="A389" s="33">
        <f>A388+1</f>
        <v>14388</v>
      </c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 t="str">
        <f>CONCATENATE(LOWER(SUBSTITUTE(SUBSTITUTE(B389," ","_"), ".", "")), ".png")</f>
        <v>.png</v>
      </c>
      <c r="Y389" s="33"/>
      <c r="Z389" s="33" t="e">
        <f>RIGHT(B389, LEN(B389)-SEARCH(" ", B389, 1))</f>
        <v>#VALUE!</v>
      </c>
    </row>
    <row r="390" spans="1:26" x14ac:dyDescent="0.25">
      <c r="A390" s="33">
        <f>A389+1</f>
        <v>14389</v>
      </c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 t="str">
        <f>CONCATENATE(LOWER(SUBSTITUTE(SUBSTITUTE(B390," ","_"), ".", "")), ".png")</f>
        <v>.png</v>
      </c>
      <c r="Y390" s="33"/>
      <c r="Z390" s="33" t="e">
        <f>RIGHT(B390, LEN(B390)-SEARCH(" ", B390, 1))</f>
        <v>#VALUE!</v>
      </c>
    </row>
    <row r="391" spans="1:26" x14ac:dyDescent="0.25">
      <c r="A391" s="33">
        <f>A390+1</f>
        <v>14390</v>
      </c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 t="str">
        <f>CONCATENATE(LOWER(SUBSTITUTE(SUBSTITUTE(B391," ","_"), ".", "")), ".png")</f>
        <v>.png</v>
      </c>
      <c r="Y391" s="33"/>
      <c r="Z391" s="33" t="e">
        <f>RIGHT(B391, LEN(B391)-SEARCH(" ", B391, 1))</f>
        <v>#VALUE!</v>
      </c>
    </row>
    <row r="392" spans="1:26" x14ac:dyDescent="0.25">
      <c r="A392" s="33">
        <f>A391+1</f>
        <v>14391</v>
      </c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 t="str">
        <f>CONCATENATE(LOWER(SUBSTITUTE(SUBSTITUTE(B392," ","_"), ".", "")), ".png")</f>
        <v>.png</v>
      </c>
      <c r="Y392" s="33"/>
      <c r="Z392" s="33" t="e">
        <f>RIGHT(B392, LEN(B392)-SEARCH(" ", B392, 1))</f>
        <v>#VALUE!</v>
      </c>
    </row>
    <row r="393" spans="1:26" x14ac:dyDescent="0.25">
      <c r="A393" s="33">
        <f>A392+1</f>
        <v>14392</v>
      </c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 t="str">
        <f>CONCATENATE(LOWER(SUBSTITUTE(SUBSTITUTE(B393," ","_"), ".", "")), ".png")</f>
        <v>.png</v>
      </c>
      <c r="Y393" s="33"/>
      <c r="Z393" s="33" t="e">
        <f>RIGHT(B393, LEN(B393)-SEARCH(" ", B393, 1))</f>
        <v>#VALUE!</v>
      </c>
    </row>
    <row r="394" spans="1:26" x14ac:dyDescent="0.25">
      <c r="A394" s="33">
        <f>A393+1</f>
        <v>14393</v>
      </c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 t="str">
        <f>CONCATENATE(LOWER(SUBSTITUTE(SUBSTITUTE(B394," ","_"), ".", "")), ".png")</f>
        <v>.png</v>
      </c>
      <c r="Y394" s="33"/>
      <c r="Z394" s="33" t="e">
        <f>RIGHT(B394, LEN(B394)-SEARCH(" ", B394, 1))</f>
        <v>#VALUE!</v>
      </c>
    </row>
    <row r="395" spans="1:26" x14ac:dyDescent="0.25">
      <c r="A395" s="33">
        <f>A394+1</f>
        <v>14394</v>
      </c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 t="str">
        <f>CONCATENATE(LOWER(SUBSTITUTE(SUBSTITUTE(B395," ","_"), ".", "")), ".png")</f>
        <v>.png</v>
      </c>
      <c r="Y395" s="33"/>
      <c r="Z395" s="33" t="e">
        <f>RIGHT(B395, LEN(B395)-SEARCH(" ", B395, 1))</f>
        <v>#VALUE!</v>
      </c>
    </row>
    <row r="396" spans="1:26" x14ac:dyDescent="0.25">
      <c r="A396" s="33">
        <f>A395+1</f>
        <v>14395</v>
      </c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 t="str">
        <f>CONCATENATE(LOWER(SUBSTITUTE(SUBSTITUTE(B396," ","_"), ".", "")), ".png")</f>
        <v>.png</v>
      </c>
      <c r="Y396" s="33"/>
      <c r="Z396" s="33" t="e">
        <f>RIGHT(B396, LEN(B396)-SEARCH(" ", B396, 1))</f>
        <v>#VALUE!</v>
      </c>
    </row>
    <row r="397" spans="1:26" x14ac:dyDescent="0.25">
      <c r="A397" s="33">
        <f>A396+1</f>
        <v>14396</v>
      </c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 t="str">
        <f>CONCATENATE(LOWER(SUBSTITUTE(SUBSTITUTE(B397," ","_"), ".", "")), ".png")</f>
        <v>.png</v>
      </c>
      <c r="Y397" s="33"/>
      <c r="Z397" s="33" t="e">
        <f>RIGHT(B397, LEN(B397)-SEARCH(" ", B397, 1))</f>
        <v>#VALUE!</v>
      </c>
    </row>
    <row r="398" spans="1:26" x14ac:dyDescent="0.25">
      <c r="A398" s="33">
        <f>A397+1</f>
        <v>14397</v>
      </c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 t="str">
        <f>CONCATENATE(LOWER(SUBSTITUTE(SUBSTITUTE(B398," ","_"), ".", "")), ".png")</f>
        <v>.png</v>
      </c>
      <c r="Y398" s="33"/>
      <c r="Z398" s="33" t="e">
        <f>RIGHT(B398, LEN(B398)-SEARCH(" ", B398, 1))</f>
        <v>#VALUE!</v>
      </c>
    </row>
    <row r="399" spans="1:26" x14ac:dyDescent="0.25">
      <c r="A399" s="33">
        <f>A398+1</f>
        <v>14398</v>
      </c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 t="str">
        <f>CONCATENATE(LOWER(SUBSTITUTE(SUBSTITUTE(B399," ","_"), ".", "")), ".png")</f>
        <v>.png</v>
      </c>
      <c r="Y399" s="33"/>
      <c r="Z399" s="33" t="e">
        <f>RIGHT(B399, LEN(B399)-SEARCH(" ", B399, 1))</f>
        <v>#VALUE!</v>
      </c>
    </row>
    <row r="400" spans="1:26" x14ac:dyDescent="0.25">
      <c r="A400" s="33">
        <f>A399+1</f>
        <v>14399</v>
      </c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 t="str">
        <f>CONCATENATE(LOWER(SUBSTITUTE(SUBSTITUTE(B400," ","_"), ".", "")), ".png")</f>
        <v>.png</v>
      </c>
      <c r="Y400" s="33"/>
      <c r="Z400" s="33" t="e">
        <f>RIGHT(B400, LEN(B400)-SEARCH(" ", B400, 1))</f>
        <v>#VALUE!</v>
      </c>
    </row>
    <row r="401" spans="1:26" x14ac:dyDescent="0.25">
      <c r="A401" s="33">
        <f>A400+1</f>
        <v>14400</v>
      </c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 t="str">
        <f>CONCATENATE(LOWER(SUBSTITUTE(SUBSTITUTE(B401," ","_"), ".", "")), ".png")</f>
        <v>.png</v>
      </c>
      <c r="Y401" s="33"/>
      <c r="Z401" s="33" t="e">
        <f>RIGHT(B401, LEN(B401)-SEARCH(" ", B401, 1))</f>
        <v>#VALUE!</v>
      </c>
    </row>
    <row r="402" spans="1:26" x14ac:dyDescent="0.25">
      <c r="A402" s="33">
        <f>A401+1</f>
        <v>14401</v>
      </c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 t="str">
        <f>CONCATENATE(LOWER(SUBSTITUTE(SUBSTITUTE(B402," ","_"), ".", "")), ".png")</f>
        <v>.png</v>
      </c>
      <c r="Y402" s="33"/>
      <c r="Z402" s="33" t="e">
        <f>RIGHT(B402, LEN(B402)-SEARCH(" ", B402, 1))</f>
        <v>#VALUE!</v>
      </c>
    </row>
    <row r="403" spans="1:26" x14ac:dyDescent="0.25">
      <c r="A403" s="33">
        <f>A402+1</f>
        <v>14402</v>
      </c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 t="str">
        <f>CONCATENATE(LOWER(SUBSTITUTE(SUBSTITUTE(B403," ","_"), ".", "")), ".png")</f>
        <v>.png</v>
      </c>
      <c r="Y403" s="33"/>
      <c r="Z403" s="33" t="e">
        <f>RIGHT(B403, LEN(B403)-SEARCH(" ", B403, 1))</f>
        <v>#VALUE!</v>
      </c>
    </row>
    <row r="404" spans="1:26" x14ac:dyDescent="0.25">
      <c r="A404" s="33">
        <f>A403+1</f>
        <v>14403</v>
      </c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 t="str">
        <f>CONCATENATE(LOWER(SUBSTITUTE(SUBSTITUTE(B404," ","_"), ".", "")), ".png")</f>
        <v>.png</v>
      </c>
      <c r="Y404" s="33"/>
      <c r="Z404" s="33" t="e">
        <f>RIGHT(B404, LEN(B404)-SEARCH(" ", B404, 1))</f>
        <v>#VALUE!</v>
      </c>
    </row>
    <row r="405" spans="1:26" x14ac:dyDescent="0.25">
      <c r="A405" s="33">
        <f>A404+1</f>
        <v>14404</v>
      </c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 t="str">
        <f>CONCATENATE(LOWER(SUBSTITUTE(SUBSTITUTE(B405," ","_"), ".", "")), ".png")</f>
        <v>.png</v>
      </c>
      <c r="Y405" s="33"/>
      <c r="Z405" s="33" t="e">
        <f>RIGHT(B405, LEN(B405)-SEARCH(" ", B405, 1))</f>
        <v>#VALUE!</v>
      </c>
    </row>
    <row r="406" spans="1:26" x14ac:dyDescent="0.25">
      <c r="A406" s="33">
        <f>A405+1</f>
        <v>14405</v>
      </c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 t="str">
        <f>CONCATENATE(LOWER(SUBSTITUTE(SUBSTITUTE(B406," ","_"), ".", "")), ".png")</f>
        <v>.png</v>
      </c>
      <c r="Y406" s="33"/>
      <c r="Z406" s="33" t="e">
        <f>RIGHT(B406, LEN(B406)-SEARCH(" ", B406, 1))</f>
        <v>#VALUE!</v>
      </c>
    </row>
    <row r="407" spans="1:26" x14ac:dyDescent="0.25">
      <c r="A407" s="33">
        <f>A406+1</f>
        <v>14406</v>
      </c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 t="str">
        <f>CONCATENATE(LOWER(SUBSTITUTE(SUBSTITUTE(B407," ","_"), ".", "")), ".png")</f>
        <v>.png</v>
      </c>
      <c r="Y407" s="33"/>
      <c r="Z407" s="33" t="e">
        <f>RIGHT(B407, LEN(B407)-SEARCH(" ", B407, 1))</f>
        <v>#VALUE!</v>
      </c>
    </row>
    <row r="408" spans="1:26" x14ac:dyDescent="0.25">
      <c r="A408" s="33">
        <f>A407+1</f>
        <v>14407</v>
      </c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 t="str">
        <f>CONCATENATE(LOWER(SUBSTITUTE(SUBSTITUTE(B408," ","_"), ".", "")), ".png")</f>
        <v>.png</v>
      </c>
      <c r="Y408" s="33"/>
      <c r="Z408" s="33" t="e">
        <f>RIGHT(B408, LEN(B408)-SEARCH(" ", B408, 1))</f>
        <v>#VALUE!</v>
      </c>
    </row>
    <row r="409" spans="1:26" x14ac:dyDescent="0.25">
      <c r="A409" s="33">
        <f>A408+1</f>
        <v>14408</v>
      </c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 t="str">
        <f>CONCATENATE(LOWER(SUBSTITUTE(SUBSTITUTE(B409," ","_"), ".", "")), ".png")</f>
        <v>.png</v>
      </c>
      <c r="Y409" s="33"/>
      <c r="Z409" s="33" t="e">
        <f>RIGHT(B409, LEN(B409)-SEARCH(" ", B409, 1))</f>
        <v>#VALUE!</v>
      </c>
    </row>
    <row r="410" spans="1:26" x14ac:dyDescent="0.25">
      <c r="A410" s="33">
        <f>A409+1</f>
        <v>14409</v>
      </c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 t="str">
        <f>CONCATENATE(LOWER(SUBSTITUTE(SUBSTITUTE(B410," ","_"), ".", "")), ".png")</f>
        <v>.png</v>
      </c>
      <c r="Y410" s="33"/>
      <c r="Z410" s="33" t="e">
        <f>RIGHT(B410, LEN(B410)-SEARCH(" ", B410, 1))</f>
        <v>#VALUE!</v>
      </c>
    </row>
    <row r="411" spans="1:26" x14ac:dyDescent="0.25">
      <c r="A411" s="33">
        <f>A410+1</f>
        <v>14410</v>
      </c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 t="str">
        <f>CONCATENATE(LOWER(SUBSTITUTE(SUBSTITUTE(B411," ","_"), ".", "")), ".png")</f>
        <v>.png</v>
      </c>
      <c r="Y411" s="33"/>
      <c r="Z411" s="33" t="e">
        <f>RIGHT(B411, LEN(B411)-SEARCH(" ", B411, 1))</f>
        <v>#VALUE!</v>
      </c>
    </row>
    <row r="412" spans="1:26" x14ac:dyDescent="0.25">
      <c r="A412" s="33">
        <f>A411+1</f>
        <v>14411</v>
      </c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 t="str">
        <f>CONCATENATE(LOWER(SUBSTITUTE(SUBSTITUTE(B412," ","_"), ".", "")), ".png")</f>
        <v>.png</v>
      </c>
      <c r="Y412" s="33"/>
      <c r="Z412" s="33" t="e">
        <f>RIGHT(B412, LEN(B412)-SEARCH(" ", B412, 1))</f>
        <v>#VALUE!</v>
      </c>
    </row>
    <row r="413" spans="1:26" x14ac:dyDescent="0.25">
      <c r="A413" s="33">
        <f>A412+1</f>
        <v>14412</v>
      </c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 t="str">
        <f>CONCATENATE(LOWER(SUBSTITUTE(SUBSTITUTE(B413," ","_"), ".", "")), ".png")</f>
        <v>.png</v>
      </c>
      <c r="Y413" s="33"/>
      <c r="Z413" s="33" t="e">
        <f>RIGHT(B413, LEN(B413)-SEARCH(" ", B413, 1))</f>
        <v>#VALUE!</v>
      </c>
    </row>
    <row r="414" spans="1:26" x14ac:dyDescent="0.25">
      <c r="A414" s="33">
        <f>A413+1</f>
        <v>14413</v>
      </c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 t="str">
        <f>CONCATENATE(LOWER(SUBSTITUTE(SUBSTITUTE(B414," ","_"), ".", "")), ".png")</f>
        <v>.png</v>
      </c>
      <c r="Y414" s="33"/>
      <c r="Z414" s="33" t="e">
        <f>RIGHT(B414, LEN(B414)-SEARCH(" ", B414, 1))</f>
        <v>#VALUE!</v>
      </c>
    </row>
    <row r="415" spans="1:26" x14ac:dyDescent="0.25">
      <c r="A415" s="33">
        <f>A414+1</f>
        <v>14414</v>
      </c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 t="str">
        <f>CONCATENATE(LOWER(SUBSTITUTE(SUBSTITUTE(B415," ","_"), ".", "")), ".png")</f>
        <v>.png</v>
      </c>
      <c r="Y415" s="33"/>
      <c r="Z415" s="33" t="e">
        <f>RIGHT(B415, LEN(B415)-SEARCH(" ", B415, 1))</f>
        <v>#VALUE!</v>
      </c>
    </row>
    <row r="416" spans="1:26" x14ac:dyDescent="0.25">
      <c r="A416" s="33">
        <f>A415+1</f>
        <v>14415</v>
      </c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 t="str">
        <f>CONCATENATE(LOWER(SUBSTITUTE(SUBSTITUTE(B416," ","_"), ".", "")), ".png")</f>
        <v>.png</v>
      </c>
      <c r="Y416" s="33"/>
      <c r="Z416" s="33" t="e">
        <f>RIGHT(B416, LEN(B416)-SEARCH(" ", B416, 1))</f>
        <v>#VALUE!</v>
      </c>
    </row>
    <row r="417" spans="1:26" x14ac:dyDescent="0.25">
      <c r="A417" s="33">
        <f>A416+1</f>
        <v>14416</v>
      </c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 t="str">
        <f>CONCATENATE(LOWER(SUBSTITUTE(SUBSTITUTE(B417," ","_"), ".", "")), ".png")</f>
        <v>.png</v>
      </c>
      <c r="Y417" s="33"/>
      <c r="Z417" s="33" t="e">
        <f>RIGHT(B417, LEN(B417)-SEARCH(" ", B417, 1))</f>
        <v>#VALUE!</v>
      </c>
    </row>
    <row r="418" spans="1:26" x14ac:dyDescent="0.25">
      <c r="A418" s="33">
        <f>A417+1</f>
        <v>14417</v>
      </c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 t="str">
        <f>CONCATENATE(LOWER(SUBSTITUTE(SUBSTITUTE(B418," ","_"), ".", "")), ".png")</f>
        <v>.png</v>
      </c>
      <c r="Y418" s="33"/>
      <c r="Z418" s="33" t="e">
        <f>RIGHT(B418, LEN(B418)-SEARCH(" ", B418, 1))</f>
        <v>#VALUE!</v>
      </c>
    </row>
    <row r="419" spans="1:26" x14ac:dyDescent="0.25">
      <c r="A419" s="33">
        <f>A418+1</f>
        <v>14418</v>
      </c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 t="str">
        <f>CONCATENATE(LOWER(SUBSTITUTE(SUBSTITUTE(B419," ","_"), ".", "")), ".png")</f>
        <v>.png</v>
      </c>
      <c r="Y419" s="33"/>
      <c r="Z419" s="33" t="e">
        <f>RIGHT(B419, LEN(B419)-SEARCH(" ", B419, 1))</f>
        <v>#VALUE!</v>
      </c>
    </row>
    <row r="420" spans="1:26" x14ac:dyDescent="0.25">
      <c r="A420" s="33">
        <f>A419+1</f>
        <v>14419</v>
      </c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 t="str">
        <f>CONCATENATE(LOWER(SUBSTITUTE(SUBSTITUTE(B420," ","_"), ".", "")), ".png")</f>
        <v>.png</v>
      </c>
      <c r="Y420" s="33"/>
      <c r="Z420" s="33" t="e">
        <f>RIGHT(B420, LEN(B420)-SEARCH(" ", B420, 1))</f>
        <v>#VALUE!</v>
      </c>
    </row>
    <row r="421" spans="1:26" x14ac:dyDescent="0.25">
      <c r="A421" s="33">
        <f>A420+1</f>
        <v>14420</v>
      </c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 t="str">
        <f>CONCATENATE(LOWER(SUBSTITUTE(SUBSTITUTE(B421," ","_"), ".", "")), ".png")</f>
        <v>.png</v>
      </c>
      <c r="Y421" s="33"/>
      <c r="Z421" s="33" t="e">
        <f>RIGHT(B421, LEN(B421)-SEARCH(" ", B421, 1))</f>
        <v>#VALUE!</v>
      </c>
    </row>
    <row r="422" spans="1:26" x14ac:dyDescent="0.25">
      <c r="A422" s="33">
        <f>A421+1</f>
        <v>14421</v>
      </c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 t="str">
        <f>CONCATENATE(LOWER(SUBSTITUTE(SUBSTITUTE(B422," ","_"), ".", "")), ".png")</f>
        <v>.png</v>
      </c>
      <c r="Y422" s="33"/>
      <c r="Z422" s="33" t="e">
        <f>RIGHT(B422, LEN(B422)-SEARCH(" ", B422, 1))</f>
        <v>#VALUE!</v>
      </c>
    </row>
    <row r="423" spans="1:26" x14ac:dyDescent="0.25">
      <c r="A423" s="33">
        <f>A422+1</f>
        <v>14422</v>
      </c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 t="str">
        <f>CONCATENATE(LOWER(SUBSTITUTE(SUBSTITUTE(B423," ","_"), ".", "")), ".png")</f>
        <v>.png</v>
      </c>
      <c r="Y423" s="33"/>
      <c r="Z423" s="33" t="e">
        <f>RIGHT(B423, LEN(B423)-SEARCH(" ", B423, 1))</f>
        <v>#VALUE!</v>
      </c>
    </row>
    <row r="424" spans="1:26" x14ac:dyDescent="0.25">
      <c r="A424" s="33">
        <f>A423+1</f>
        <v>14423</v>
      </c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 t="str">
        <f>CONCATENATE(LOWER(SUBSTITUTE(SUBSTITUTE(B424," ","_"), ".", "")), ".png")</f>
        <v>.png</v>
      </c>
      <c r="Y424" s="33"/>
      <c r="Z424" s="33" t="e">
        <f>RIGHT(B424, LEN(B424)-SEARCH(" ", B424, 1))</f>
        <v>#VALUE!</v>
      </c>
    </row>
    <row r="425" spans="1:26" x14ac:dyDescent="0.25">
      <c r="A425" s="33">
        <f>A424+1</f>
        <v>14424</v>
      </c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 t="str">
        <f>CONCATENATE(LOWER(SUBSTITUTE(SUBSTITUTE(B425," ","_"), ".", "")), ".png")</f>
        <v>.png</v>
      </c>
      <c r="Y425" s="33"/>
      <c r="Z425" s="33" t="e">
        <f>RIGHT(B425, LEN(B425)-SEARCH(" ", B425, 1))</f>
        <v>#VALUE!</v>
      </c>
    </row>
    <row r="426" spans="1:26" x14ac:dyDescent="0.25">
      <c r="A426" s="33">
        <f>A425+1</f>
        <v>14425</v>
      </c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 t="str">
        <f>CONCATENATE(LOWER(SUBSTITUTE(SUBSTITUTE(B426," ","_"), ".", "")), ".png")</f>
        <v>.png</v>
      </c>
      <c r="Y426" s="33"/>
      <c r="Z426" s="33" t="e">
        <f>RIGHT(B426, LEN(B426)-SEARCH(" ", B426, 1))</f>
        <v>#VALUE!</v>
      </c>
    </row>
    <row r="427" spans="1:26" x14ac:dyDescent="0.25">
      <c r="A427" s="33">
        <f>A426+1</f>
        <v>14426</v>
      </c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 t="str">
        <f>CONCATENATE(LOWER(SUBSTITUTE(SUBSTITUTE(B427," ","_"), ".", "")), ".png")</f>
        <v>.png</v>
      </c>
      <c r="Y427" s="33"/>
      <c r="Z427" s="33" t="e">
        <f>RIGHT(B427, LEN(B427)-SEARCH(" ", B427, 1))</f>
        <v>#VALUE!</v>
      </c>
    </row>
    <row r="428" spans="1:26" x14ac:dyDescent="0.25">
      <c r="A428" s="33">
        <f>A427+1</f>
        <v>14427</v>
      </c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 t="str">
        <f>CONCATENATE(LOWER(SUBSTITUTE(SUBSTITUTE(B428," ","_"), ".", "")), ".png")</f>
        <v>.png</v>
      </c>
      <c r="Y428" s="33"/>
      <c r="Z428" s="33" t="e">
        <f>RIGHT(B428, LEN(B428)-SEARCH(" ", B428, 1))</f>
        <v>#VALUE!</v>
      </c>
    </row>
    <row r="429" spans="1:26" x14ac:dyDescent="0.25">
      <c r="A429" s="33">
        <f>A428+1</f>
        <v>14428</v>
      </c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 t="str">
        <f>CONCATENATE(LOWER(SUBSTITUTE(SUBSTITUTE(B429," ","_"), ".", "")), ".png")</f>
        <v>.png</v>
      </c>
      <c r="Y429" s="33"/>
      <c r="Z429" s="33" t="e">
        <f>RIGHT(B429, LEN(B429)-SEARCH(" ", B429, 1))</f>
        <v>#VALUE!</v>
      </c>
    </row>
    <row r="430" spans="1:26" x14ac:dyDescent="0.25">
      <c r="A430" s="33">
        <f>A429+1</f>
        <v>14429</v>
      </c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 t="str">
        <f>CONCATENATE(LOWER(SUBSTITUTE(SUBSTITUTE(B430," ","_"), ".", "")), ".png")</f>
        <v>.png</v>
      </c>
      <c r="Y430" s="33"/>
      <c r="Z430" s="33" t="e">
        <f>RIGHT(B430, LEN(B430)-SEARCH(" ", B430, 1))</f>
        <v>#VALUE!</v>
      </c>
    </row>
    <row r="431" spans="1:26" x14ac:dyDescent="0.25">
      <c r="A431" s="33">
        <f>A430+1</f>
        <v>14430</v>
      </c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 t="str">
        <f>CONCATENATE(LOWER(SUBSTITUTE(SUBSTITUTE(B431," ","_"), ".", "")), ".png")</f>
        <v>.png</v>
      </c>
      <c r="Y431" s="33"/>
      <c r="Z431" s="33" t="e">
        <f>RIGHT(B431, LEN(B431)-SEARCH(" ", B431, 1))</f>
        <v>#VALUE!</v>
      </c>
    </row>
    <row r="432" spans="1:26" x14ac:dyDescent="0.25">
      <c r="A432" s="33">
        <f>A431+1</f>
        <v>14431</v>
      </c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 t="str">
        <f>CONCATENATE(LOWER(SUBSTITUTE(SUBSTITUTE(B432," ","_"), ".", "")), ".png")</f>
        <v>.png</v>
      </c>
      <c r="Y432" s="33"/>
      <c r="Z432" s="33" t="e">
        <f>RIGHT(B432, LEN(B432)-SEARCH(" ", B432, 1))</f>
        <v>#VALUE!</v>
      </c>
    </row>
    <row r="433" spans="1:26" x14ac:dyDescent="0.25">
      <c r="A433" s="33">
        <f>A432+1</f>
        <v>14432</v>
      </c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 t="str">
        <f>CONCATENATE(LOWER(SUBSTITUTE(SUBSTITUTE(B433," ","_"), ".", "")), ".png")</f>
        <v>.png</v>
      </c>
      <c r="Y433" s="33"/>
      <c r="Z433" s="33" t="e">
        <f>RIGHT(B433, LEN(B433)-SEARCH(" ", B433, 1))</f>
        <v>#VALUE!</v>
      </c>
    </row>
    <row r="434" spans="1:26" x14ac:dyDescent="0.25">
      <c r="A434" s="33">
        <f>A433+1</f>
        <v>14433</v>
      </c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 t="str">
        <f>CONCATENATE(LOWER(SUBSTITUTE(SUBSTITUTE(B434," ","_"), ".", "")), ".png")</f>
        <v>.png</v>
      </c>
      <c r="Y434" s="33"/>
      <c r="Z434" s="33" t="e">
        <f>RIGHT(B434, LEN(B434)-SEARCH(" ", B434, 1))</f>
        <v>#VALUE!</v>
      </c>
    </row>
    <row r="435" spans="1:26" x14ac:dyDescent="0.25">
      <c r="A435" s="33">
        <f>A434+1</f>
        <v>14434</v>
      </c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 t="str">
        <f>CONCATENATE(LOWER(SUBSTITUTE(SUBSTITUTE(B435," ","_"), ".", "")), ".png")</f>
        <v>.png</v>
      </c>
      <c r="Y435" s="33"/>
      <c r="Z435" s="33" t="e">
        <f>RIGHT(B435, LEN(B435)-SEARCH(" ", B435, 1))</f>
        <v>#VALUE!</v>
      </c>
    </row>
    <row r="436" spans="1:26" x14ac:dyDescent="0.25">
      <c r="A436" s="33">
        <f>A435+1</f>
        <v>14435</v>
      </c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 t="str">
        <f>CONCATENATE(LOWER(SUBSTITUTE(SUBSTITUTE(B436," ","_"), ".", "")), ".png")</f>
        <v>.png</v>
      </c>
      <c r="Y436" s="33"/>
      <c r="Z436" s="33" t="e">
        <f>RIGHT(B436, LEN(B436)-SEARCH(" ", B436, 1))</f>
        <v>#VALUE!</v>
      </c>
    </row>
    <row r="437" spans="1:26" x14ac:dyDescent="0.25">
      <c r="A437" s="33">
        <f>A436+1</f>
        <v>14436</v>
      </c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 t="str">
        <f>CONCATENATE(LOWER(SUBSTITUTE(SUBSTITUTE(B437," ","_"), ".", "")), ".png")</f>
        <v>.png</v>
      </c>
      <c r="Y437" s="33"/>
      <c r="Z437" s="33" t="e">
        <f>RIGHT(B437, LEN(B437)-SEARCH(" ", B437, 1))</f>
        <v>#VALUE!</v>
      </c>
    </row>
    <row r="438" spans="1:26" x14ac:dyDescent="0.25">
      <c r="A438" s="33">
        <f>A437+1</f>
        <v>14437</v>
      </c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 t="str">
        <f>CONCATENATE(LOWER(SUBSTITUTE(SUBSTITUTE(B438," ","_"), ".", "")), ".png")</f>
        <v>.png</v>
      </c>
      <c r="Y438" s="33"/>
      <c r="Z438" s="33" t="e">
        <f>RIGHT(B438, LEN(B438)-SEARCH(" ", B438, 1))</f>
        <v>#VALUE!</v>
      </c>
    </row>
    <row r="439" spans="1:26" x14ac:dyDescent="0.25">
      <c r="A439" s="33">
        <f>A438+1</f>
        <v>14438</v>
      </c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 t="str">
        <f>CONCATENATE(LOWER(SUBSTITUTE(SUBSTITUTE(B439," ","_"), ".", "")), ".png")</f>
        <v>.png</v>
      </c>
      <c r="Y439" s="33"/>
      <c r="Z439" s="33" t="e">
        <f>RIGHT(B439, LEN(B439)-SEARCH(" ", B439, 1))</f>
        <v>#VALUE!</v>
      </c>
    </row>
    <row r="440" spans="1:26" x14ac:dyDescent="0.25">
      <c r="A440" s="33">
        <f>A439+1</f>
        <v>14439</v>
      </c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 t="str">
        <f>CONCATENATE(LOWER(SUBSTITUTE(SUBSTITUTE(B440," ","_"), ".", "")), ".png")</f>
        <v>.png</v>
      </c>
      <c r="Y440" s="33"/>
      <c r="Z440" s="33" t="e">
        <f>RIGHT(B440, LEN(B440)-SEARCH(" ", B440, 1))</f>
        <v>#VALUE!</v>
      </c>
    </row>
    <row r="441" spans="1:26" x14ac:dyDescent="0.25">
      <c r="A441" s="33">
        <f>A440+1</f>
        <v>14440</v>
      </c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 t="str">
        <f>CONCATENATE(LOWER(SUBSTITUTE(SUBSTITUTE(B441," ","_"), ".", "")), ".png")</f>
        <v>.png</v>
      </c>
      <c r="Y441" s="33"/>
      <c r="Z441" s="33" t="e">
        <f>RIGHT(B441, LEN(B441)-SEARCH(" ", B441, 1))</f>
        <v>#VALUE!</v>
      </c>
    </row>
    <row r="442" spans="1:26" x14ac:dyDescent="0.25">
      <c r="A442" s="33">
        <f>A441+1</f>
        <v>14441</v>
      </c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 t="str">
        <f>CONCATENATE(LOWER(SUBSTITUTE(SUBSTITUTE(B442," ","_"), ".", "")), ".png")</f>
        <v>.png</v>
      </c>
      <c r="Y442" s="33"/>
      <c r="Z442" s="33" t="e">
        <f>RIGHT(B442, LEN(B442)-SEARCH(" ", B442, 1))</f>
        <v>#VALUE!</v>
      </c>
    </row>
    <row r="443" spans="1:26" x14ac:dyDescent="0.25">
      <c r="A443" s="33">
        <f>A442+1</f>
        <v>14442</v>
      </c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 t="str">
        <f>CONCATENATE(LOWER(SUBSTITUTE(SUBSTITUTE(B443," ","_"), ".", "")), ".png")</f>
        <v>.png</v>
      </c>
      <c r="Y443" s="33"/>
      <c r="Z443" s="33" t="e">
        <f>RIGHT(B443, LEN(B443)-SEARCH(" ", B443, 1))</f>
        <v>#VALUE!</v>
      </c>
    </row>
    <row r="444" spans="1:26" x14ac:dyDescent="0.25">
      <c r="A444" s="33">
        <f>A443+1</f>
        <v>14443</v>
      </c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 t="str">
        <f>CONCATENATE(LOWER(SUBSTITUTE(SUBSTITUTE(B444," ","_"), ".", "")), ".png")</f>
        <v>.png</v>
      </c>
      <c r="Y444" s="33"/>
      <c r="Z444" s="33" t="e">
        <f>RIGHT(B444, LEN(B444)-SEARCH(" ", B444, 1))</f>
        <v>#VALUE!</v>
      </c>
    </row>
    <row r="445" spans="1:26" x14ac:dyDescent="0.25">
      <c r="A445" s="33">
        <f>A444+1</f>
        <v>14444</v>
      </c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 t="str">
        <f>CONCATENATE(LOWER(SUBSTITUTE(SUBSTITUTE(B445," ","_"), ".", "")), ".png")</f>
        <v>.png</v>
      </c>
      <c r="Y445" s="33"/>
      <c r="Z445" s="33" t="e">
        <f>RIGHT(B445, LEN(B445)-SEARCH(" ", B445, 1))</f>
        <v>#VALUE!</v>
      </c>
    </row>
    <row r="446" spans="1:26" x14ac:dyDescent="0.25">
      <c r="A446" s="33">
        <f>A445+1</f>
        <v>14445</v>
      </c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 t="str">
        <f>CONCATENATE(LOWER(SUBSTITUTE(SUBSTITUTE(B446," ","_"), ".", "")), ".png")</f>
        <v>.png</v>
      </c>
      <c r="Y446" s="33"/>
      <c r="Z446" s="33" t="e">
        <f>RIGHT(B446, LEN(B446)-SEARCH(" ", B446, 1))</f>
        <v>#VALUE!</v>
      </c>
    </row>
    <row r="447" spans="1:26" x14ac:dyDescent="0.25">
      <c r="A447" s="33">
        <f>A446+1</f>
        <v>14446</v>
      </c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 t="str">
        <f>CONCATENATE(LOWER(SUBSTITUTE(SUBSTITUTE(B447," ","_"), ".", "")), ".png")</f>
        <v>.png</v>
      </c>
      <c r="Y447" s="33"/>
      <c r="Z447" s="33" t="e">
        <f>RIGHT(B447, LEN(B447)-SEARCH(" ", B447, 1))</f>
        <v>#VALUE!</v>
      </c>
    </row>
    <row r="448" spans="1:26" x14ac:dyDescent="0.25">
      <c r="A448" s="33">
        <f>A447+1</f>
        <v>14447</v>
      </c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 t="str">
        <f>CONCATENATE(LOWER(SUBSTITUTE(SUBSTITUTE(B448," ","_"), ".", "")), ".png")</f>
        <v>.png</v>
      </c>
      <c r="Y448" s="33"/>
      <c r="Z448" s="33" t="e">
        <f>RIGHT(B448, LEN(B448)-SEARCH(" ", B448, 1))</f>
        <v>#VALUE!</v>
      </c>
    </row>
    <row r="449" spans="1:26" x14ac:dyDescent="0.25">
      <c r="A449" s="33">
        <f>A448+1</f>
        <v>14448</v>
      </c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 t="str">
        <f>CONCATENATE(LOWER(SUBSTITUTE(SUBSTITUTE(B449," ","_"), ".", "")), ".png")</f>
        <v>.png</v>
      </c>
      <c r="Y449" s="33"/>
      <c r="Z449" s="33" t="e">
        <f>RIGHT(B449, LEN(B449)-SEARCH(" ", B449, 1))</f>
        <v>#VALUE!</v>
      </c>
    </row>
    <row r="450" spans="1:26" x14ac:dyDescent="0.25">
      <c r="A450" s="33">
        <f>A449+1</f>
        <v>14449</v>
      </c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 t="str">
        <f>CONCATENATE(LOWER(SUBSTITUTE(SUBSTITUTE(B450," ","_"), ".", "")), ".png")</f>
        <v>.png</v>
      </c>
      <c r="Y450" s="33"/>
      <c r="Z450" s="33" t="e">
        <f>RIGHT(B450, LEN(B450)-SEARCH(" ", B450, 1))</f>
        <v>#VALUE!</v>
      </c>
    </row>
    <row r="451" spans="1:26" x14ac:dyDescent="0.25">
      <c r="A451" s="33">
        <f>A450+1</f>
        <v>14450</v>
      </c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 t="str">
        <f>CONCATENATE(LOWER(SUBSTITUTE(SUBSTITUTE(B451," ","_"), ".", "")), ".png")</f>
        <v>.png</v>
      </c>
      <c r="Y451" s="33"/>
      <c r="Z451" s="33" t="e">
        <f>RIGHT(B451, LEN(B451)-SEARCH(" ", B451, 1))</f>
        <v>#VALUE!</v>
      </c>
    </row>
    <row r="452" spans="1:26" x14ac:dyDescent="0.25">
      <c r="A452" s="33">
        <f>A451+1</f>
        <v>14451</v>
      </c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 t="str">
        <f>CONCATENATE(LOWER(SUBSTITUTE(SUBSTITUTE(B452," ","_"), ".", "")), ".png")</f>
        <v>.png</v>
      </c>
      <c r="Y452" s="33"/>
      <c r="Z452" s="33" t="e">
        <f>RIGHT(B452, LEN(B452)-SEARCH(" ", B452, 1))</f>
        <v>#VALUE!</v>
      </c>
    </row>
    <row r="453" spans="1:26" x14ac:dyDescent="0.25">
      <c r="A453" s="33">
        <f>A452+1</f>
        <v>14452</v>
      </c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 t="str">
        <f>CONCATENATE(LOWER(SUBSTITUTE(SUBSTITUTE(B453," ","_"), ".", "")), ".png")</f>
        <v>.png</v>
      </c>
      <c r="Y453" s="33"/>
      <c r="Z453" s="33" t="e">
        <f>RIGHT(B453, LEN(B453)-SEARCH(" ", B453, 1))</f>
        <v>#VALUE!</v>
      </c>
    </row>
    <row r="454" spans="1:26" x14ac:dyDescent="0.25">
      <c r="A454" s="33">
        <f>A453+1</f>
        <v>14453</v>
      </c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 t="str">
        <f>CONCATENATE(LOWER(SUBSTITUTE(SUBSTITUTE(B454," ","_"), ".", "")), ".png")</f>
        <v>.png</v>
      </c>
      <c r="Y454" s="33"/>
      <c r="Z454" s="33" t="e">
        <f>RIGHT(B454, LEN(B454)-SEARCH(" ", B454, 1))</f>
        <v>#VALUE!</v>
      </c>
    </row>
    <row r="455" spans="1:26" x14ac:dyDescent="0.25">
      <c r="A455" s="33">
        <f>A454+1</f>
        <v>14454</v>
      </c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 t="str">
        <f>CONCATENATE(LOWER(SUBSTITUTE(SUBSTITUTE(B455," ","_"), ".", "")), ".png")</f>
        <v>.png</v>
      </c>
      <c r="Y455" s="33"/>
      <c r="Z455" s="33" t="e">
        <f>RIGHT(B455, LEN(B455)-SEARCH(" ", B455, 1))</f>
        <v>#VALUE!</v>
      </c>
    </row>
    <row r="456" spans="1:26" x14ac:dyDescent="0.25">
      <c r="A456" s="33">
        <f>A455+1</f>
        <v>14455</v>
      </c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 t="str">
        <f>CONCATENATE(LOWER(SUBSTITUTE(SUBSTITUTE(B456," ","_"), ".", "")), ".png")</f>
        <v>.png</v>
      </c>
      <c r="Y456" s="33"/>
      <c r="Z456" s="33" t="e">
        <f>RIGHT(B456, LEN(B456)-SEARCH(" ", B456, 1))</f>
        <v>#VALUE!</v>
      </c>
    </row>
    <row r="457" spans="1:26" x14ac:dyDescent="0.25">
      <c r="A457" s="33">
        <f>A456+1</f>
        <v>14456</v>
      </c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 t="str">
        <f>CONCATENATE(LOWER(SUBSTITUTE(SUBSTITUTE(B457," ","_"), ".", "")), ".png")</f>
        <v>.png</v>
      </c>
      <c r="Y457" s="33"/>
      <c r="Z457" s="33" t="e">
        <f>RIGHT(B457, LEN(B457)-SEARCH(" ", B457, 1))</f>
        <v>#VALUE!</v>
      </c>
    </row>
    <row r="458" spans="1:26" x14ac:dyDescent="0.25">
      <c r="A458" s="33">
        <f>A457+1</f>
        <v>14457</v>
      </c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 t="str">
        <f>CONCATENATE(LOWER(SUBSTITUTE(SUBSTITUTE(B458," ","_"), ".", "")), ".png")</f>
        <v>.png</v>
      </c>
      <c r="Y458" s="33"/>
      <c r="Z458" s="33" t="e">
        <f>RIGHT(B458, LEN(B458)-SEARCH(" ", B458, 1))</f>
        <v>#VALUE!</v>
      </c>
    </row>
    <row r="459" spans="1:26" x14ac:dyDescent="0.25">
      <c r="A459" s="33">
        <f>A458+1</f>
        <v>14458</v>
      </c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 t="str">
        <f>CONCATENATE(LOWER(SUBSTITUTE(SUBSTITUTE(B459," ","_"), ".", "")), ".png")</f>
        <v>.png</v>
      </c>
      <c r="Y459" s="33"/>
      <c r="Z459" s="33" t="e">
        <f>RIGHT(B459, LEN(B459)-SEARCH(" ", B459, 1))</f>
        <v>#VALUE!</v>
      </c>
    </row>
    <row r="460" spans="1:26" x14ac:dyDescent="0.25">
      <c r="A460" s="33">
        <f>A459+1</f>
        <v>14459</v>
      </c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 t="str">
        <f>CONCATENATE(LOWER(SUBSTITUTE(SUBSTITUTE(B460," ","_"), ".", "")), ".png")</f>
        <v>.png</v>
      </c>
      <c r="Y460" s="33"/>
      <c r="Z460" s="33" t="e">
        <f>RIGHT(B460, LEN(B460)-SEARCH(" ", B460, 1))</f>
        <v>#VALUE!</v>
      </c>
    </row>
    <row r="461" spans="1:26" x14ac:dyDescent="0.25">
      <c r="A461" s="33">
        <f>A460+1</f>
        <v>14460</v>
      </c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 t="str">
        <f>CONCATENATE(LOWER(SUBSTITUTE(SUBSTITUTE(B461," ","_"), ".", "")), ".png")</f>
        <v>.png</v>
      </c>
      <c r="Y461" s="33"/>
      <c r="Z461" s="33" t="e">
        <f>RIGHT(B461, LEN(B461)-SEARCH(" ", B461, 1))</f>
        <v>#VALUE!</v>
      </c>
    </row>
    <row r="462" spans="1:26" x14ac:dyDescent="0.25">
      <c r="A462" s="33">
        <f>A461+1</f>
        <v>14461</v>
      </c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 t="str">
        <f>CONCATENATE(LOWER(SUBSTITUTE(SUBSTITUTE(B462," ","_"), ".", "")), ".png")</f>
        <v>.png</v>
      </c>
      <c r="Y462" s="33"/>
      <c r="Z462" s="33" t="e">
        <f>RIGHT(B462, LEN(B462)-SEARCH(" ", B462, 1))</f>
        <v>#VALUE!</v>
      </c>
    </row>
    <row r="463" spans="1:26" x14ac:dyDescent="0.25">
      <c r="A463" s="33">
        <f>A462+1</f>
        <v>14462</v>
      </c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 t="str">
        <f>CONCATENATE(LOWER(SUBSTITUTE(SUBSTITUTE(B463," ","_"), ".", "")), ".png")</f>
        <v>.png</v>
      </c>
      <c r="Y463" s="33"/>
      <c r="Z463" s="33" t="e">
        <f>RIGHT(B463, LEN(B463)-SEARCH(" ", B463, 1))</f>
        <v>#VALUE!</v>
      </c>
    </row>
    <row r="464" spans="1:26" x14ac:dyDescent="0.25">
      <c r="A464" s="33">
        <f>A463+1</f>
        <v>14463</v>
      </c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 t="str">
        <f>CONCATENATE(LOWER(SUBSTITUTE(SUBSTITUTE(B464," ","_"), ".", "")), ".png")</f>
        <v>.png</v>
      </c>
      <c r="Y464" s="33"/>
      <c r="Z464" s="33" t="e">
        <f>RIGHT(B464, LEN(B464)-SEARCH(" ", B464, 1))</f>
        <v>#VALUE!</v>
      </c>
    </row>
    <row r="465" spans="1:26" x14ac:dyDescent="0.25">
      <c r="A465" s="33">
        <f>A464+1</f>
        <v>14464</v>
      </c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 t="str">
        <f>CONCATENATE(LOWER(SUBSTITUTE(SUBSTITUTE(B465," ","_"), ".", "")), ".png")</f>
        <v>.png</v>
      </c>
      <c r="Y465" s="33"/>
      <c r="Z465" s="33" t="e">
        <f>RIGHT(B465, LEN(B465)-SEARCH(" ", B465, 1))</f>
        <v>#VALUE!</v>
      </c>
    </row>
    <row r="466" spans="1:26" x14ac:dyDescent="0.25">
      <c r="A466" s="33">
        <f>A465+1</f>
        <v>14465</v>
      </c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 t="str">
        <f>CONCATENATE(LOWER(SUBSTITUTE(SUBSTITUTE(B466," ","_"), ".", "")), ".png")</f>
        <v>.png</v>
      </c>
      <c r="Y466" s="33"/>
      <c r="Z466" s="33" t="e">
        <f>RIGHT(B466, LEN(B466)-SEARCH(" ", B466, 1))</f>
        <v>#VALUE!</v>
      </c>
    </row>
    <row r="467" spans="1:26" x14ac:dyDescent="0.25">
      <c r="A467" s="33">
        <f>A466+1</f>
        <v>14466</v>
      </c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 t="str">
        <f>CONCATENATE(LOWER(SUBSTITUTE(SUBSTITUTE(B467," ","_"), ".", "")), ".png")</f>
        <v>.png</v>
      </c>
      <c r="Y467" s="33"/>
      <c r="Z467" s="33" t="e">
        <f>RIGHT(B467, LEN(B467)-SEARCH(" ", B467, 1))</f>
        <v>#VALUE!</v>
      </c>
    </row>
    <row r="468" spans="1:26" x14ac:dyDescent="0.25">
      <c r="A468" s="33">
        <f>A467+1</f>
        <v>14467</v>
      </c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 t="str">
        <f>CONCATENATE(LOWER(SUBSTITUTE(SUBSTITUTE(B468," ","_"), ".", "")), ".png")</f>
        <v>.png</v>
      </c>
      <c r="Y468" s="33"/>
      <c r="Z468" s="33" t="e">
        <f>RIGHT(B468, LEN(B468)-SEARCH(" ", B468, 1))</f>
        <v>#VALUE!</v>
      </c>
    </row>
    <row r="469" spans="1:26" x14ac:dyDescent="0.25">
      <c r="A469" s="33">
        <f>A468+1</f>
        <v>14468</v>
      </c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 t="str">
        <f>CONCATENATE(LOWER(SUBSTITUTE(SUBSTITUTE(B469," ","_"), ".", "")), ".png")</f>
        <v>.png</v>
      </c>
      <c r="Y469" s="33"/>
      <c r="Z469" s="33" t="e">
        <f>RIGHT(B469, LEN(B469)-SEARCH(" ", B469, 1))</f>
        <v>#VALUE!</v>
      </c>
    </row>
    <row r="470" spans="1:26" x14ac:dyDescent="0.25">
      <c r="A470" s="33">
        <f>A469+1</f>
        <v>14469</v>
      </c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 t="str">
        <f>CONCATENATE(LOWER(SUBSTITUTE(SUBSTITUTE(B470," ","_"), ".", "")), ".png")</f>
        <v>.png</v>
      </c>
      <c r="Y470" s="33"/>
      <c r="Z470" s="33" t="e">
        <f>RIGHT(B470, LEN(B470)-SEARCH(" ", B470, 1))</f>
        <v>#VALUE!</v>
      </c>
    </row>
    <row r="471" spans="1:26" x14ac:dyDescent="0.25">
      <c r="A471" s="33">
        <f>A470+1</f>
        <v>14470</v>
      </c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 t="str">
        <f>CONCATENATE(LOWER(SUBSTITUTE(SUBSTITUTE(B471," ","_"), ".", "")), ".png")</f>
        <v>.png</v>
      </c>
      <c r="Y471" s="33"/>
      <c r="Z471" s="33" t="e">
        <f>RIGHT(B471, LEN(B471)-SEARCH(" ", B471, 1))</f>
        <v>#VALUE!</v>
      </c>
    </row>
    <row r="472" spans="1:26" x14ac:dyDescent="0.25">
      <c r="A472" s="33">
        <f>A471+1</f>
        <v>14471</v>
      </c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 t="str">
        <f>CONCATENATE(LOWER(SUBSTITUTE(SUBSTITUTE(B472," ","_"), ".", "")), ".png")</f>
        <v>.png</v>
      </c>
      <c r="Y472" s="33"/>
      <c r="Z472" s="33" t="e">
        <f>RIGHT(B472, LEN(B472)-SEARCH(" ", B472, 1))</f>
        <v>#VALUE!</v>
      </c>
    </row>
    <row r="473" spans="1:26" x14ac:dyDescent="0.25">
      <c r="A473" s="33">
        <f>A472+1</f>
        <v>14472</v>
      </c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 t="str">
        <f>CONCATENATE(LOWER(SUBSTITUTE(SUBSTITUTE(B473," ","_"), ".", "")), ".png")</f>
        <v>.png</v>
      </c>
      <c r="Y473" s="33"/>
      <c r="Z473" s="33" t="e">
        <f>RIGHT(B473, LEN(B473)-SEARCH(" ", B473, 1))</f>
        <v>#VALUE!</v>
      </c>
    </row>
    <row r="474" spans="1:26" x14ac:dyDescent="0.25">
      <c r="A474" s="33">
        <f>A473+1</f>
        <v>14473</v>
      </c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 t="str">
        <f>CONCATENATE(LOWER(SUBSTITUTE(SUBSTITUTE(B474," ","_"), ".", "")), ".png")</f>
        <v>.png</v>
      </c>
      <c r="Y474" s="33"/>
      <c r="Z474" s="33" t="e">
        <f>RIGHT(B474, LEN(B474)-SEARCH(" ", B474, 1))</f>
        <v>#VALUE!</v>
      </c>
    </row>
    <row r="475" spans="1:26" x14ac:dyDescent="0.25">
      <c r="A475" s="33">
        <f>A474+1</f>
        <v>14474</v>
      </c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 t="str">
        <f>CONCATENATE(LOWER(SUBSTITUTE(SUBSTITUTE(B475," ","_"), ".", "")), ".png")</f>
        <v>.png</v>
      </c>
      <c r="Y475" s="33"/>
      <c r="Z475" s="33" t="e">
        <f>RIGHT(B475, LEN(B475)-SEARCH(" ", B475, 1))</f>
        <v>#VALUE!</v>
      </c>
    </row>
    <row r="476" spans="1:26" x14ac:dyDescent="0.25">
      <c r="A476" s="33">
        <f>A475+1</f>
        <v>14475</v>
      </c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 t="str">
        <f>CONCATENATE(LOWER(SUBSTITUTE(SUBSTITUTE(B476," ","_"), ".", "")), ".png")</f>
        <v>.png</v>
      </c>
      <c r="Y476" s="33"/>
      <c r="Z476" s="33" t="e">
        <f>RIGHT(B476, LEN(B476)-SEARCH(" ", B476, 1))</f>
        <v>#VALUE!</v>
      </c>
    </row>
    <row r="477" spans="1:26" x14ac:dyDescent="0.25">
      <c r="A477" s="33">
        <f>A476+1</f>
        <v>14476</v>
      </c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 t="str">
        <f>CONCATENATE(LOWER(SUBSTITUTE(SUBSTITUTE(B477," ","_"), ".", "")), ".png")</f>
        <v>.png</v>
      </c>
      <c r="Y477" s="33"/>
      <c r="Z477" s="33" t="e">
        <f>RIGHT(B477, LEN(B477)-SEARCH(" ", B477, 1))</f>
        <v>#VALUE!</v>
      </c>
    </row>
    <row r="478" spans="1:26" x14ac:dyDescent="0.25">
      <c r="A478" s="33">
        <f>A477+1</f>
        <v>14477</v>
      </c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 t="str">
        <f>CONCATENATE(LOWER(SUBSTITUTE(SUBSTITUTE(B478," ","_"), ".", "")), ".png")</f>
        <v>.png</v>
      </c>
      <c r="Y478" s="33"/>
      <c r="Z478" s="33" t="e">
        <f>RIGHT(B478, LEN(B478)-SEARCH(" ", B478, 1))</f>
        <v>#VALUE!</v>
      </c>
    </row>
    <row r="479" spans="1:26" x14ac:dyDescent="0.25">
      <c r="A479" s="33">
        <f>A478+1</f>
        <v>14478</v>
      </c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 t="str">
        <f>CONCATENATE(LOWER(SUBSTITUTE(SUBSTITUTE(B479," ","_"), ".", "")), ".png")</f>
        <v>.png</v>
      </c>
      <c r="Y479" s="33"/>
      <c r="Z479" s="33" t="e">
        <f>RIGHT(B479, LEN(B479)-SEARCH(" ", B479, 1))</f>
        <v>#VALUE!</v>
      </c>
    </row>
    <row r="480" spans="1:26" x14ac:dyDescent="0.25">
      <c r="A480" s="33">
        <f>A479+1</f>
        <v>14479</v>
      </c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 t="str">
        <f>CONCATENATE(LOWER(SUBSTITUTE(SUBSTITUTE(B480," ","_"), ".", "")), ".png")</f>
        <v>.png</v>
      </c>
      <c r="Y480" s="33"/>
      <c r="Z480" s="33" t="e">
        <f>RIGHT(B480, LEN(B480)-SEARCH(" ", B480, 1))</f>
        <v>#VALUE!</v>
      </c>
    </row>
    <row r="481" spans="1:26" x14ac:dyDescent="0.25">
      <c r="A481" s="33">
        <f>A480+1</f>
        <v>14480</v>
      </c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 t="str">
        <f>CONCATENATE(LOWER(SUBSTITUTE(SUBSTITUTE(B481," ","_"), ".", "")), ".png")</f>
        <v>.png</v>
      </c>
      <c r="Y481" s="33"/>
      <c r="Z481" s="33" t="e">
        <f>RIGHT(B481, LEN(B481)-SEARCH(" ", B481, 1))</f>
        <v>#VALUE!</v>
      </c>
    </row>
    <row r="482" spans="1:26" x14ac:dyDescent="0.25">
      <c r="A482" s="33">
        <f>A481+1</f>
        <v>14481</v>
      </c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 t="str">
        <f>CONCATENATE(LOWER(SUBSTITUTE(SUBSTITUTE(B482," ","_"), ".", "")), ".png")</f>
        <v>.png</v>
      </c>
      <c r="Y482" s="33"/>
      <c r="Z482" s="33" t="e">
        <f>RIGHT(B482, LEN(B482)-SEARCH(" ", B482, 1))</f>
        <v>#VALUE!</v>
      </c>
    </row>
    <row r="483" spans="1:26" x14ac:dyDescent="0.25">
      <c r="A483" s="33">
        <f>A482+1</f>
        <v>14482</v>
      </c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 t="str">
        <f>CONCATENATE(LOWER(SUBSTITUTE(SUBSTITUTE(B483," ","_"), ".", "")), ".png")</f>
        <v>.png</v>
      </c>
      <c r="Y483" s="33"/>
      <c r="Z483" s="33" t="e">
        <f>RIGHT(B483, LEN(B483)-SEARCH(" ", B483, 1))</f>
        <v>#VALUE!</v>
      </c>
    </row>
    <row r="484" spans="1:26" x14ac:dyDescent="0.25">
      <c r="A484" s="33">
        <f>A483+1</f>
        <v>14483</v>
      </c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 t="str">
        <f>CONCATENATE(LOWER(SUBSTITUTE(SUBSTITUTE(B484," ","_"), ".", "")), ".png")</f>
        <v>.png</v>
      </c>
      <c r="Y484" s="33"/>
      <c r="Z484" s="33" t="e">
        <f>RIGHT(B484, LEN(B484)-SEARCH(" ", B484, 1))</f>
        <v>#VALUE!</v>
      </c>
    </row>
    <row r="485" spans="1:26" x14ac:dyDescent="0.25">
      <c r="A485" s="33">
        <f>A484+1</f>
        <v>14484</v>
      </c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 t="str">
        <f>CONCATENATE(LOWER(SUBSTITUTE(SUBSTITUTE(B485," ","_"), ".", "")), ".png")</f>
        <v>.png</v>
      </c>
      <c r="Y485" s="33"/>
      <c r="Z485" s="33" t="e">
        <f>RIGHT(B485, LEN(B485)-SEARCH(" ", B485, 1))</f>
        <v>#VALUE!</v>
      </c>
    </row>
    <row r="486" spans="1:26" x14ac:dyDescent="0.25">
      <c r="A486" s="33">
        <f>A485+1</f>
        <v>14485</v>
      </c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 t="str">
        <f>CONCATENATE(LOWER(SUBSTITUTE(SUBSTITUTE(B486," ","_"), ".", "")), ".png")</f>
        <v>.png</v>
      </c>
      <c r="Y486" s="33"/>
      <c r="Z486" s="33" t="e">
        <f>RIGHT(B486, LEN(B486)-SEARCH(" ", B486, 1))</f>
        <v>#VALUE!</v>
      </c>
    </row>
    <row r="487" spans="1:26" x14ac:dyDescent="0.25">
      <c r="A487" s="33">
        <f>A486+1</f>
        <v>14486</v>
      </c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 t="str">
        <f>CONCATENATE(LOWER(SUBSTITUTE(SUBSTITUTE(B487," ","_"), ".", "")), ".png")</f>
        <v>.png</v>
      </c>
      <c r="Y487" s="33"/>
      <c r="Z487" s="33" t="e">
        <f>RIGHT(B487, LEN(B487)-SEARCH(" ", B487, 1))</f>
        <v>#VALUE!</v>
      </c>
    </row>
    <row r="488" spans="1:26" x14ac:dyDescent="0.25">
      <c r="A488" s="33">
        <f>A487+1</f>
        <v>14487</v>
      </c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 t="str">
        <f>CONCATENATE(LOWER(SUBSTITUTE(SUBSTITUTE(B488," ","_"), ".", "")), ".png")</f>
        <v>.png</v>
      </c>
      <c r="Y488" s="33"/>
      <c r="Z488" s="33" t="e">
        <f>RIGHT(B488, LEN(B488)-SEARCH(" ", B488, 1))</f>
        <v>#VALUE!</v>
      </c>
    </row>
    <row r="489" spans="1:26" x14ac:dyDescent="0.25">
      <c r="A489" s="33">
        <f>A488+1</f>
        <v>14488</v>
      </c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 t="str">
        <f>CONCATENATE(LOWER(SUBSTITUTE(SUBSTITUTE(B489," ","_"), ".", "")), ".png")</f>
        <v>.png</v>
      </c>
      <c r="Y489" s="33"/>
      <c r="Z489" s="33" t="e">
        <f>RIGHT(B489, LEN(B489)-SEARCH(" ", B489, 1))</f>
        <v>#VALUE!</v>
      </c>
    </row>
    <row r="490" spans="1:26" x14ac:dyDescent="0.25">
      <c r="A490" s="33">
        <f>A489+1</f>
        <v>14489</v>
      </c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 t="str">
        <f>CONCATENATE(LOWER(SUBSTITUTE(SUBSTITUTE(B490," ","_"), ".", "")), ".png")</f>
        <v>.png</v>
      </c>
      <c r="Y490" s="33"/>
      <c r="Z490" s="33" t="e">
        <f>RIGHT(B490, LEN(B490)-SEARCH(" ", B490, 1))</f>
        <v>#VALUE!</v>
      </c>
    </row>
    <row r="491" spans="1:26" x14ac:dyDescent="0.25">
      <c r="A491" s="33">
        <f>A490+1</f>
        <v>14490</v>
      </c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 t="str">
        <f>CONCATENATE(LOWER(SUBSTITUTE(SUBSTITUTE(B491," ","_"), ".", "")), ".png")</f>
        <v>.png</v>
      </c>
      <c r="Y491" s="33"/>
      <c r="Z491" s="33" t="e">
        <f>RIGHT(B491, LEN(B491)-SEARCH(" ", B491, 1))</f>
        <v>#VALUE!</v>
      </c>
    </row>
    <row r="492" spans="1:26" x14ac:dyDescent="0.25">
      <c r="A492" s="33">
        <f>A491+1</f>
        <v>14491</v>
      </c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 t="str">
        <f>CONCATENATE(LOWER(SUBSTITUTE(SUBSTITUTE(B492," ","_"), ".", "")), ".png")</f>
        <v>.png</v>
      </c>
      <c r="Y492" s="33"/>
      <c r="Z492" s="33" t="e">
        <f>RIGHT(B492, LEN(B492)-SEARCH(" ", B492, 1))</f>
        <v>#VALUE!</v>
      </c>
    </row>
    <row r="493" spans="1:26" x14ac:dyDescent="0.25">
      <c r="A493" s="33">
        <f>A492+1</f>
        <v>14492</v>
      </c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 t="str">
        <f>CONCATENATE(LOWER(SUBSTITUTE(SUBSTITUTE(B493," ","_"), ".", "")), ".png")</f>
        <v>.png</v>
      </c>
      <c r="Y493" s="33"/>
      <c r="Z493" s="33" t="e">
        <f>RIGHT(B493, LEN(B493)-SEARCH(" ", B493, 1))</f>
        <v>#VALUE!</v>
      </c>
    </row>
    <row r="494" spans="1:26" x14ac:dyDescent="0.25">
      <c r="A494" s="33">
        <f>A493+1</f>
        <v>14493</v>
      </c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 t="str">
        <f>CONCATENATE(LOWER(SUBSTITUTE(SUBSTITUTE(B494," ","_"), ".", "")), ".png")</f>
        <v>.png</v>
      </c>
      <c r="Y494" s="33"/>
      <c r="Z494" s="33" t="e">
        <f>RIGHT(B494, LEN(B494)-SEARCH(" ", B494, 1))</f>
        <v>#VALUE!</v>
      </c>
    </row>
    <row r="495" spans="1:26" x14ac:dyDescent="0.25">
      <c r="A495" s="33">
        <f>A494+1</f>
        <v>14494</v>
      </c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 t="str">
        <f>CONCATENATE(LOWER(SUBSTITUTE(SUBSTITUTE(B495," ","_"), ".", "")), ".png")</f>
        <v>.png</v>
      </c>
      <c r="Y495" s="33"/>
      <c r="Z495" s="33" t="e">
        <f>RIGHT(B495, LEN(B495)-SEARCH(" ", B495, 1))</f>
        <v>#VALUE!</v>
      </c>
    </row>
    <row r="496" spans="1:26" x14ac:dyDescent="0.25">
      <c r="A496" s="33">
        <f>A495+1</f>
        <v>14495</v>
      </c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 t="str">
        <f>CONCATENATE(LOWER(SUBSTITUTE(SUBSTITUTE(B496," ","_"), ".", "")), ".png")</f>
        <v>.png</v>
      </c>
      <c r="Y496" s="33"/>
      <c r="Z496" s="33" t="e">
        <f>RIGHT(B496, LEN(B496)-SEARCH(" ", B496, 1))</f>
        <v>#VALUE!</v>
      </c>
    </row>
    <row r="497" spans="1:26" x14ac:dyDescent="0.25">
      <c r="A497" s="33">
        <f>A496+1</f>
        <v>14496</v>
      </c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 t="str">
        <f>CONCATENATE(LOWER(SUBSTITUTE(SUBSTITUTE(B497," ","_"), ".", "")), ".png")</f>
        <v>.png</v>
      </c>
      <c r="Y497" s="33"/>
      <c r="Z497" s="33" t="e">
        <f>RIGHT(B497, LEN(B497)-SEARCH(" ", B497, 1))</f>
        <v>#VALUE!</v>
      </c>
    </row>
    <row r="498" spans="1:26" x14ac:dyDescent="0.25">
      <c r="A498" s="33">
        <f>A497+1</f>
        <v>14497</v>
      </c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 t="str">
        <f>CONCATENATE(LOWER(SUBSTITUTE(SUBSTITUTE(B498," ","_"), ".", "")), ".png")</f>
        <v>.png</v>
      </c>
      <c r="Y498" s="33"/>
      <c r="Z498" s="33" t="e">
        <f>RIGHT(B498, LEN(B498)-SEARCH(" ", B498, 1))</f>
        <v>#VALUE!</v>
      </c>
    </row>
    <row r="499" spans="1:26" x14ac:dyDescent="0.25">
      <c r="A499" s="33">
        <f>A498+1</f>
        <v>14498</v>
      </c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 t="str">
        <f>CONCATENATE(LOWER(SUBSTITUTE(SUBSTITUTE(B499," ","_"), ".", "")), ".png")</f>
        <v>.png</v>
      </c>
      <c r="Y499" s="33"/>
      <c r="Z499" s="33" t="e">
        <f>RIGHT(B499, LEN(B499)-SEARCH(" ", B499, 1))</f>
        <v>#VALUE!</v>
      </c>
    </row>
    <row r="500" spans="1:26" x14ac:dyDescent="0.25">
      <c r="A500" s="33">
        <f>A499+1</f>
        <v>14499</v>
      </c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 t="str">
        <f>CONCATENATE(LOWER(SUBSTITUTE(SUBSTITUTE(B500," ","_"), ".", "")), ".png")</f>
        <v>.png</v>
      </c>
      <c r="Y500" s="33"/>
      <c r="Z500" s="33" t="e">
        <f>RIGHT(B500, LEN(B500)-SEARCH(" ", B500, 1))</f>
        <v>#VALUE!</v>
      </c>
    </row>
    <row r="501" spans="1:26" x14ac:dyDescent="0.25">
      <c r="A501" s="33">
        <f>A500+1</f>
        <v>14500</v>
      </c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 t="str">
        <f>CONCATENATE(LOWER(SUBSTITUTE(SUBSTITUTE(B501," ","_"), ".", "")), ".png")</f>
        <v>.png</v>
      </c>
      <c r="Y501" s="33"/>
      <c r="Z501" s="33" t="e">
        <f>RIGHT(B501, LEN(B501)-SEARCH(" ", B501, 1))</f>
        <v>#VALUE!</v>
      </c>
    </row>
    <row r="502" spans="1:26" x14ac:dyDescent="0.25">
      <c r="A502" s="33">
        <f>A501+1</f>
        <v>14501</v>
      </c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 t="str">
        <f>CONCATENATE(LOWER(SUBSTITUTE(SUBSTITUTE(B502," ","_"), ".", "")), ".png")</f>
        <v>.png</v>
      </c>
      <c r="Y502" s="33"/>
      <c r="Z502" s="33" t="e">
        <f>RIGHT(B502, LEN(B502)-SEARCH(" ", B502, 1))</f>
        <v>#VALUE!</v>
      </c>
    </row>
    <row r="503" spans="1:26" x14ac:dyDescent="0.25">
      <c r="A503" s="33">
        <f>A502+1</f>
        <v>14502</v>
      </c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 t="str">
        <f>CONCATENATE(LOWER(SUBSTITUTE(SUBSTITUTE(B503," ","_"), ".", "")), ".png")</f>
        <v>.png</v>
      </c>
      <c r="Y503" s="33"/>
      <c r="Z503" s="33" t="e">
        <f>RIGHT(B503, LEN(B503)-SEARCH(" ", B503, 1))</f>
        <v>#VALUE!</v>
      </c>
    </row>
    <row r="504" spans="1:26" x14ac:dyDescent="0.25">
      <c r="A504" s="33">
        <f>A503+1</f>
        <v>14503</v>
      </c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 t="str">
        <f>CONCATENATE(LOWER(SUBSTITUTE(SUBSTITUTE(B504," ","_"), ".", "")), ".png")</f>
        <v>.png</v>
      </c>
      <c r="Y504" s="33"/>
      <c r="Z504" s="33" t="e">
        <f>RIGHT(B504, LEN(B504)-SEARCH(" ", B504, 1))</f>
        <v>#VALUE!</v>
      </c>
    </row>
    <row r="505" spans="1:26" x14ac:dyDescent="0.25">
      <c r="A505" s="33">
        <f>A504+1</f>
        <v>14504</v>
      </c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 t="str">
        <f>CONCATENATE(LOWER(SUBSTITUTE(SUBSTITUTE(B505," ","_"), ".", "")), ".png")</f>
        <v>.png</v>
      </c>
      <c r="Y505" s="33"/>
      <c r="Z505" s="33" t="e">
        <f>RIGHT(B505, LEN(B505)-SEARCH(" ", B505, 1))</f>
        <v>#VALUE!</v>
      </c>
    </row>
    <row r="506" spans="1:26" x14ac:dyDescent="0.25">
      <c r="A506" s="33">
        <f>A505+1</f>
        <v>14505</v>
      </c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 t="str">
        <f>CONCATENATE(LOWER(SUBSTITUTE(SUBSTITUTE(B506," ","_"), ".", "")), ".png")</f>
        <v>.png</v>
      </c>
      <c r="Y506" s="33"/>
      <c r="Z506" s="33" t="e">
        <f>RIGHT(B506, LEN(B506)-SEARCH(" ", B506, 1))</f>
        <v>#VALUE!</v>
      </c>
    </row>
    <row r="507" spans="1:26" x14ac:dyDescent="0.25">
      <c r="A507" s="33">
        <f>A506+1</f>
        <v>14506</v>
      </c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 t="str">
        <f>CONCATENATE(LOWER(SUBSTITUTE(SUBSTITUTE(B507," ","_"), ".", "")), ".png")</f>
        <v>.png</v>
      </c>
      <c r="Y507" s="33"/>
      <c r="Z507" s="33" t="e">
        <f>RIGHT(B507, LEN(B507)-SEARCH(" ", B507, 1))</f>
        <v>#VALUE!</v>
      </c>
    </row>
    <row r="508" spans="1:26" x14ac:dyDescent="0.25">
      <c r="A508" s="33">
        <f>A507+1</f>
        <v>14507</v>
      </c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 t="str">
        <f>CONCATENATE(LOWER(SUBSTITUTE(SUBSTITUTE(B508," ","_"), ".", "")), ".png")</f>
        <v>.png</v>
      </c>
      <c r="Y508" s="33"/>
      <c r="Z508" s="33" t="e">
        <f>RIGHT(B508, LEN(B508)-SEARCH(" ", B508, 1))</f>
        <v>#VALUE!</v>
      </c>
    </row>
    <row r="509" spans="1:26" x14ac:dyDescent="0.25">
      <c r="A509" s="33">
        <f>A508+1</f>
        <v>14508</v>
      </c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 t="str">
        <f>CONCATENATE(LOWER(SUBSTITUTE(SUBSTITUTE(B509," ","_"), ".", "")), ".png")</f>
        <v>.png</v>
      </c>
      <c r="Y509" s="33"/>
      <c r="Z509" s="33" t="e">
        <f>RIGHT(B509, LEN(B509)-SEARCH(" ", B509, 1))</f>
        <v>#VALUE!</v>
      </c>
    </row>
    <row r="510" spans="1:26" x14ac:dyDescent="0.25">
      <c r="A510" s="33">
        <f>A509+1</f>
        <v>14509</v>
      </c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 t="str">
        <f>CONCATENATE(LOWER(SUBSTITUTE(SUBSTITUTE(B510," ","_"), ".", "")), ".png")</f>
        <v>.png</v>
      </c>
      <c r="Y510" s="33"/>
      <c r="Z510" s="33" t="e">
        <f>RIGHT(B510, LEN(B510)-SEARCH(" ", B510, 1))</f>
        <v>#VALUE!</v>
      </c>
    </row>
    <row r="511" spans="1:26" x14ac:dyDescent="0.25">
      <c r="A511" s="33">
        <f>A510+1</f>
        <v>14510</v>
      </c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 t="str">
        <f>CONCATENATE(LOWER(SUBSTITUTE(SUBSTITUTE(B511," ","_"), ".", "")), ".png")</f>
        <v>.png</v>
      </c>
      <c r="Y511" s="33"/>
      <c r="Z511" s="33" t="e">
        <f>RIGHT(B511, LEN(B511)-SEARCH(" ", B511, 1))</f>
        <v>#VALUE!</v>
      </c>
    </row>
    <row r="512" spans="1:26" x14ac:dyDescent="0.25">
      <c r="A512" s="33">
        <f>A511+1</f>
        <v>14511</v>
      </c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 t="str">
        <f>CONCATENATE(LOWER(SUBSTITUTE(SUBSTITUTE(B512," ","_"), ".", "")), ".png")</f>
        <v>.png</v>
      </c>
      <c r="Y512" s="33"/>
      <c r="Z512" s="33" t="e">
        <f>RIGHT(B512, LEN(B512)-SEARCH(" ", B512, 1))</f>
        <v>#VALUE!</v>
      </c>
    </row>
    <row r="513" spans="1:26" x14ac:dyDescent="0.25">
      <c r="A513" s="33">
        <f>A512+1</f>
        <v>14512</v>
      </c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 t="str">
        <f>CONCATENATE(LOWER(SUBSTITUTE(SUBSTITUTE(B513," ","_"), ".", "")), ".png")</f>
        <v>.png</v>
      </c>
      <c r="Y513" s="33"/>
      <c r="Z513" s="33" t="e">
        <f>RIGHT(B513, LEN(B513)-SEARCH(" ", B513, 1))</f>
        <v>#VALUE!</v>
      </c>
    </row>
    <row r="514" spans="1:26" x14ac:dyDescent="0.25">
      <c r="A514" s="33">
        <f>A513+1</f>
        <v>14513</v>
      </c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 t="str">
        <f>CONCATENATE(LOWER(SUBSTITUTE(SUBSTITUTE(B514," ","_"), ".", "")), ".png")</f>
        <v>.png</v>
      </c>
      <c r="Y514" s="33"/>
      <c r="Z514" s="33" t="e">
        <f>RIGHT(B514, LEN(B514)-SEARCH(" ", B514, 1))</f>
        <v>#VALUE!</v>
      </c>
    </row>
    <row r="515" spans="1:26" x14ac:dyDescent="0.25">
      <c r="A515" s="33">
        <f>A514+1</f>
        <v>14514</v>
      </c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 t="str">
        <f>CONCATENATE(LOWER(SUBSTITUTE(SUBSTITUTE(B515," ","_"), ".", "")), ".png")</f>
        <v>.png</v>
      </c>
      <c r="Y515" s="33"/>
      <c r="Z515" s="33" t="e">
        <f>RIGHT(B515, LEN(B515)-SEARCH(" ", B515, 1))</f>
        <v>#VALUE!</v>
      </c>
    </row>
    <row r="516" spans="1:26" x14ac:dyDescent="0.25">
      <c r="A516" s="33">
        <f>A515+1</f>
        <v>14515</v>
      </c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 t="str">
        <f>CONCATENATE(LOWER(SUBSTITUTE(SUBSTITUTE(B516," ","_"), ".", "")), ".png")</f>
        <v>.png</v>
      </c>
      <c r="Y516" s="33"/>
      <c r="Z516" s="33" t="e">
        <f>RIGHT(B516, LEN(B516)-SEARCH(" ", B516, 1))</f>
        <v>#VALUE!</v>
      </c>
    </row>
    <row r="517" spans="1:26" x14ac:dyDescent="0.25">
      <c r="A517" s="33">
        <f>A516+1</f>
        <v>14516</v>
      </c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 t="str">
        <f>CONCATENATE(LOWER(SUBSTITUTE(SUBSTITUTE(B517," ","_"), ".", "")), ".png")</f>
        <v>.png</v>
      </c>
      <c r="Y517" s="33"/>
      <c r="Z517" s="33" t="e">
        <f>RIGHT(B517, LEN(B517)-SEARCH(" ", B517, 1))</f>
        <v>#VALUE!</v>
      </c>
    </row>
    <row r="518" spans="1:26" x14ac:dyDescent="0.25">
      <c r="A518" s="33">
        <f>A517+1</f>
        <v>14517</v>
      </c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 t="str">
        <f>CONCATENATE(LOWER(SUBSTITUTE(SUBSTITUTE(B518," ","_"), ".", "")), ".png")</f>
        <v>.png</v>
      </c>
      <c r="Y518" s="33"/>
      <c r="Z518" s="33" t="e">
        <f>RIGHT(B518, LEN(B518)-SEARCH(" ", B518, 1))</f>
        <v>#VALUE!</v>
      </c>
    </row>
    <row r="519" spans="1:26" x14ac:dyDescent="0.25">
      <c r="A519" s="33">
        <f>A518+1</f>
        <v>14518</v>
      </c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 t="str">
        <f>CONCATENATE(LOWER(SUBSTITUTE(SUBSTITUTE(B519," ","_"), ".", "")), ".png")</f>
        <v>.png</v>
      </c>
      <c r="Y519" s="33"/>
      <c r="Z519" s="33" t="e">
        <f>RIGHT(B519, LEN(B519)-SEARCH(" ", B519, 1))</f>
        <v>#VALUE!</v>
      </c>
    </row>
    <row r="520" spans="1:26" x14ac:dyDescent="0.25">
      <c r="A520" s="33">
        <f>A519+1</f>
        <v>14519</v>
      </c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 t="str">
        <f>CONCATENATE(LOWER(SUBSTITUTE(SUBSTITUTE(B520," ","_"), ".", "")), ".png")</f>
        <v>.png</v>
      </c>
      <c r="Y520" s="33"/>
      <c r="Z520" s="33" t="e">
        <f>RIGHT(B520, LEN(B520)-SEARCH(" ", B520, 1))</f>
        <v>#VALUE!</v>
      </c>
    </row>
    <row r="521" spans="1:26" x14ac:dyDescent="0.25">
      <c r="A521" s="33">
        <f>A520+1</f>
        <v>14520</v>
      </c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 t="str">
        <f>CONCATENATE(LOWER(SUBSTITUTE(SUBSTITUTE(B521," ","_"), ".", "")), ".png")</f>
        <v>.png</v>
      </c>
      <c r="Y521" s="33"/>
      <c r="Z521" s="33" t="e">
        <f>RIGHT(B521, LEN(B521)-SEARCH(" ", B521, 1))</f>
        <v>#VALUE!</v>
      </c>
    </row>
    <row r="522" spans="1:26" x14ac:dyDescent="0.25">
      <c r="A522" s="33">
        <f>A521+1</f>
        <v>14521</v>
      </c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 t="str">
        <f>CONCATENATE(LOWER(SUBSTITUTE(SUBSTITUTE(B522," ","_"), ".", "")), ".png")</f>
        <v>.png</v>
      </c>
      <c r="Y522" s="33"/>
      <c r="Z522" s="33" t="e">
        <f>RIGHT(B522, LEN(B522)-SEARCH(" ", B522, 1))</f>
        <v>#VALUE!</v>
      </c>
    </row>
    <row r="523" spans="1:26" x14ac:dyDescent="0.25">
      <c r="A523" s="33">
        <f>A522+1</f>
        <v>14522</v>
      </c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 t="str">
        <f>CONCATENATE(LOWER(SUBSTITUTE(SUBSTITUTE(B523," ","_"), ".", "")), ".png")</f>
        <v>.png</v>
      </c>
      <c r="Y523" s="33"/>
      <c r="Z523" s="33" t="e">
        <f>RIGHT(B523, LEN(B523)-SEARCH(" ", B523, 1))</f>
        <v>#VALUE!</v>
      </c>
    </row>
    <row r="524" spans="1:26" x14ac:dyDescent="0.25">
      <c r="A524" s="33">
        <f>A523+1</f>
        <v>14523</v>
      </c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 t="str">
        <f>CONCATENATE(LOWER(SUBSTITUTE(SUBSTITUTE(B524," ","_"), ".", "")), ".png")</f>
        <v>.png</v>
      </c>
      <c r="Y524" s="33"/>
      <c r="Z524" s="33" t="e">
        <f>RIGHT(B524, LEN(B524)-SEARCH(" ", B524, 1))</f>
        <v>#VALUE!</v>
      </c>
    </row>
    <row r="525" spans="1:26" x14ac:dyDescent="0.25">
      <c r="A525" s="33">
        <f>A524+1</f>
        <v>14524</v>
      </c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 t="str">
        <f>CONCATENATE(LOWER(SUBSTITUTE(SUBSTITUTE(B525," ","_"), ".", "")), ".png")</f>
        <v>.png</v>
      </c>
      <c r="Y525" s="33"/>
      <c r="Z525" s="33" t="e">
        <f>RIGHT(B525, LEN(B525)-SEARCH(" ", B525, 1))</f>
        <v>#VALUE!</v>
      </c>
    </row>
    <row r="526" spans="1:26" x14ac:dyDescent="0.25">
      <c r="A526" s="33">
        <f>A525+1</f>
        <v>14525</v>
      </c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 t="str">
        <f>CONCATENATE(LOWER(SUBSTITUTE(SUBSTITUTE(B526," ","_"), ".", "")), ".png")</f>
        <v>.png</v>
      </c>
      <c r="Y526" s="33"/>
      <c r="Z526" s="33" t="e">
        <f>RIGHT(B526, LEN(B526)-SEARCH(" ", B526, 1))</f>
        <v>#VALUE!</v>
      </c>
    </row>
    <row r="527" spans="1:26" x14ac:dyDescent="0.25">
      <c r="A527" s="33">
        <f>A526+1</f>
        <v>14526</v>
      </c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 t="str">
        <f>CONCATENATE(LOWER(SUBSTITUTE(SUBSTITUTE(B527," ","_"), ".", "")), ".png")</f>
        <v>.png</v>
      </c>
      <c r="Y527" s="33"/>
      <c r="Z527" s="33" t="e">
        <f>RIGHT(B527, LEN(B527)-SEARCH(" ", B527, 1))</f>
        <v>#VALUE!</v>
      </c>
    </row>
    <row r="528" spans="1:26" x14ac:dyDescent="0.25">
      <c r="A528" s="33">
        <f>A527+1</f>
        <v>14527</v>
      </c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 t="str">
        <f>CONCATENATE(LOWER(SUBSTITUTE(SUBSTITUTE(B528," ","_"), ".", "")), ".png")</f>
        <v>.png</v>
      </c>
      <c r="Y528" s="33"/>
      <c r="Z528" s="33" t="e">
        <f>RIGHT(B528, LEN(B528)-SEARCH(" ", B528, 1))</f>
        <v>#VALUE!</v>
      </c>
    </row>
    <row r="529" spans="1:26" x14ac:dyDescent="0.25">
      <c r="A529" s="33">
        <f>A528+1</f>
        <v>14528</v>
      </c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 t="str">
        <f>CONCATENATE(LOWER(SUBSTITUTE(SUBSTITUTE(B529," ","_"), ".", "")), ".png")</f>
        <v>.png</v>
      </c>
      <c r="Y529" s="33"/>
      <c r="Z529" s="33" t="e">
        <f>RIGHT(B529, LEN(B529)-SEARCH(" ", B529, 1))</f>
        <v>#VALUE!</v>
      </c>
    </row>
    <row r="530" spans="1:26" x14ac:dyDescent="0.25">
      <c r="A530" s="33">
        <f>A529+1</f>
        <v>14529</v>
      </c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 t="str">
        <f>CONCATENATE(LOWER(SUBSTITUTE(SUBSTITUTE(B530," ","_"), ".", "")), ".png")</f>
        <v>.png</v>
      </c>
      <c r="Y530" s="33"/>
      <c r="Z530" s="33" t="e">
        <f>RIGHT(B530, LEN(B530)-SEARCH(" ", B530, 1))</f>
        <v>#VALUE!</v>
      </c>
    </row>
    <row r="531" spans="1:26" x14ac:dyDescent="0.25">
      <c r="A531" s="33">
        <f>A530+1</f>
        <v>14530</v>
      </c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 t="str">
        <f>CONCATENATE(LOWER(SUBSTITUTE(SUBSTITUTE(B531," ","_"), ".", "")), ".png")</f>
        <v>.png</v>
      </c>
      <c r="Y531" s="33"/>
      <c r="Z531" s="33" t="e">
        <f>RIGHT(B531, LEN(B531)-SEARCH(" ", B531, 1))</f>
        <v>#VALUE!</v>
      </c>
    </row>
    <row r="532" spans="1:26" x14ac:dyDescent="0.25">
      <c r="A532" s="33">
        <f>A531+1</f>
        <v>14531</v>
      </c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 t="str">
        <f>CONCATENATE(LOWER(SUBSTITUTE(SUBSTITUTE(B532," ","_"), ".", "")), ".png")</f>
        <v>.png</v>
      </c>
      <c r="Y532" s="33"/>
      <c r="Z532" s="33" t="e">
        <f>RIGHT(B532, LEN(B532)-SEARCH(" ", B532, 1))</f>
        <v>#VALUE!</v>
      </c>
    </row>
    <row r="533" spans="1:26" x14ac:dyDescent="0.25">
      <c r="A533" s="33">
        <f>A532+1</f>
        <v>14532</v>
      </c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 t="str">
        <f>CONCATENATE(LOWER(SUBSTITUTE(SUBSTITUTE(B533," ","_"), ".", "")), ".png")</f>
        <v>.png</v>
      </c>
      <c r="Y533" s="33"/>
      <c r="Z533" s="33" t="e">
        <f>RIGHT(B533, LEN(B533)-SEARCH(" ", B533, 1))</f>
        <v>#VALUE!</v>
      </c>
    </row>
    <row r="534" spans="1:26" x14ac:dyDescent="0.25">
      <c r="A534" s="33">
        <f>A533+1</f>
        <v>14533</v>
      </c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 t="str">
        <f>CONCATENATE(LOWER(SUBSTITUTE(SUBSTITUTE(B534," ","_"), ".", "")), ".png")</f>
        <v>.png</v>
      </c>
      <c r="Y534" s="33"/>
      <c r="Z534" s="33" t="e">
        <f>RIGHT(B534, LEN(B534)-SEARCH(" ", B534, 1))</f>
        <v>#VALUE!</v>
      </c>
    </row>
    <row r="535" spans="1:26" x14ac:dyDescent="0.25">
      <c r="A535" s="33">
        <f>A534+1</f>
        <v>14534</v>
      </c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 t="str">
        <f>CONCATENATE(LOWER(SUBSTITUTE(SUBSTITUTE(B535," ","_"), ".", "")), ".png")</f>
        <v>.png</v>
      </c>
      <c r="Y535" s="33"/>
      <c r="Z535" s="33" t="e">
        <f>RIGHT(B535, LEN(B535)-SEARCH(" ", B535, 1))</f>
        <v>#VALUE!</v>
      </c>
    </row>
    <row r="536" spans="1:26" x14ac:dyDescent="0.25">
      <c r="A536" s="33">
        <f>A535+1</f>
        <v>14535</v>
      </c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 t="str">
        <f>CONCATENATE(LOWER(SUBSTITUTE(SUBSTITUTE(B536," ","_"), ".", "")), ".png")</f>
        <v>.png</v>
      </c>
      <c r="Y536" s="33"/>
      <c r="Z536" s="33" t="e">
        <f>RIGHT(B536, LEN(B536)-SEARCH(" ", B536, 1))</f>
        <v>#VALUE!</v>
      </c>
    </row>
    <row r="537" spans="1:26" x14ac:dyDescent="0.25">
      <c r="A537" s="33">
        <f>A536+1</f>
        <v>14536</v>
      </c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 t="str">
        <f>CONCATENATE(LOWER(SUBSTITUTE(SUBSTITUTE(B537," ","_"), ".", "")), ".png")</f>
        <v>.png</v>
      </c>
      <c r="Y537" s="33"/>
      <c r="Z537" s="33" t="e">
        <f>RIGHT(B537, LEN(B537)-SEARCH(" ", B537, 1))</f>
        <v>#VALUE!</v>
      </c>
    </row>
    <row r="538" spans="1:26" x14ac:dyDescent="0.25">
      <c r="A538" s="33">
        <f>A537+1</f>
        <v>14537</v>
      </c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 t="str">
        <f>CONCATENATE(LOWER(SUBSTITUTE(SUBSTITUTE(B538," ","_"), ".", "")), ".png")</f>
        <v>.png</v>
      </c>
      <c r="Y538" s="33"/>
      <c r="Z538" s="33" t="e">
        <f>RIGHT(B538, LEN(B538)-SEARCH(" ", B538, 1))</f>
        <v>#VALUE!</v>
      </c>
    </row>
    <row r="539" spans="1:26" x14ac:dyDescent="0.25">
      <c r="A539" s="33">
        <f>A538+1</f>
        <v>14538</v>
      </c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 t="str">
        <f>CONCATENATE(LOWER(SUBSTITUTE(SUBSTITUTE(B539," ","_"), ".", "")), ".png")</f>
        <v>.png</v>
      </c>
      <c r="Y539" s="33"/>
      <c r="Z539" s="33" t="e">
        <f>RIGHT(B539, LEN(B539)-SEARCH(" ", B539, 1))</f>
        <v>#VALUE!</v>
      </c>
    </row>
    <row r="540" spans="1:26" x14ac:dyDescent="0.25">
      <c r="A540" s="33">
        <f>A539+1</f>
        <v>14539</v>
      </c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 t="str">
        <f>CONCATENATE(LOWER(SUBSTITUTE(SUBSTITUTE(B540," ","_"), ".", "")), ".png")</f>
        <v>.png</v>
      </c>
      <c r="Y540" s="33"/>
      <c r="Z540" s="33" t="e">
        <f>RIGHT(B540, LEN(B540)-SEARCH(" ", B540, 1))</f>
        <v>#VALUE!</v>
      </c>
    </row>
    <row r="541" spans="1:26" x14ac:dyDescent="0.25">
      <c r="A541" s="33">
        <f>A540+1</f>
        <v>14540</v>
      </c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 t="str">
        <f>CONCATENATE(LOWER(SUBSTITUTE(SUBSTITUTE(B541," ","_"), ".", "")), ".png")</f>
        <v>.png</v>
      </c>
      <c r="Y541" s="33"/>
      <c r="Z541" s="33" t="e">
        <f>RIGHT(B541, LEN(B541)-SEARCH(" ", B541, 1))</f>
        <v>#VALUE!</v>
      </c>
    </row>
    <row r="542" spans="1:26" x14ac:dyDescent="0.25">
      <c r="A542" s="33">
        <f>A541+1</f>
        <v>14541</v>
      </c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 t="str">
        <f>CONCATENATE(LOWER(SUBSTITUTE(SUBSTITUTE(B542," ","_"), ".", "")), ".png")</f>
        <v>.png</v>
      </c>
      <c r="Y542" s="33"/>
      <c r="Z542" s="33" t="e">
        <f>RIGHT(B542, LEN(B542)-SEARCH(" ", B542, 1))</f>
        <v>#VALUE!</v>
      </c>
    </row>
    <row r="543" spans="1:26" x14ac:dyDescent="0.25">
      <c r="A543" s="33">
        <f>A542+1</f>
        <v>14542</v>
      </c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 t="str">
        <f>CONCATENATE(LOWER(SUBSTITUTE(SUBSTITUTE(B543," ","_"), ".", "")), ".png")</f>
        <v>.png</v>
      </c>
      <c r="Y543" s="33"/>
      <c r="Z543" s="33" t="e">
        <f>RIGHT(B543, LEN(B543)-SEARCH(" ", B543, 1))</f>
        <v>#VALUE!</v>
      </c>
    </row>
    <row r="544" spans="1:26" x14ac:dyDescent="0.25">
      <c r="A544" s="33">
        <f>A543+1</f>
        <v>14543</v>
      </c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 t="str">
        <f>CONCATENATE(LOWER(SUBSTITUTE(SUBSTITUTE(B544," ","_"), ".", "")), ".png")</f>
        <v>.png</v>
      </c>
      <c r="Y544" s="33"/>
      <c r="Z544" s="33" t="e">
        <f>RIGHT(B544, LEN(B544)-SEARCH(" ", B544, 1))</f>
        <v>#VALUE!</v>
      </c>
    </row>
    <row r="545" spans="1:26" x14ac:dyDescent="0.25">
      <c r="A545" s="33">
        <f>A544+1</f>
        <v>14544</v>
      </c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 t="str">
        <f>CONCATENATE(LOWER(SUBSTITUTE(SUBSTITUTE(B545," ","_"), ".", "")), ".png")</f>
        <v>.png</v>
      </c>
      <c r="Y545" s="33"/>
      <c r="Z545" s="33" t="e">
        <f>RIGHT(B545, LEN(B545)-SEARCH(" ", B545, 1))</f>
        <v>#VALUE!</v>
      </c>
    </row>
    <row r="546" spans="1:26" x14ac:dyDescent="0.25">
      <c r="A546" s="33">
        <f>A545+1</f>
        <v>14545</v>
      </c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 t="str">
        <f>CONCATENATE(LOWER(SUBSTITUTE(SUBSTITUTE(B546," ","_"), ".", "")), ".png")</f>
        <v>.png</v>
      </c>
      <c r="Y546" s="33"/>
      <c r="Z546" s="33" t="e">
        <f>RIGHT(B546, LEN(B546)-SEARCH(" ", B546, 1))</f>
        <v>#VALUE!</v>
      </c>
    </row>
    <row r="547" spans="1:26" x14ac:dyDescent="0.25">
      <c r="A547" s="33">
        <f>A546+1</f>
        <v>14546</v>
      </c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 t="str">
        <f>CONCATENATE(LOWER(SUBSTITUTE(SUBSTITUTE(B547," ","_"), ".", "")), ".png")</f>
        <v>.png</v>
      </c>
      <c r="Y547" s="33"/>
      <c r="Z547" s="33" t="e">
        <f>RIGHT(B547, LEN(B547)-SEARCH(" ", B547, 1))</f>
        <v>#VALUE!</v>
      </c>
    </row>
    <row r="548" spans="1:26" x14ac:dyDescent="0.25">
      <c r="A548" s="33">
        <f>A547+1</f>
        <v>14547</v>
      </c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 t="str">
        <f>CONCATENATE(LOWER(SUBSTITUTE(SUBSTITUTE(B548," ","_"), ".", "")), ".png")</f>
        <v>.png</v>
      </c>
      <c r="Y548" s="33"/>
      <c r="Z548" s="33" t="e">
        <f>RIGHT(B548, LEN(B548)-SEARCH(" ", B548, 1))</f>
        <v>#VALUE!</v>
      </c>
    </row>
    <row r="549" spans="1:26" x14ac:dyDescent="0.25">
      <c r="A549" s="33">
        <f>A548+1</f>
        <v>14548</v>
      </c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 t="str">
        <f>CONCATENATE(LOWER(SUBSTITUTE(SUBSTITUTE(B549," ","_"), ".", "")), ".png")</f>
        <v>.png</v>
      </c>
      <c r="Y549" s="33"/>
      <c r="Z549" s="33" t="e">
        <f>RIGHT(B549, LEN(B549)-SEARCH(" ", B549, 1))</f>
        <v>#VALUE!</v>
      </c>
    </row>
    <row r="550" spans="1:26" x14ac:dyDescent="0.25">
      <c r="A550" s="33">
        <f>A549+1</f>
        <v>14549</v>
      </c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 t="str">
        <f>CONCATENATE(LOWER(SUBSTITUTE(SUBSTITUTE(B550," ","_"), ".", "")), ".png")</f>
        <v>.png</v>
      </c>
      <c r="Y550" s="33"/>
      <c r="Z550" s="33" t="e">
        <f>RIGHT(B550, LEN(B550)-SEARCH(" ", B550, 1))</f>
        <v>#VALUE!</v>
      </c>
    </row>
    <row r="551" spans="1:26" x14ac:dyDescent="0.25">
      <c r="A551" s="33">
        <f>A550+1</f>
        <v>14550</v>
      </c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 t="str">
        <f>CONCATENATE(LOWER(SUBSTITUTE(SUBSTITUTE(B551," ","_"), ".", "")), ".png")</f>
        <v>.png</v>
      </c>
      <c r="Y551" s="33"/>
      <c r="Z551" s="33" t="e">
        <f>RIGHT(B551, LEN(B551)-SEARCH(" ", B551, 1))</f>
        <v>#VALUE!</v>
      </c>
    </row>
    <row r="552" spans="1:26" x14ac:dyDescent="0.25">
      <c r="A552" s="33">
        <f>A551+1</f>
        <v>14551</v>
      </c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 t="str">
        <f>CONCATENATE(LOWER(SUBSTITUTE(SUBSTITUTE(B552," ","_"), ".", "")), ".png")</f>
        <v>.png</v>
      </c>
      <c r="Y552" s="33"/>
      <c r="Z552" s="33" t="e">
        <f>RIGHT(B552, LEN(B552)-SEARCH(" ", B552, 1))</f>
        <v>#VALUE!</v>
      </c>
    </row>
    <row r="553" spans="1:26" x14ac:dyDescent="0.25">
      <c r="A553" s="33">
        <f>A552+1</f>
        <v>14552</v>
      </c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 t="str">
        <f>CONCATENATE(LOWER(SUBSTITUTE(SUBSTITUTE(B553," ","_"), ".", "")), ".png")</f>
        <v>.png</v>
      </c>
      <c r="Y553" s="33"/>
      <c r="Z553" s="33" t="e">
        <f>RIGHT(B553, LEN(B553)-SEARCH(" ", B553, 1))</f>
        <v>#VALUE!</v>
      </c>
    </row>
    <row r="554" spans="1:26" x14ac:dyDescent="0.25">
      <c r="A554" s="33">
        <f>A553+1</f>
        <v>14553</v>
      </c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 t="str">
        <f>CONCATENATE(LOWER(SUBSTITUTE(SUBSTITUTE(B554," ","_"), ".", "")), ".png")</f>
        <v>.png</v>
      </c>
      <c r="Y554" s="33"/>
      <c r="Z554" s="33" t="e">
        <f>RIGHT(B554, LEN(B554)-SEARCH(" ", B554, 1))</f>
        <v>#VALUE!</v>
      </c>
    </row>
    <row r="555" spans="1:26" x14ac:dyDescent="0.25">
      <c r="A555" s="33">
        <f>A554+1</f>
        <v>14554</v>
      </c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 t="str">
        <f>CONCATENATE(LOWER(SUBSTITUTE(SUBSTITUTE(B555," ","_"), ".", "")), ".png")</f>
        <v>.png</v>
      </c>
      <c r="Y555" s="33"/>
      <c r="Z555" s="33" t="e">
        <f>RIGHT(B555, LEN(B555)-SEARCH(" ", B555, 1))</f>
        <v>#VALUE!</v>
      </c>
    </row>
    <row r="556" spans="1:26" x14ac:dyDescent="0.25">
      <c r="A556" s="33">
        <f>A555+1</f>
        <v>14555</v>
      </c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 t="str">
        <f>CONCATENATE(LOWER(SUBSTITUTE(SUBSTITUTE(B556," ","_"), ".", "")), ".png")</f>
        <v>.png</v>
      </c>
      <c r="Y556" s="33"/>
      <c r="Z556" s="33" t="e">
        <f>RIGHT(B556, LEN(B556)-SEARCH(" ", B556, 1))</f>
        <v>#VALUE!</v>
      </c>
    </row>
    <row r="557" spans="1:26" x14ac:dyDescent="0.25">
      <c r="A557" s="33">
        <f>A556+1</f>
        <v>14556</v>
      </c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 t="str">
        <f>CONCATENATE(LOWER(SUBSTITUTE(SUBSTITUTE(B557," ","_"), ".", "")), ".png")</f>
        <v>.png</v>
      </c>
      <c r="Y557" s="33"/>
      <c r="Z557" s="33" t="e">
        <f>RIGHT(B557, LEN(B557)-SEARCH(" ", B557, 1))</f>
        <v>#VALUE!</v>
      </c>
    </row>
    <row r="558" spans="1:26" x14ac:dyDescent="0.25">
      <c r="A558" s="33">
        <f>A557+1</f>
        <v>14557</v>
      </c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 t="str">
        <f>CONCATENATE(LOWER(SUBSTITUTE(SUBSTITUTE(B558," ","_"), ".", "")), ".png")</f>
        <v>.png</v>
      </c>
      <c r="Y558" s="33"/>
      <c r="Z558" s="33" t="e">
        <f>RIGHT(B558, LEN(B558)-SEARCH(" ", B558, 1))</f>
        <v>#VALUE!</v>
      </c>
    </row>
    <row r="559" spans="1:26" x14ac:dyDescent="0.25">
      <c r="A559" s="33">
        <f>A558+1</f>
        <v>14558</v>
      </c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 t="str">
        <f>CONCATENATE(LOWER(SUBSTITUTE(SUBSTITUTE(B559," ","_"), ".", "")), ".png")</f>
        <v>.png</v>
      </c>
      <c r="Y559" s="33"/>
      <c r="Z559" s="33" t="e">
        <f>RIGHT(B559, LEN(B559)-SEARCH(" ", B559, 1))</f>
        <v>#VALUE!</v>
      </c>
    </row>
    <row r="560" spans="1:26" x14ac:dyDescent="0.25">
      <c r="A560" s="33">
        <f>A559+1</f>
        <v>14559</v>
      </c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 t="str">
        <f>CONCATENATE(LOWER(SUBSTITUTE(SUBSTITUTE(B560," ","_"), ".", "")), ".png")</f>
        <v>.png</v>
      </c>
      <c r="Y560" s="33"/>
      <c r="Z560" s="33" t="e">
        <f>RIGHT(B560, LEN(B560)-SEARCH(" ", B560, 1))</f>
        <v>#VALUE!</v>
      </c>
    </row>
    <row r="561" spans="1:26" x14ac:dyDescent="0.25">
      <c r="A561" s="33">
        <f>A560+1</f>
        <v>14560</v>
      </c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 t="str">
        <f>CONCATENATE(LOWER(SUBSTITUTE(SUBSTITUTE(B561," ","_"), ".", "")), ".png")</f>
        <v>.png</v>
      </c>
      <c r="Y561" s="33"/>
      <c r="Z561" s="33" t="e">
        <f>RIGHT(B561, LEN(B561)-SEARCH(" ", B561, 1))</f>
        <v>#VALUE!</v>
      </c>
    </row>
    <row r="562" spans="1:26" x14ac:dyDescent="0.25">
      <c r="A562" s="33">
        <f>A561+1</f>
        <v>14561</v>
      </c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 t="str">
        <f>CONCATENATE(LOWER(SUBSTITUTE(SUBSTITUTE(B562," ","_"), ".", "")), ".png")</f>
        <v>.png</v>
      </c>
      <c r="Y562" s="33"/>
      <c r="Z562" s="33" t="e">
        <f>RIGHT(B562, LEN(B562)-SEARCH(" ", B562, 1))</f>
        <v>#VALUE!</v>
      </c>
    </row>
    <row r="563" spans="1:26" x14ac:dyDescent="0.25">
      <c r="A563" s="33">
        <f>A562+1</f>
        <v>14562</v>
      </c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 t="str">
        <f>CONCATENATE(LOWER(SUBSTITUTE(SUBSTITUTE(B563," ","_"), ".", "")), ".png")</f>
        <v>.png</v>
      </c>
      <c r="Y563" s="33"/>
      <c r="Z563" s="33" t="e">
        <f>RIGHT(B563, LEN(B563)-SEARCH(" ", B563, 1))</f>
        <v>#VALUE!</v>
      </c>
    </row>
    <row r="564" spans="1:26" x14ac:dyDescent="0.25">
      <c r="A564" s="33">
        <f>A563+1</f>
        <v>14563</v>
      </c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 t="str">
        <f>CONCATENATE(LOWER(SUBSTITUTE(SUBSTITUTE(B564," ","_"), ".", "")), ".png")</f>
        <v>.png</v>
      </c>
      <c r="Y564" s="33"/>
      <c r="Z564" s="33" t="e">
        <f>RIGHT(B564, LEN(B564)-SEARCH(" ", B564, 1))</f>
        <v>#VALUE!</v>
      </c>
    </row>
    <row r="565" spans="1:26" x14ac:dyDescent="0.25">
      <c r="A565" s="33">
        <f>A564+1</f>
        <v>14564</v>
      </c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 t="str">
        <f>CONCATENATE(LOWER(SUBSTITUTE(SUBSTITUTE(B565," ","_"), ".", "")), ".png")</f>
        <v>.png</v>
      </c>
      <c r="Y565" s="33"/>
      <c r="Z565" s="33" t="e">
        <f>RIGHT(B565, LEN(B565)-SEARCH(" ", B565, 1))</f>
        <v>#VALUE!</v>
      </c>
    </row>
    <row r="566" spans="1:26" x14ac:dyDescent="0.25">
      <c r="A566" s="33">
        <f>A565+1</f>
        <v>14565</v>
      </c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 t="str">
        <f>CONCATENATE(LOWER(SUBSTITUTE(SUBSTITUTE(B566," ","_"), ".", "")), ".png")</f>
        <v>.png</v>
      </c>
      <c r="Y566" s="33"/>
      <c r="Z566" s="33" t="e">
        <f>RIGHT(B566, LEN(B566)-SEARCH(" ", B566, 1))</f>
        <v>#VALUE!</v>
      </c>
    </row>
    <row r="567" spans="1:26" x14ac:dyDescent="0.25">
      <c r="A567" s="33">
        <f>A566+1</f>
        <v>14566</v>
      </c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 t="str">
        <f>CONCATENATE(LOWER(SUBSTITUTE(SUBSTITUTE(B567," ","_"), ".", "")), ".png")</f>
        <v>.png</v>
      </c>
      <c r="Y567" s="33"/>
      <c r="Z567" s="33" t="e">
        <f>RIGHT(B567, LEN(B567)-SEARCH(" ", B567, 1))</f>
        <v>#VALUE!</v>
      </c>
    </row>
    <row r="568" spans="1:26" x14ac:dyDescent="0.25">
      <c r="A568" s="33">
        <f>A567+1</f>
        <v>14567</v>
      </c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 t="str">
        <f>CONCATENATE(LOWER(SUBSTITUTE(SUBSTITUTE(B568," ","_"), ".", "")), ".png")</f>
        <v>.png</v>
      </c>
      <c r="Y568" s="33"/>
      <c r="Z568" s="33" t="e">
        <f>RIGHT(B568, LEN(B568)-SEARCH(" ", B568, 1))</f>
        <v>#VALUE!</v>
      </c>
    </row>
    <row r="569" spans="1:26" x14ac:dyDescent="0.25">
      <c r="A569" s="33">
        <f>A568+1</f>
        <v>14568</v>
      </c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 t="str">
        <f>CONCATENATE(LOWER(SUBSTITUTE(SUBSTITUTE(B569," ","_"), ".", "")), ".png")</f>
        <v>.png</v>
      </c>
      <c r="Y569" s="33"/>
      <c r="Z569" s="33" t="e">
        <f>RIGHT(B569, LEN(B569)-SEARCH(" ", B569, 1))</f>
        <v>#VALUE!</v>
      </c>
    </row>
    <row r="570" spans="1:26" x14ac:dyDescent="0.25">
      <c r="A570" s="33">
        <f>A569+1</f>
        <v>14569</v>
      </c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 t="str">
        <f>CONCATENATE(LOWER(SUBSTITUTE(SUBSTITUTE(B570," ","_"), ".", "")), ".png")</f>
        <v>.png</v>
      </c>
      <c r="Y570" s="33"/>
      <c r="Z570" s="33" t="e">
        <f>RIGHT(B570, LEN(B570)-SEARCH(" ", B570, 1))</f>
        <v>#VALUE!</v>
      </c>
    </row>
    <row r="571" spans="1:26" x14ac:dyDescent="0.25">
      <c r="A571" s="33">
        <f>A570+1</f>
        <v>14570</v>
      </c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 t="str">
        <f>CONCATENATE(LOWER(SUBSTITUTE(SUBSTITUTE(B571," ","_"), ".", "")), ".png")</f>
        <v>.png</v>
      </c>
      <c r="Y571" s="33"/>
      <c r="Z571" s="33" t="e">
        <f>RIGHT(B571, LEN(B571)-SEARCH(" ", B571, 1))</f>
        <v>#VALUE!</v>
      </c>
    </row>
    <row r="572" spans="1:26" x14ac:dyDescent="0.25">
      <c r="A572" s="33">
        <f>A571+1</f>
        <v>14571</v>
      </c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 t="str">
        <f>CONCATENATE(LOWER(SUBSTITUTE(SUBSTITUTE(B572," ","_"), ".", "")), ".png")</f>
        <v>.png</v>
      </c>
      <c r="Y572" s="33"/>
      <c r="Z572" s="33" t="e">
        <f>RIGHT(B572, LEN(B572)-SEARCH(" ", B572, 1))</f>
        <v>#VALUE!</v>
      </c>
    </row>
    <row r="573" spans="1:26" x14ac:dyDescent="0.25">
      <c r="A573" s="33">
        <f>A572+1</f>
        <v>14572</v>
      </c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 t="str">
        <f>CONCATENATE(LOWER(SUBSTITUTE(SUBSTITUTE(B573," ","_"), ".", "")), ".png")</f>
        <v>.png</v>
      </c>
      <c r="Y573" s="33"/>
      <c r="Z573" s="33" t="e">
        <f>RIGHT(B573, LEN(B573)-SEARCH(" ", B573, 1))</f>
        <v>#VALUE!</v>
      </c>
    </row>
    <row r="574" spans="1:26" x14ac:dyDescent="0.25">
      <c r="A574" s="33">
        <f>A573+1</f>
        <v>14573</v>
      </c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 t="str">
        <f>CONCATENATE(LOWER(SUBSTITUTE(SUBSTITUTE(B574," ","_"), ".", "")), ".png")</f>
        <v>.png</v>
      </c>
      <c r="Y574" s="33"/>
      <c r="Z574" s="33" t="e">
        <f>RIGHT(B574, LEN(B574)-SEARCH(" ", B574, 1))</f>
        <v>#VALUE!</v>
      </c>
    </row>
    <row r="575" spans="1:26" x14ac:dyDescent="0.25">
      <c r="A575" s="33">
        <f>A574+1</f>
        <v>14574</v>
      </c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 t="str">
        <f>CONCATENATE(LOWER(SUBSTITUTE(SUBSTITUTE(B575," ","_"), ".", "")), ".png")</f>
        <v>.png</v>
      </c>
      <c r="Y575" s="33"/>
      <c r="Z575" s="33" t="e">
        <f>RIGHT(B575, LEN(B575)-SEARCH(" ", B575, 1))</f>
        <v>#VALUE!</v>
      </c>
    </row>
    <row r="576" spans="1:26" x14ac:dyDescent="0.25">
      <c r="A576" s="33">
        <f>A575+1</f>
        <v>14575</v>
      </c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 t="str">
        <f>CONCATENATE(LOWER(SUBSTITUTE(SUBSTITUTE(B576," ","_"), ".", "")), ".png")</f>
        <v>.png</v>
      </c>
      <c r="Y576" s="33"/>
      <c r="Z576" s="33" t="e">
        <f>RIGHT(B576, LEN(B576)-SEARCH(" ", B576, 1))</f>
        <v>#VALUE!</v>
      </c>
    </row>
    <row r="577" spans="1:26" x14ac:dyDescent="0.25">
      <c r="A577" s="33">
        <f>A576+1</f>
        <v>14576</v>
      </c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 t="str">
        <f>CONCATENATE(LOWER(SUBSTITUTE(SUBSTITUTE(B577," ","_"), ".", "")), ".png")</f>
        <v>.png</v>
      </c>
      <c r="Y577" s="33"/>
      <c r="Z577" s="33" t="e">
        <f>RIGHT(B577, LEN(B577)-SEARCH(" ", B577, 1))</f>
        <v>#VALUE!</v>
      </c>
    </row>
    <row r="578" spans="1:26" x14ac:dyDescent="0.25">
      <c r="A578" s="33">
        <f>A577+1</f>
        <v>14577</v>
      </c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 t="str">
        <f>CONCATENATE(LOWER(SUBSTITUTE(SUBSTITUTE(B578," ","_"), ".", "")), ".png")</f>
        <v>.png</v>
      </c>
      <c r="Y578" s="33"/>
      <c r="Z578" s="33" t="e">
        <f>RIGHT(B578, LEN(B578)-SEARCH(" ", B578, 1))</f>
        <v>#VALUE!</v>
      </c>
    </row>
    <row r="579" spans="1:26" x14ac:dyDescent="0.25">
      <c r="A579" s="33">
        <f>A578+1</f>
        <v>14578</v>
      </c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 t="str">
        <f>CONCATENATE(LOWER(SUBSTITUTE(SUBSTITUTE(B579," ","_"), ".", "")), ".png")</f>
        <v>.png</v>
      </c>
      <c r="Y579" s="33"/>
      <c r="Z579" s="33" t="e">
        <f>RIGHT(B579, LEN(B579)-SEARCH(" ", B579, 1))</f>
        <v>#VALUE!</v>
      </c>
    </row>
    <row r="580" spans="1:26" x14ac:dyDescent="0.25">
      <c r="A580" s="33">
        <f>A579+1</f>
        <v>14579</v>
      </c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 t="str">
        <f>CONCATENATE(LOWER(SUBSTITUTE(SUBSTITUTE(B580," ","_"), ".", "")), ".png")</f>
        <v>.png</v>
      </c>
      <c r="Y580" s="33"/>
      <c r="Z580" s="33" t="e">
        <f>RIGHT(B580, LEN(B580)-SEARCH(" ", B580, 1))</f>
        <v>#VALUE!</v>
      </c>
    </row>
    <row r="581" spans="1:26" x14ac:dyDescent="0.25">
      <c r="A581" s="33">
        <f>A580+1</f>
        <v>14580</v>
      </c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 t="str">
        <f>CONCATENATE(LOWER(SUBSTITUTE(SUBSTITUTE(B581," ","_"), ".", "")), ".png")</f>
        <v>.png</v>
      </c>
      <c r="Y581" s="33"/>
      <c r="Z581" s="33" t="e">
        <f>RIGHT(B581, LEN(B581)-SEARCH(" ", B581, 1))</f>
        <v>#VALUE!</v>
      </c>
    </row>
    <row r="582" spans="1:26" x14ac:dyDescent="0.25">
      <c r="A582" s="33">
        <f>A581+1</f>
        <v>14581</v>
      </c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 t="str">
        <f>CONCATENATE(LOWER(SUBSTITUTE(SUBSTITUTE(B582," ","_"), ".", "")), ".png")</f>
        <v>.png</v>
      </c>
      <c r="Y582" s="33"/>
      <c r="Z582" s="33" t="e">
        <f>RIGHT(B582, LEN(B582)-SEARCH(" ", B582, 1))</f>
        <v>#VALUE!</v>
      </c>
    </row>
    <row r="583" spans="1:26" x14ac:dyDescent="0.25">
      <c r="A583" s="33">
        <f>A582+1</f>
        <v>14582</v>
      </c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 t="str">
        <f>CONCATENATE(LOWER(SUBSTITUTE(SUBSTITUTE(B583," ","_"), ".", "")), ".png")</f>
        <v>.png</v>
      </c>
      <c r="Y583" s="33"/>
      <c r="Z583" s="33" t="e">
        <f>RIGHT(B583, LEN(B583)-SEARCH(" ", B583, 1))</f>
        <v>#VALUE!</v>
      </c>
    </row>
    <row r="584" spans="1:26" x14ac:dyDescent="0.25">
      <c r="A584" s="33">
        <f>A583+1</f>
        <v>14583</v>
      </c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 t="str">
        <f>CONCATENATE(LOWER(SUBSTITUTE(SUBSTITUTE(B584," ","_"), ".", "")), ".png")</f>
        <v>.png</v>
      </c>
      <c r="Y584" s="33"/>
      <c r="Z584" s="33" t="e">
        <f>RIGHT(B584, LEN(B584)-SEARCH(" ", B584, 1))</f>
        <v>#VALUE!</v>
      </c>
    </row>
    <row r="585" spans="1:26" x14ac:dyDescent="0.25">
      <c r="A585" s="33">
        <f>A584+1</f>
        <v>14584</v>
      </c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 t="str">
        <f>CONCATENATE(LOWER(SUBSTITUTE(SUBSTITUTE(B585," ","_"), ".", "")), ".png")</f>
        <v>.png</v>
      </c>
      <c r="Y585" s="33"/>
      <c r="Z585" s="33" t="e">
        <f>RIGHT(B585, LEN(B585)-SEARCH(" ", B585, 1))</f>
        <v>#VALUE!</v>
      </c>
    </row>
    <row r="586" spans="1:26" x14ac:dyDescent="0.25">
      <c r="A586" s="33">
        <f>A585+1</f>
        <v>14585</v>
      </c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 t="str">
        <f>CONCATENATE(LOWER(SUBSTITUTE(SUBSTITUTE(B586," ","_"), ".", "")), ".png")</f>
        <v>.png</v>
      </c>
      <c r="Y586" s="33"/>
      <c r="Z586" s="33" t="e">
        <f>RIGHT(B586, LEN(B586)-SEARCH(" ", B586, 1))</f>
        <v>#VALUE!</v>
      </c>
    </row>
    <row r="587" spans="1:26" x14ac:dyDescent="0.25">
      <c r="A587" s="33">
        <f>A586+1</f>
        <v>14586</v>
      </c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 t="str">
        <f>CONCATENATE(LOWER(SUBSTITUTE(SUBSTITUTE(B587," ","_"), ".", "")), ".png")</f>
        <v>.png</v>
      </c>
      <c r="Y587" s="33"/>
      <c r="Z587" s="33" t="e">
        <f>RIGHT(B587, LEN(B587)-SEARCH(" ", B587, 1))</f>
        <v>#VALUE!</v>
      </c>
    </row>
    <row r="588" spans="1:26" x14ac:dyDescent="0.25">
      <c r="A588" s="33">
        <f>A587+1</f>
        <v>14587</v>
      </c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 t="str">
        <f>CONCATENATE(LOWER(SUBSTITUTE(SUBSTITUTE(B588," ","_"), ".", "")), ".png")</f>
        <v>.png</v>
      </c>
      <c r="Y588" s="33"/>
      <c r="Z588" s="33" t="e">
        <f>RIGHT(B588, LEN(B588)-SEARCH(" ", B588, 1))</f>
        <v>#VALUE!</v>
      </c>
    </row>
    <row r="589" spans="1:26" x14ac:dyDescent="0.25">
      <c r="A589" s="33">
        <f>A588+1</f>
        <v>14588</v>
      </c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 t="str">
        <f>CONCATENATE(LOWER(SUBSTITUTE(SUBSTITUTE(B589," ","_"), ".", "")), ".png")</f>
        <v>.png</v>
      </c>
      <c r="Y589" s="33"/>
      <c r="Z589" s="33" t="e">
        <f>RIGHT(B589, LEN(B589)-SEARCH(" ", B589, 1))</f>
        <v>#VALUE!</v>
      </c>
    </row>
    <row r="590" spans="1:26" x14ac:dyDescent="0.25">
      <c r="A590" s="33">
        <f>A589+1</f>
        <v>14589</v>
      </c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 t="str">
        <f>CONCATENATE(LOWER(SUBSTITUTE(SUBSTITUTE(B590," ","_"), ".", "")), ".png")</f>
        <v>.png</v>
      </c>
      <c r="Y590" s="33"/>
      <c r="Z590" s="33" t="e">
        <f>RIGHT(B590, LEN(B590)-SEARCH(" ", B590, 1))</f>
        <v>#VALUE!</v>
      </c>
    </row>
    <row r="591" spans="1:26" x14ac:dyDescent="0.25">
      <c r="A591" s="33">
        <f>A590+1</f>
        <v>14590</v>
      </c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 t="str">
        <f>CONCATENATE(LOWER(SUBSTITUTE(SUBSTITUTE(B591," ","_"), ".", "")), ".png")</f>
        <v>.png</v>
      </c>
      <c r="Y591" s="33"/>
      <c r="Z591" s="33" t="e">
        <f>RIGHT(B591, LEN(B591)-SEARCH(" ", B591, 1))</f>
        <v>#VALUE!</v>
      </c>
    </row>
    <row r="592" spans="1:26" x14ac:dyDescent="0.25">
      <c r="A592" s="33">
        <f>A591+1</f>
        <v>14591</v>
      </c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 t="str">
        <f>CONCATENATE(LOWER(SUBSTITUTE(SUBSTITUTE(B592," ","_"), ".", "")), ".png")</f>
        <v>.png</v>
      </c>
      <c r="Y592" s="33"/>
      <c r="Z592" s="33" t="e">
        <f>RIGHT(B592, LEN(B592)-SEARCH(" ", B592, 1))</f>
        <v>#VALUE!</v>
      </c>
    </row>
    <row r="593" spans="1:26" x14ac:dyDescent="0.25">
      <c r="A593" s="33">
        <f>A592+1</f>
        <v>14592</v>
      </c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 t="str">
        <f>CONCATENATE(LOWER(SUBSTITUTE(SUBSTITUTE(B593," ","_"), ".", "")), ".png")</f>
        <v>.png</v>
      </c>
      <c r="Y593" s="33"/>
      <c r="Z593" s="33" t="e">
        <f>RIGHT(B593, LEN(B593)-SEARCH(" ", B593, 1))</f>
        <v>#VALUE!</v>
      </c>
    </row>
    <row r="594" spans="1:26" x14ac:dyDescent="0.25">
      <c r="A594" s="33">
        <f>A593+1</f>
        <v>14593</v>
      </c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 t="str">
        <f>CONCATENATE(LOWER(SUBSTITUTE(SUBSTITUTE(B594," ","_"), ".", "")), ".png")</f>
        <v>.png</v>
      </c>
      <c r="Y594" s="33"/>
      <c r="Z594" s="33" t="e">
        <f>RIGHT(B594, LEN(B594)-SEARCH(" ", B594, 1))</f>
        <v>#VALUE!</v>
      </c>
    </row>
    <row r="595" spans="1:26" x14ac:dyDescent="0.25">
      <c r="A595" s="33">
        <f>A594+1</f>
        <v>14594</v>
      </c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 t="str">
        <f>CONCATENATE(LOWER(SUBSTITUTE(SUBSTITUTE(B595," ","_"), ".", "")), ".png")</f>
        <v>.png</v>
      </c>
      <c r="Y595" s="33"/>
      <c r="Z595" s="33" t="e">
        <f>RIGHT(B595, LEN(B595)-SEARCH(" ", B595, 1))</f>
        <v>#VALUE!</v>
      </c>
    </row>
    <row r="596" spans="1:26" x14ac:dyDescent="0.25">
      <c r="A596" s="33">
        <f>A595+1</f>
        <v>14595</v>
      </c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 t="str">
        <f>CONCATENATE(LOWER(SUBSTITUTE(SUBSTITUTE(B596," ","_"), ".", "")), ".png")</f>
        <v>.png</v>
      </c>
      <c r="Y596" s="33"/>
      <c r="Z596" s="33" t="e">
        <f>RIGHT(B596, LEN(B596)-SEARCH(" ", B596, 1))</f>
        <v>#VALUE!</v>
      </c>
    </row>
    <row r="597" spans="1:26" x14ac:dyDescent="0.25">
      <c r="A597" s="33">
        <f>A596+1</f>
        <v>14596</v>
      </c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 t="str">
        <f>CONCATENATE(LOWER(SUBSTITUTE(SUBSTITUTE(B597," ","_"), ".", "")), ".png")</f>
        <v>.png</v>
      </c>
      <c r="Y597" s="33"/>
      <c r="Z597" s="33" t="e">
        <f>RIGHT(B597, LEN(B597)-SEARCH(" ", B597, 1))</f>
        <v>#VALUE!</v>
      </c>
    </row>
    <row r="598" spans="1:26" x14ac:dyDescent="0.25">
      <c r="A598" s="33">
        <f>A597+1</f>
        <v>14597</v>
      </c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 t="str">
        <f>CONCATENATE(LOWER(SUBSTITUTE(SUBSTITUTE(B598," ","_"), ".", "")), ".png")</f>
        <v>.png</v>
      </c>
      <c r="Y598" s="33"/>
      <c r="Z598" s="33" t="e">
        <f>RIGHT(B598, LEN(B598)-SEARCH(" ", B598, 1))</f>
        <v>#VALUE!</v>
      </c>
    </row>
    <row r="599" spans="1:26" x14ac:dyDescent="0.25">
      <c r="A599" s="33">
        <f>A598+1</f>
        <v>14598</v>
      </c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 t="str">
        <f>CONCATENATE(LOWER(SUBSTITUTE(SUBSTITUTE(B599," ","_"), ".", "")), ".png")</f>
        <v>.png</v>
      </c>
      <c r="Y599" s="33"/>
      <c r="Z599" s="33" t="e">
        <f>RIGHT(B599, LEN(B599)-SEARCH(" ", B599, 1))</f>
        <v>#VALUE!</v>
      </c>
    </row>
    <row r="600" spans="1:26" x14ac:dyDescent="0.25">
      <c r="A600" s="33">
        <f>A599+1</f>
        <v>14599</v>
      </c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 t="str">
        <f>CONCATENATE(LOWER(SUBSTITUTE(SUBSTITUTE(B600," ","_"), ".", "")), ".png")</f>
        <v>.png</v>
      </c>
      <c r="Y600" s="33"/>
      <c r="Z600" s="33" t="e">
        <f>RIGHT(B600, LEN(B600)-SEARCH(" ", B600, 1))</f>
        <v>#VALUE!</v>
      </c>
    </row>
    <row r="601" spans="1:26" x14ac:dyDescent="0.25">
      <c r="A601" s="33">
        <f>A600+1</f>
        <v>14600</v>
      </c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 t="str">
        <f>CONCATENATE(LOWER(SUBSTITUTE(SUBSTITUTE(B601," ","_"), ".", "")), ".png")</f>
        <v>.png</v>
      </c>
      <c r="Y601" s="33"/>
      <c r="Z601" s="33" t="e">
        <f>RIGHT(B601, LEN(B601)-SEARCH(" ", B601, 1))</f>
        <v>#VALUE!</v>
      </c>
    </row>
    <row r="602" spans="1:26" x14ac:dyDescent="0.25">
      <c r="A602" s="33">
        <f>A601+1</f>
        <v>14601</v>
      </c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 t="str">
        <f>CONCATENATE(LOWER(SUBSTITUTE(SUBSTITUTE(B602," ","_"), ".", "")), ".png")</f>
        <v>.png</v>
      </c>
      <c r="Y602" s="33"/>
      <c r="Z602" s="33" t="e">
        <f>RIGHT(B602, LEN(B602)-SEARCH(" ", B602, 1))</f>
        <v>#VALUE!</v>
      </c>
    </row>
    <row r="603" spans="1:26" x14ac:dyDescent="0.25">
      <c r="A603" s="33">
        <f>A602+1</f>
        <v>14602</v>
      </c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 t="str">
        <f>CONCATENATE(LOWER(SUBSTITUTE(SUBSTITUTE(B603," ","_"), ".", "")), ".png")</f>
        <v>.png</v>
      </c>
      <c r="Y603" s="33"/>
      <c r="Z603" s="33" t="e">
        <f>RIGHT(B603, LEN(B603)-SEARCH(" ", B603, 1))</f>
        <v>#VALUE!</v>
      </c>
    </row>
    <row r="604" spans="1:26" x14ac:dyDescent="0.25">
      <c r="A604" s="33">
        <f>A603+1</f>
        <v>14603</v>
      </c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 t="str">
        <f>CONCATENATE(LOWER(SUBSTITUTE(SUBSTITUTE(B604," ","_"), ".", "")), ".png")</f>
        <v>.png</v>
      </c>
      <c r="Y604" s="33"/>
      <c r="Z604" s="33" t="e">
        <f>RIGHT(B604, LEN(B604)-SEARCH(" ", B604, 1))</f>
        <v>#VALUE!</v>
      </c>
    </row>
    <row r="605" spans="1:26" x14ac:dyDescent="0.25">
      <c r="A605" s="33">
        <f>A604+1</f>
        <v>14604</v>
      </c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 t="str">
        <f>CONCATENATE(LOWER(SUBSTITUTE(SUBSTITUTE(B605," ","_"), ".", "")), ".png")</f>
        <v>.png</v>
      </c>
      <c r="Y605" s="33"/>
      <c r="Z605" s="33" t="e">
        <f>RIGHT(B605, LEN(B605)-SEARCH(" ", B605, 1))</f>
        <v>#VALUE!</v>
      </c>
    </row>
    <row r="606" spans="1:26" x14ac:dyDescent="0.25">
      <c r="A606" s="33">
        <f>A605+1</f>
        <v>14605</v>
      </c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 t="str">
        <f>CONCATENATE(LOWER(SUBSTITUTE(SUBSTITUTE(B606," ","_"), ".", "")), ".png")</f>
        <v>.png</v>
      </c>
      <c r="Y606" s="33"/>
      <c r="Z606" s="33" t="e">
        <f>RIGHT(B606, LEN(B606)-SEARCH(" ", B606, 1))</f>
        <v>#VALUE!</v>
      </c>
    </row>
    <row r="607" spans="1:26" x14ac:dyDescent="0.25">
      <c r="A607" s="33">
        <f>A606+1</f>
        <v>14606</v>
      </c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 t="str">
        <f>CONCATENATE(LOWER(SUBSTITUTE(SUBSTITUTE(B607," ","_"), ".", "")), ".png")</f>
        <v>.png</v>
      </c>
      <c r="Y607" s="33"/>
      <c r="Z607" s="33" t="e">
        <f>RIGHT(B607, LEN(B607)-SEARCH(" ", B607, 1))</f>
        <v>#VALUE!</v>
      </c>
    </row>
    <row r="608" spans="1:26" x14ac:dyDescent="0.25">
      <c r="A608" s="33">
        <f>A607+1</f>
        <v>14607</v>
      </c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 t="str">
        <f>CONCATENATE(LOWER(SUBSTITUTE(SUBSTITUTE(B608," ","_"), ".", "")), ".png")</f>
        <v>.png</v>
      </c>
      <c r="Y608" s="33"/>
      <c r="Z608" s="33" t="e">
        <f>RIGHT(B608, LEN(B608)-SEARCH(" ", B608, 1))</f>
        <v>#VALUE!</v>
      </c>
    </row>
    <row r="609" spans="1:26" x14ac:dyDescent="0.25">
      <c r="A609" s="33">
        <f>A608+1</f>
        <v>14608</v>
      </c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 t="str">
        <f>CONCATENATE(LOWER(SUBSTITUTE(SUBSTITUTE(B609," ","_"), ".", "")), ".png")</f>
        <v>.png</v>
      </c>
      <c r="Y609" s="33"/>
      <c r="Z609" s="33" t="e">
        <f>RIGHT(B609, LEN(B609)-SEARCH(" ", B609, 1))</f>
        <v>#VALUE!</v>
      </c>
    </row>
    <row r="610" spans="1:26" x14ac:dyDescent="0.25">
      <c r="A610" s="33">
        <f>A609+1</f>
        <v>14609</v>
      </c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 t="str">
        <f>CONCATENATE(LOWER(SUBSTITUTE(SUBSTITUTE(B610," ","_"), ".", "")), ".png")</f>
        <v>.png</v>
      </c>
      <c r="Y610" s="33"/>
      <c r="Z610" s="33" t="e">
        <f>RIGHT(B610, LEN(B610)-SEARCH(" ", B610, 1))</f>
        <v>#VALUE!</v>
      </c>
    </row>
    <row r="611" spans="1:26" x14ac:dyDescent="0.25">
      <c r="A611" s="33">
        <f>A610+1</f>
        <v>14610</v>
      </c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 t="str">
        <f>CONCATENATE(LOWER(SUBSTITUTE(SUBSTITUTE(B611," ","_"), ".", "")), ".png")</f>
        <v>.png</v>
      </c>
      <c r="Y611" s="33"/>
      <c r="Z611" s="33" t="e">
        <f>RIGHT(B611, LEN(B611)-SEARCH(" ", B611, 1))</f>
        <v>#VALUE!</v>
      </c>
    </row>
    <row r="612" spans="1:26" x14ac:dyDescent="0.25">
      <c r="A612" s="33">
        <f>A611+1</f>
        <v>14611</v>
      </c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 t="str">
        <f>CONCATENATE(LOWER(SUBSTITUTE(SUBSTITUTE(B612," ","_"), ".", "")), ".png")</f>
        <v>.png</v>
      </c>
      <c r="Y612" s="33"/>
      <c r="Z612" s="33" t="e">
        <f>RIGHT(B612, LEN(B612)-SEARCH(" ", B612, 1))</f>
        <v>#VALUE!</v>
      </c>
    </row>
    <row r="613" spans="1:26" x14ac:dyDescent="0.25">
      <c r="A613" s="33">
        <f>A612+1</f>
        <v>14612</v>
      </c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 t="str">
        <f>CONCATENATE(LOWER(SUBSTITUTE(SUBSTITUTE(B613," ","_"), ".", "")), ".png")</f>
        <v>.png</v>
      </c>
      <c r="Y613" s="33"/>
      <c r="Z613" s="33" t="e">
        <f>RIGHT(B613, LEN(B613)-SEARCH(" ", B613, 1))</f>
        <v>#VALUE!</v>
      </c>
    </row>
    <row r="614" spans="1:26" x14ac:dyDescent="0.25">
      <c r="A614" s="33">
        <f>A613+1</f>
        <v>14613</v>
      </c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 t="str">
        <f>CONCATENATE(LOWER(SUBSTITUTE(SUBSTITUTE(B614," ","_"), ".", "")), ".png")</f>
        <v>.png</v>
      </c>
      <c r="Y614" s="33"/>
      <c r="Z614" s="33" t="e">
        <f>RIGHT(B614, LEN(B614)-SEARCH(" ", B614, 1))</f>
        <v>#VALUE!</v>
      </c>
    </row>
    <row r="615" spans="1:26" x14ac:dyDescent="0.25">
      <c r="A615" s="33">
        <f>A614+1</f>
        <v>14614</v>
      </c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 t="str">
        <f>CONCATENATE(LOWER(SUBSTITUTE(SUBSTITUTE(B615," ","_"), ".", "")), ".png")</f>
        <v>.png</v>
      </c>
      <c r="Y615" s="33"/>
      <c r="Z615" s="33" t="e">
        <f>RIGHT(B615, LEN(B615)-SEARCH(" ", B615, 1))</f>
        <v>#VALUE!</v>
      </c>
    </row>
    <row r="616" spans="1:26" x14ac:dyDescent="0.25">
      <c r="A616" s="33">
        <f>A615+1</f>
        <v>14615</v>
      </c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 t="str">
        <f>CONCATENATE(LOWER(SUBSTITUTE(SUBSTITUTE(B616," ","_"), ".", "")), ".png")</f>
        <v>.png</v>
      </c>
      <c r="Y616" s="33"/>
      <c r="Z616" s="33" t="e">
        <f>RIGHT(B616, LEN(B616)-SEARCH(" ", B616, 1))</f>
        <v>#VALUE!</v>
      </c>
    </row>
    <row r="617" spans="1:26" x14ac:dyDescent="0.25">
      <c r="A617" s="33">
        <f>A616+1</f>
        <v>14616</v>
      </c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 t="str">
        <f>CONCATENATE(LOWER(SUBSTITUTE(SUBSTITUTE(B617," ","_"), ".", "")), ".png")</f>
        <v>.png</v>
      </c>
      <c r="Y617" s="33"/>
      <c r="Z617" s="33" t="e">
        <f>RIGHT(B617, LEN(B617)-SEARCH(" ", B617, 1))</f>
        <v>#VALUE!</v>
      </c>
    </row>
    <row r="618" spans="1:26" x14ac:dyDescent="0.25">
      <c r="A618" s="33">
        <f>A617+1</f>
        <v>14617</v>
      </c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 t="str">
        <f>CONCATENATE(LOWER(SUBSTITUTE(SUBSTITUTE(B618," ","_"), ".", "")), ".png")</f>
        <v>.png</v>
      </c>
      <c r="Y618" s="33"/>
      <c r="Z618" s="33" t="e">
        <f>RIGHT(B618, LEN(B618)-SEARCH(" ", B618, 1))</f>
        <v>#VALUE!</v>
      </c>
    </row>
    <row r="619" spans="1:26" x14ac:dyDescent="0.25">
      <c r="A619" s="33">
        <f>A618+1</f>
        <v>14618</v>
      </c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 t="str">
        <f>CONCATENATE(LOWER(SUBSTITUTE(SUBSTITUTE(B619," ","_"), ".", "")), ".png")</f>
        <v>.png</v>
      </c>
      <c r="Y619" s="33"/>
      <c r="Z619" s="33" t="e">
        <f>RIGHT(B619, LEN(B619)-SEARCH(" ", B619, 1))</f>
        <v>#VALUE!</v>
      </c>
    </row>
    <row r="620" spans="1:26" x14ac:dyDescent="0.25">
      <c r="A620" s="33">
        <f>A619+1</f>
        <v>14619</v>
      </c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 t="str">
        <f>CONCATENATE(LOWER(SUBSTITUTE(SUBSTITUTE(B620," ","_"), ".", "")), ".png")</f>
        <v>.png</v>
      </c>
      <c r="Y620" s="33"/>
      <c r="Z620" s="33" t="e">
        <f>RIGHT(B620, LEN(B620)-SEARCH(" ", B620, 1))</f>
        <v>#VALUE!</v>
      </c>
    </row>
    <row r="621" spans="1:26" x14ac:dyDescent="0.25">
      <c r="A621" s="33">
        <f>A620+1</f>
        <v>14620</v>
      </c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 t="str">
        <f>CONCATENATE(LOWER(SUBSTITUTE(SUBSTITUTE(B621," ","_"), ".", "")), ".png")</f>
        <v>.png</v>
      </c>
      <c r="Y621" s="33"/>
      <c r="Z621" s="33" t="e">
        <f>RIGHT(B621, LEN(B621)-SEARCH(" ", B621, 1))</f>
        <v>#VALUE!</v>
      </c>
    </row>
    <row r="622" spans="1:26" x14ac:dyDescent="0.25">
      <c r="A622" s="33">
        <f>A621+1</f>
        <v>14621</v>
      </c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 t="str">
        <f>CONCATENATE(LOWER(SUBSTITUTE(SUBSTITUTE(B622," ","_"), ".", "")), ".png")</f>
        <v>.png</v>
      </c>
      <c r="Y622" s="33"/>
      <c r="Z622" s="33" t="e">
        <f>RIGHT(B622, LEN(B622)-SEARCH(" ", B622, 1))</f>
        <v>#VALUE!</v>
      </c>
    </row>
    <row r="623" spans="1:26" x14ac:dyDescent="0.25">
      <c r="A623" s="33">
        <f>A622+1</f>
        <v>14622</v>
      </c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 t="str">
        <f>CONCATENATE(LOWER(SUBSTITUTE(SUBSTITUTE(B623," ","_"), ".", "")), ".png")</f>
        <v>.png</v>
      </c>
      <c r="Y623" s="33"/>
      <c r="Z623" s="33" t="e">
        <f>RIGHT(B623, LEN(B623)-SEARCH(" ", B623, 1))</f>
        <v>#VALUE!</v>
      </c>
    </row>
    <row r="624" spans="1:26" x14ac:dyDescent="0.25">
      <c r="A624" s="33">
        <f>A623+1</f>
        <v>14623</v>
      </c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 t="str">
        <f>CONCATENATE(LOWER(SUBSTITUTE(SUBSTITUTE(B624," ","_"), ".", "")), ".png")</f>
        <v>.png</v>
      </c>
      <c r="Y624" s="33"/>
      <c r="Z624" s="33" t="e">
        <f>RIGHT(B624, LEN(B624)-SEARCH(" ", B624, 1))</f>
        <v>#VALUE!</v>
      </c>
    </row>
    <row r="625" spans="1:26" x14ac:dyDescent="0.25">
      <c r="A625" s="33">
        <f>A624+1</f>
        <v>14624</v>
      </c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 t="str">
        <f>CONCATENATE(LOWER(SUBSTITUTE(SUBSTITUTE(B625," ","_"), ".", "")), ".png")</f>
        <v>.png</v>
      </c>
      <c r="Y625" s="33"/>
      <c r="Z625" s="33" t="e">
        <f>RIGHT(B625, LEN(B625)-SEARCH(" ", B625, 1))</f>
        <v>#VALUE!</v>
      </c>
    </row>
    <row r="626" spans="1:26" x14ac:dyDescent="0.25">
      <c r="A626" s="33">
        <f>A625+1</f>
        <v>14625</v>
      </c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 t="str">
        <f>CONCATENATE(LOWER(SUBSTITUTE(SUBSTITUTE(B626," ","_"), ".", "")), ".png")</f>
        <v>.png</v>
      </c>
      <c r="Y626" s="33"/>
      <c r="Z626" s="33" t="e">
        <f>RIGHT(B626, LEN(B626)-SEARCH(" ", B626, 1))</f>
        <v>#VALUE!</v>
      </c>
    </row>
    <row r="627" spans="1:26" x14ac:dyDescent="0.25">
      <c r="A627" s="33">
        <f>A626+1</f>
        <v>14626</v>
      </c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 t="str">
        <f>CONCATENATE(LOWER(SUBSTITUTE(SUBSTITUTE(B627," ","_"), ".", "")), ".png")</f>
        <v>.png</v>
      </c>
      <c r="Y627" s="33"/>
      <c r="Z627" s="33" t="e">
        <f>RIGHT(B627, LEN(B627)-SEARCH(" ", B627, 1))</f>
        <v>#VALUE!</v>
      </c>
    </row>
    <row r="628" spans="1:26" x14ac:dyDescent="0.25">
      <c r="A628" s="33">
        <f>A627+1</f>
        <v>14627</v>
      </c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 t="str">
        <f>CONCATENATE(LOWER(SUBSTITUTE(SUBSTITUTE(B628," ","_"), ".", "")), ".png")</f>
        <v>.png</v>
      </c>
      <c r="Y628" s="33"/>
      <c r="Z628" s="33" t="e">
        <f>RIGHT(B628, LEN(B628)-SEARCH(" ", B628, 1))</f>
        <v>#VALUE!</v>
      </c>
    </row>
    <row r="629" spans="1:26" x14ac:dyDescent="0.25">
      <c r="A629" s="33">
        <f>A628+1</f>
        <v>14628</v>
      </c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 t="str">
        <f>CONCATENATE(LOWER(SUBSTITUTE(SUBSTITUTE(B629," ","_"), ".", "")), ".png")</f>
        <v>.png</v>
      </c>
      <c r="Y629" s="33"/>
      <c r="Z629" s="33" t="e">
        <f>RIGHT(B629, LEN(B629)-SEARCH(" ", B629, 1))</f>
        <v>#VALUE!</v>
      </c>
    </row>
    <row r="630" spans="1:26" x14ac:dyDescent="0.25">
      <c r="A630" s="33">
        <f>A629+1</f>
        <v>14629</v>
      </c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 t="str">
        <f>CONCATENATE(LOWER(SUBSTITUTE(SUBSTITUTE(B630," ","_"), ".", "")), ".png")</f>
        <v>.png</v>
      </c>
      <c r="Y630" s="33"/>
      <c r="Z630" s="33" t="e">
        <f>RIGHT(B630, LEN(B630)-SEARCH(" ", B630, 1))</f>
        <v>#VALUE!</v>
      </c>
    </row>
    <row r="631" spans="1:26" x14ac:dyDescent="0.25">
      <c r="A631" s="33">
        <f>A630+1</f>
        <v>14630</v>
      </c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 t="str">
        <f>CONCATENATE(LOWER(SUBSTITUTE(SUBSTITUTE(B631," ","_"), ".", "")), ".png")</f>
        <v>.png</v>
      </c>
      <c r="Y631" s="33"/>
      <c r="Z631" s="33" t="e">
        <f>RIGHT(B631, LEN(B631)-SEARCH(" ", B631, 1))</f>
        <v>#VALUE!</v>
      </c>
    </row>
    <row r="632" spans="1:26" x14ac:dyDescent="0.25">
      <c r="A632" s="33">
        <f>A631+1</f>
        <v>14631</v>
      </c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 t="str">
        <f>CONCATENATE(LOWER(SUBSTITUTE(SUBSTITUTE(B632," ","_"), ".", "")), ".png")</f>
        <v>.png</v>
      </c>
      <c r="Y632" s="33"/>
      <c r="Z632" s="33" t="e">
        <f>RIGHT(B632, LEN(B632)-SEARCH(" ", B632, 1))</f>
        <v>#VALUE!</v>
      </c>
    </row>
    <row r="633" spans="1:26" x14ac:dyDescent="0.25">
      <c r="A633" s="33">
        <f>A632+1</f>
        <v>14632</v>
      </c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 t="str">
        <f>CONCATENATE(LOWER(SUBSTITUTE(SUBSTITUTE(B633," ","_"), ".", "")), ".png")</f>
        <v>.png</v>
      </c>
      <c r="Y633" s="33"/>
      <c r="Z633" s="33" t="e">
        <f>RIGHT(B633, LEN(B633)-SEARCH(" ", B633, 1))</f>
        <v>#VALUE!</v>
      </c>
    </row>
    <row r="634" spans="1:26" x14ac:dyDescent="0.25">
      <c r="A634" s="33">
        <f>A633+1</f>
        <v>14633</v>
      </c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 t="str">
        <f>CONCATENATE(LOWER(SUBSTITUTE(SUBSTITUTE(B634," ","_"), ".", "")), ".png")</f>
        <v>.png</v>
      </c>
      <c r="Y634" s="33"/>
      <c r="Z634" s="33" t="e">
        <f>RIGHT(B634, LEN(B634)-SEARCH(" ", B634, 1))</f>
        <v>#VALUE!</v>
      </c>
    </row>
    <row r="635" spans="1:26" x14ac:dyDescent="0.25">
      <c r="A635" s="33">
        <f>A634+1</f>
        <v>14634</v>
      </c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 t="str">
        <f>CONCATENATE(LOWER(SUBSTITUTE(SUBSTITUTE(B635," ","_"), ".", "")), ".png")</f>
        <v>.png</v>
      </c>
      <c r="Y635" s="33"/>
      <c r="Z635" s="33" t="e">
        <f>RIGHT(B635, LEN(B635)-SEARCH(" ", B635, 1))</f>
        <v>#VALUE!</v>
      </c>
    </row>
    <row r="636" spans="1:26" x14ac:dyDescent="0.25">
      <c r="A636" s="33">
        <f>A635+1</f>
        <v>14635</v>
      </c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 t="str">
        <f>CONCATENATE(LOWER(SUBSTITUTE(SUBSTITUTE(B636," ","_"), ".", "")), ".png")</f>
        <v>.png</v>
      </c>
      <c r="Y636" s="33"/>
      <c r="Z636" s="33" t="e">
        <f>RIGHT(B636, LEN(B636)-SEARCH(" ", B636, 1))</f>
        <v>#VALUE!</v>
      </c>
    </row>
    <row r="637" spans="1:26" x14ac:dyDescent="0.25">
      <c r="A637" s="33">
        <f>A636+1</f>
        <v>14636</v>
      </c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 t="str">
        <f>CONCATENATE(LOWER(SUBSTITUTE(SUBSTITUTE(B637," ","_"), ".", "")), ".png")</f>
        <v>.png</v>
      </c>
      <c r="Y637" s="33"/>
      <c r="Z637" s="33" t="e">
        <f>RIGHT(B637, LEN(B637)-SEARCH(" ", B637, 1))</f>
        <v>#VALUE!</v>
      </c>
    </row>
    <row r="638" spans="1:26" x14ac:dyDescent="0.25">
      <c r="A638" s="33">
        <f>A637+1</f>
        <v>14637</v>
      </c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 t="str">
        <f>CONCATENATE(LOWER(SUBSTITUTE(SUBSTITUTE(B638," ","_"), ".", "")), ".png")</f>
        <v>.png</v>
      </c>
      <c r="Y638" s="33"/>
      <c r="Z638" s="33" t="e">
        <f>RIGHT(B638, LEN(B638)-SEARCH(" ", B638, 1))</f>
        <v>#VALUE!</v>
      </c>
    </row>
    <row r="639" spans="1:26" x14ac:dyDescent="0.25">
      <c r="A639" s="33">
        <f>A638+1</f>
        <v>14638</v>
      </c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 t="str">
        <f>CONCATENATE(LOWER(SUBSTITUTE(SUBSTITUTE(B639," ","_"), ".", "")), ".png")</f>
        <v>.png</v>
      </c>
      <c r="Y639" s="33"/>
      <c r="Z639" s="33" t="e">
        <f>RIGHT(B639, LEN(B639)-SEARCH(" ", B639, 1))</f>
        <v>#VALUE!</v>
      </c>
    </row>
    <row r="640" spans="1:26" x14ac:dyDescent="0.25">
      <c r="A640" s="33">
        <f>A639+1</f>
        <v>14639</v>
      </c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 t="str">
        <f>CONCATENATE(LOWER(SUBSTITUTE(SUBSTITUTE(B640," ","_"), ".", "")), ".png")</f>
        <v>.png</v>
      </c>
      <c r="Y640" s="33"/>
      <c r="Z640" s="33" t="e">
        <f>RIGHT(B640, LEN(B640)-SEARCH(" ", B640, 1))</f>
        <v>#VALUE!</v>
      </c>
    </row>
    <row r="641" spans="1:26" x14ac:dyDescent="0.25">
      <c r="A641" s="33">
        <f>A640+1</f>
        <v>14640</v>
      </c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 t="str">
        <f>CONCATENATE(LOWER(SUBSTITUTE(SUBSTITUTE(B641," ","_"), ".", "")), ".png")</f>
        <v>.png</v>
      </c>
      <c r="Y641" s="33"/>
      <c r="Z641" s="33" t="e">
        <f>RIGHT(B641, LEN(B641)-SEARCH(" ", B641, 1))</f>
        <v>#VALUE!</v>
      </c>
    </row>
    <row r="642" spans="1:26" x14ac:dyDescent="0.25">
      <c r="A642" s="33">
        <f>A641+1</f>
        <v>14641</v>
      </c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 t="str">
        <f>CONCATENATE(LOWER(SUBSTITUTE(SUBSTITUTE(B642," ","_"), ".", "")), ".png")</f>
        <v>.png</v>
      </c>
      <c r="Y642" s="33"/>
      <c r="Z642" s="33" t="e">
        <f>RIGHT(B642, LEN(B642)-SEARCH(" ", B642, 1))</f>
        <v>#VALUE!</v>
      </c>
    </row>
    <row r="643" spans="1:26" x14ac:dyDescent="0.25">
      <c r="A643" s="33">
        <f>A642+1</f>
        <v>14642</v>
      </c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 t="str">
        <f>CONCATENATE(LOWER(SUBSTITUTE(SUBSTITUTE(B643," ","_"), ".", "")), ".png")</f>
        <v>.png</v>
      </c>
      <c r="Y643" s="33"/>
      <c r="Z643" s="33" t="e">
        <f>RIGHT(B643, LEN(B643)-SEARCH(" ", B643, 1))</f>
        <v>#VALUE!</v>
      </c>
    </row>
    <row r="644" spans="1:26" x14ac:dyDescent="0.25">
      <c r="A644" s="33">
        <f>A643+1</f>
        <v>14643</v>
      </c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 t="str">
        <f>CONCATENATE(LOWER(SUBSTITUTE(SUBSTITUTE(B644," ","_"), ".", "")), ".png")</f>
        <v>.png</v>
      </c>
      <c r="Y644" s="33"/>
      <c r="Z644" s="33" t="e">
        <f>RIGHT(B644, LEN(B644)-SEARCH(" ", B644, 1))</f>
        <v>#VALUE!</v>
      </c>
    </row>
    <row r="645" spans="1:26" x14ac:dyDescent="0.25">
      <c r="A645" s="33">
        <f>A644+1</f>
        <v>14644</v>
      </c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 t="str">
        <f>CONCATENATE(LOWER(SUBSTITUTE(SUBSTITUTE(B645," ","_"), ".", "")), ".png")</f>
        <v>.png</v>
      </c>
      <c r="Y645" s="33"/>
      <c r="Z645" s="33" t="e">
        <f>RIGHT(B645, LEN(B645)-SEARCH(" ", B645, 1))</f>
        <v>#VALUE!</v>
      </c>
    </row>
    <row r="646" spans="1:26" x14ac:dyDescent="0.25">
      <c r="A646" s="33">
        <f>A645+1</f>
        <v>14645</v>
      </c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 t="str">
        <f>CONCATENATE(LOWER(SUBSTITUTE(SUBSTITUTE(B646," ","_"), ".", "")), ".png")</f>
        <v>.png</v>
      </c>
      <c r="Y646" s="33"/>
      <c r="Z646" s="33" t="e">
        <f>RIGHT(B646, LEN(B646)-SEARCH(" ", B646, 1))</f>
        <v>#VALUE!</v>
      </c>
    </row>
    <row r="647" spans="1:26" x14ac:dyDescent="0.25">
      <c r="A647" s="33">
        <f>A646+1</f>
        <v>14646</v>
      </c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 t="str">
        <f>CONCATENATE(LOWER(SUBSTITUTE(SUBSTITUTE(B647," ","_"), ".", "")), ".png")</f>
        <v>.png</v>
      </c>
      <c r="Y647" s="33"/>
      <c r="Z647" s="33" t="e">
        <f>RIGHT(B647, LEN(B647)-SEARCH(" ", B647, 1))</f>
        <v>#VALUE!</v>
      </c>
    </row>
    <row r="648" spans="1:26" x14ac:dyDescent="0.25">
      <c r="A648" s="33">
        <f>A647+1</f>
        <v>14647</v>
      </c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 t="str">
        <f>CONCATENATE(LOWER(SUBSTITUTE(SUBSTITUTE(B648," ","_"), ".", "")), ".png")</f>
        <v>.png</v>
      </c>
      <c r="Y648" s="33"/>
      <c r="Z648" s="33" t="e">
        <f>RIGHT(B648, LEN(B648)-SEARCH(" ", B648, 1))</f>
        <v>#VALUE!</v>
      </c>
    </row>
    <row r="649" spans="1:26" x14ac:dyDescent="0.25">
      <c r="A649" s="33">
        <f>A648+1</f>
        <v>14648</v>
      </c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 t="str">
        <f>CONCATENATE(LOWER(SUBSTITUTE(SUBSTITUTE(B649," ","_"), ".", "")), ".png")</f>
        <v>.png</v>
      </c>
      <c r="Y649" s="33"/>
      <c r="Z649" s="33" t="e">
        <f>RIGHT(B649, LEN(B649)-SEARCH(" ", B649, 1))</f>
        <v>#VALUE!</v>
      </c>
    </row>
    <row r="650" spans="1:26" x14ac:dyDescent="0.25">
      <c r="A650" s="33">
        <f>A649+1</f>
        <v>14649</v>
      </c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 t="str">
        <f>CONCATENATE(LOWER(SUBSTITUTE(SUBSTITUTE(B650," ","_"), ".", "")), ".png")</f>
        <v>.png</v>
      </c>
      <c r="Y650" s="33"/>
      <c r="Z650" s="33" t="e">
        <f>RIGHT(B650, LEN(B650)-SEARCH(" ", B650, 1))</f>
        <v>#VALUE!</v>
      </c>
    </row>
    <row r="651" spans="1:26" x14ac:dyDescent="0.25">
      <c r="A651" s="33">
        <f>A650+1</f>
        <v>14650</v>
      </c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 t="str">
        <f>CONCATENATE(LOWER(SUBSTITUTE(SUBSTITUTE(B651," ","_"), ".", "")), ".png")</f>
        <v>.png</v>
      </c>
      <c r="Y651" s="33"/>
      <c r="Z651" s="33" t="e">
        <f>RIGHT(B651, LEN(B651)-SEARCH(" ", B651, 1))</f>
        <v>#VALUE!</v>
      </c>
    </row>
    <row r="652" spans="1:26" x14ac:dyDescent="0.25">
      <c r="A652" s="33">
        <f>A651+1</f>
        <v>14651</v>
      </c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 t="str">
        <f>CONCATENATE(LOWER(SUBSTITUTE(SUBSTITUTE(B652," ","_"), ".", "")), ".png")</f>
        <v>.png</v>
      </c>
      <c r="Y652" s="33"/>
      <c r="Z652" s="33" t="e">
        <f>RIGHT(B652, LEN(B652)-SEARCH(" ", B652, 1))</f>
        <v>#VALUE!</v>
      </c>
    </row>
    <row r="653" spans="1:26" x14ac:dyDescent="0.25">
      <c r="A653" s="33">
        <f>A652+1</f>
        <v>14652</v>
      </c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 t="str">
        <f>CONCATENATE(LOWER(SUBSTITUTE(SUBSTITUTE(B653," ","_"), ".", "")), ".png")</f>
        <v>.png</v>
      </c>
      <c r="Y653" s="33"/>
      <c r="Z653" s="33" t="e">
        <f>RIGHT(B653, LEN(B653)-SEARCH(" ", B653, 1))</f>
        <v>#VALUE!</v>
      </c>
    </row>
    <row r="654" spans="1:26" x14ac:dyDescent="0.25">
      <c r="A654" s="33">
        <f>A653+1</f>
        <v>14653</v>
      </c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 t="str">
        <f>CONCATENATE(LOWER(SUBSTITUTE(SUBSTITUTE(B654," ","_"), ".", "")), ".png")</f>
        <v>.png</v>
      </c>
      <c r="Y654" s="33"/>
      <c r="Z654" s="33" t="e">
        <f>RIGHT(B654, LEN(B654)-SEARCH(" ", B654, 1))</f>
        <v>#VALUE!</v>
      </c>
    </row>
    <row r="655" spans="1:26" x14ac:dyDescent="0.25">
      <c r="A655" s="33">
        <f>A654+1</f>
        <v>14654</v>
      </c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 t="str">
        <f>CONCATENATE(LOWER(SUBSTITUTE(SUBSTITUTE(B655," ","_"), ".", "")), ".png")</f>
        <v>.png</v>
      </c>
      <c r="Y655" s="33"/>
      <c r="Z655" s="33" t="e">
        <f>RIGHT(B655, LEN(B655)-SEARCH(" ", B655, 1))</f>
        <v>#VALUE!</v>
      </c>
    </row>
    <row r="656" spans="1:26" x14ac:dyDescent="0.25">
      <c r="A656" s="33">
        <f>A655+1</f>
        <v>14655</v>
      </c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 t="str">
        <f>CONCATENATE(LOWER(SUBSTITUTE(SUBSTITUTE(B656," ","_"), ".", "")), ".png")</f>
        <v>.png</v>
      </c>
      <c r="Y656" s="33"/>
      <c r="Z656" s="33" t="e">
        <f>RIGHT(B656, LEN(B656)-SEARCH(" ", B656, 1))</f>
        <v>#VALUE!</v>
      </c>
    </row>
    <row r="657" spans="1:26" x14ac:dyDescent="0.25">
      <c r="A657" s="33">
        <f>A656+1</f>
        <v>14656</v>
      </c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 t="str">
        <f>CONCATENATE(LOWER(SUBSTITUTE(SUBSTITUTE(B657," ","_"), ".", "")), ".png")</f>
        <v>.png</v>
      </c>
      <c r="Y657" s="33"/>
      <c r="Z657" s="33" t="e">
        <f>RIGHT(B657, LEN(B657)-SEARCH(" ", B657, 1))</f>
        <v>#VALUE!</v>
      </c>
    </row>
    <row r="658" spans="1:26" x14ac:dyDescent="0.25">
      <c r="A658" s="33">
        <f>A657+1</f>
        <v>14657</v>
      </c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 t="str">
        <f>CONCATENATE(LOWER(SUBSTITUTE(SUBSTITUTE(B658," ","_"), ".", "")), ".png")</f>
        <v>.png</v>
      </c>
      <c r="Y658" s="33"/>
      <c r="Z658" s="33" t="e">
        <f>RIGHT(B658, LEN(B658)-SEARCH(" ", B658, 1))</f>
        <v>#VALUE!</v>
      </c>
    </row>
    <row r="659" spans="1:26" x14ac:dyDescent="0.25">
      <c r="A659" s="33">
        <f>A658+1</f>
        <v>14658</v>
      </c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 t="str">
        <f>CONCATENATE(LOWER(SUBSTITUTE(SUBSTITUTE(B659," ","_"), ".", "")), ".png")</f>
        <v>.png</v>
      </c>
      <c r="Y659" s="33"/>
      <c r="Z659" s="33" t="e">
        <f>RIGHT(B659, LEN(B659)-SEARCH(" ", B659, 1))</f>
        <v>#VALUE!</v>
      </c>
    </row>
    <row r="660" spans="1:26" x14ac:dyDescent="0.25">
      <c r="A660" s="33">
        <f>A659+1</f>
        <v>14659</v>
      </c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 t="str">
        <f>CONCATENATE(LOWER(SUBSTITUTE(SUBSTITUTE(B660," ","_"), ".", "")), ".png")</f>
        <v>.png</v>
      </c>
      <c r="Y660" s="33"/>
      <c r="Z660" s="33" t="e">
        <f>RIGHT(B660, LEN(B660)-SEARCH(" ", B660, 1))</f>
        <v>#VALUE!</v>
      </c>
    </row>
    <row r="661" spans="1:26" x14ac:dyDescent="0.25">
      <c r="A661" s="33">
        <f>A660+1</f>
        <v>14660</v>
      </c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 t="str">
        <f>CONCATENATE(LOWER(SUBSTITUTE(SUBSTITUTE(B661," ","_"), ".", "")), ".png")</f>
        <v>.png</v>
      </c>
      <c r="Y661" s="33"/>
      <c r="Z661" s="33" t="e">
        <f>RIGHT(B661, LEN(B661)-SEARCH(" ", B661, 1))</f>
        <v>#VALUE!</v>
      </c>
    </row>
    <row r="662" spans="1:26" x14ac:dyDescent="0.25">
      <c r="A662" s="33">
        <f>A661+1</f>
        <v>14661</v>
      </c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 t="str">
        <f>CONCATENATE(LOWER(SUBSTITUTE(SUBSTITUTE(B662," ","_"), ".", "")), ".png")</f>
        <v>.png</v>
      </c>
      <c r="Y662" s="33"/>
      <c r="Z662" s="33" t="e">
        <f>RIGHT(B662, LEN(B662)-SEARCH(" ", B662, 1))</f>
        <v>#VALUE!</v>
      </c>
    </row>
    <row r="663" spans="1:26" x14ac:dyDescent="0.25">
      <c r="A663" s="33">
        <f>A662+1</f>
        <v>14662</v>
      </c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 t="str">
        <f>CONCATENATE(LOWER(SUBSTITUTE(SUBSTITUTE(B663," ","_"), ".", "")), ".png")</f>
        <v>.png</v>
      </c>
      <c r="Y663" s="33"/>
      <c r="Z663" s="33" t="e">
        <f>RIGHT(B663, LEN(B663)-SEARCH(" ", B663, 1))</f>
        <v>#VALUE!</v>
      </c>
    </row>
    <row r="664" spans="1:26" x14ac:dyDescent="0.25">
      <c r="A664" s="33">
        <f>A663+1</f>
        <v>14663</v>
      </c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 t="str">
        <f>CONCATENATE(LOWER(SUBSTITUTE(SUBSTITUTE(B664," ","_"), ".", "")), ".png")</f>
        <v>.png</v>
      </c>
      <c r="Y664" s="33"/>
      <c r="Z664" s="33" t="e">
        <f>RIGHT(B664, LEN(B664)-SEARCH(" ", B664, 1))</f>
        <v>#VALUE!</v>
      </c>
    </row>
    <row r="665" spans="1:26" x14ac:dyDescent="0.25">
      <c r="A665" s="33">
        <f>A664+1</f>
        <v>14664</v>
      </c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 t="str">
        <f>CONCATENATE(LOWER(SUBSTITUTE(SUBSTITUTE(B665," ","_"), ".", "")), ".png")</f>
        <v>.png</v>
      </c>
      <c r="Y665" s="33"/>
      <c r="Z665" s="33" t="e">
        <f>RIGHT(B665, LEN(B665)-SEARCH(" ", B665, 1))</f>
        <v>#VALUE!</v>
      </c>
    </row>
    <row r="666" spans="1:26" x14ac:dyDescent="0.25">
      <c r="A666" s="33">
        <f>A665+1</f>
        <v>14665</v>
      </c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 t="str">
        <f>CONCATENATE(LOWER(SUBSTITUTE(SUBSTITUTE(B666," ","_"), ".", "")), ".png")</f>
        <v>.png</v>
      </c>
      <c r="Y666" s="33"/>
      <c r="Z666" s="33" t="e">
        <f>RIGHT(B666, LEN(B666)-SEARCH(" ", B666, 1))</f>
        <v>#VALUE!</v>
      </c>
    </row>
    <row r="667" spans="1:26" x14ac:dyDescent="0.25">
      <c r="A667" s="33">
        <f>A666+1</f>
        <v>14666</v>
      </c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 t="str">
        <f>CONCATENATE(LOWER(SUBSTITUTE(SUBSTITUTE(B667," ","_"), ".", "")), ".png")</f>
        <v>.png</v>
      </c>
      <c r="Y667" s="33"/>
      <c r="Z667" s="33" t="e">
        <f>RIGHT(B667, LEN(B667)-SEARCH(" ", B667, 1))</f>
        <v>#VALUE!</v>
      </c>
    </row>
    <row r="668" spans="1:26" x14ac:dyDescent="0.25">
      <c r="A668" s="33">
        <f>A667+1</f>
        <v>14667</v>
      </c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 t="str">
        <f>CONCATENATE(LOWER(SUBSTITUTE(SUBSTITUTE(B668," ","_"), ".", "")), ".png")</f>
        <v>.png</v>
      </c>
      <c r="Y668" s="33"/>
      <c r="Z668" s="33" t="e">
        <f>RIGHT(B668, LEN(B668)-SEARCH(" ", B668, 1))</f>
        <v>#VALUE!</v>
      </c>
    </row>
    <row r="669" spans="1:26" x14ac:dyDescent="0.25">
      <c r="A669" s="33">
        <f>A668+1</f>
        <v>14668</v>
      </c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 t="str">
        <f>CONCATENATE(LOWER(SUBSTITUTE(SUBSTITUTE(B669," ","_"), ".", "")), ".png")</f>
        <v>.png</v>
      </c>
      <c r="Y669" s="33"/>
      <c r="Z669" s="33" t="e">
        <f>RIGHT(B669, LEN(B669)-SEARCH(" ", B669, 1))</f>
        <v>#VALUE!</v>
      </c>
    </row>
    <row r="670" spans="1:26" x14ac:dyDescent="0.25">
      <c r="A670" s="33">
        <f>A669+1</f>
        <v>14669</v>
      </c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 t="str">
        <f>CONCATENATE(LOWER(SUBSTITUTE(SUBSTITUTE(B670," ","_"), ".", "")), ".png")</f>
        <v>.png</v>
      </c>
      <c r="Y670" s="33"/>
      <c r="Z670" s="33" t="e">
        <f>RIGHT(B670, LEN(B670)-SEARCH(" ", B670, 1))</f>
        <v>#VALUE!</v>
      </c>
    </row>
    <row r="671" spans="1:26" x14ac:dyDescent="0.25">
      <c r="A671" s="33">
        <f>A670+1</f>
        <v>14670</v>
      </c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 t="str">
        <f>CONCATENATE(LOWER(SUBSTITUTE(SUBSTITUTE(B671," ","_"), ".", "")), ".png")</f>
        <v>.png</v>
      </c>
      <c r="Y671" s="33"/>
      <c r="Z671" s="33" t="e">
        <f>RIGHT(B671, LEN(B671)-SEARCH(" ", B671, 1))</f>
        <v>#VALUE!</v>
      </c>
    </row>
    <row r="672" spans="1:26" x14ac:dyDescent="0.25">
      <c r="A672" s="33">
        <f>A671+1</f>
        <v>14671</v>
      </c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 t="str">
        <f>CONCATENATE(LOWER(SUBSTITUTE(SUBSTITUTE(B672," ","_"), ".", "")), ".png")</f>
        <v>.png</v>
      </c>
      <c r="Y672" s="33"/>
      <c r="Z672" s="33" t="e">
        <f>RIGHT(B672, LEN(B672)-SEARCH(" ", B672, 1))</f>
        <v>#VALUE!</v>
      </c>
    </row>
    <row r="673" spans="1:26" x14ac:dyDescent="0.25">
      <c r="A673" s="33">
        <f>A672+1</f>
        <v>14672</v>
      </c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 t="str">
        <f>CONCATENATE(LOWER(SUBSTITUTE(SUBSTITUTE(B673," ","_"), ".", "")), ".png")</f>
        <v>.png</v>
      </c>
      <c r="Y673" s="33"/>
      <c r="Z673" s="33" t="e">
        <f>RIGHT(B673, LEN(B673)-SEARCH(" ", B673, 1))</f>
        <v>#VALUE!</v>
      </c>
    </row>
    <row r="674" spans="1:26" x14ac:dyDescent="0.25">
      <c r="A674" s="33">
        <f>A673+1</f>
        <v>14673</v>
      </c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 t="str">
        <f>CONCATENATE(LOWER(SUBSTITUTE(SUBSTITUTE(B674," ","_"), ".", "")), ".png")</f>
        <v>.png</v>
      </c>
      <c r="Y674" s="33"/>
      <c r="Z674" s="33" t="e">
        <f>RIGHT(B674, LEN(B674)-SEARCH(" ", B674, 1))</f>
        <v>#VALUE!</v>
      </c>
    </row>
    <row r="675" spans="1:26" x14ac:dyDescent="0.25">
      <c r="A675" s="33">
        <f>A674+1</f>
        <v>14674</v>
      </c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 t="str">
        <f>CONCATENATE(LOWER(SUBSTITUTE(SUBSTITUTE(B675," ","_"), ".", "")), ".png")</f>
        <v>.png</v>
      </c>
      <c r="Y675" s="33"/>
      <c r="Z675" s="33" t="e">
        <f>RIGHT(B675, LEN(B675)-SEARCH(" ", B675, 1))</f>
        <v>#VALUE!</v>
      </c>
    </row>
    <row r="676" spans="1:26" x14ac:dyDescent="0.25">
      <c r="A676" s="33">
        <f>A675+1</f>
        <v>14675</v>
      </c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 t="str">
        <f>CONCATENATE(LOWER(SUBSTITUTE(SUBSTITUTE(B676," ","_"), ".", "")), ".png")</f>
        <v>.png</v>
      </c>
      <c r="Y676" s="33"/>
      <c r="Z676" s="33" t="e">
        <f>RIGHT(B676, LEN(B676)-SEARCH(" ", B676, 1))</f>
        <v>#VALUE!</v>
      </c>
    </row>
    <row r="677" spans="1:26" x14ac:dyDescent="0.25">
      <c r="A677" s="33">
        <f>A676+1</f>
        <v>14676</v>
      </c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 t="str">
        <f>CONCATENATE(LOWER(SUBSTITUTE(SUBSTITUTE(B677," ","_"), ".", "")), ".png")</f>
        <v>.png</v>
      </c>
      <c r="Y677" s="33"/>
      <c r="Z677" s="33" t="e">
        <f>RIGHT(B677, LEN(B677)-SEARCH(" ", B677, 1))</f>
        <v>#VALUE!</v>
      </c>
    </row>
    <row r="678" spans="1:26" x14ac:dyDescent="0.25">
      <c r="A678" s="33">
        <f>A677+1</f>
        <v>14677</v>
      </c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 t="str">
        <f>CONCATENATE(LOWER(SUBSTITUTE(SUBSTITUTE(B678," ","_"), ".", "")), ".png")</f>
        <v>.png</v>
      </c>
      <c r="Y678" s="33"/>
      <c r="Z678" s="33" t="e">
        <f>RIGHT(B678, LEN(B678)-SEARCH(" ", B678, 1))</f>
        <v>#VALUE!</v>
      </c>
    </row>
    <row r="679" spans="1:26" x14ac:dyDescent="0.25">
      <c r="A679" s="33">
        <f>A678+1</f>
        <v>14678</v>
      </c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 t="str">
        <f>CONCATENATE(LOWER(SUBSTITUTE(SUBSTITUTE(B679," ","_"), ".", "")), ".png")</f>
        <v>.png</v>
      </c>
      <c r="Y679" s="33"/>
      <c r="Z679" s="33" t="e">
        <f>RIGHT(B679, LEN(B679)-SEARCH(" ", B679, 1))</f>
        <v>#VALUE!</v>
      </c>
    </row>
    <row r="680" spans="1:26" x14ac:dyDescent="0.25">
      <c r="A680" s="33">
        <f>A679+1</f>
        <v>14679</v>
      </c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 t="str">
        <f>CONCATENATE(LOWER(SUBSTITUTE(SUBSTITUTE(B680," ","_"), ".", "")), ".png")</f>
        <v>.png</v>
      </c>
      <c r="Y680" s="33"/>
      <c r="Z680" s="33" t="e">
        <f>RIGHT(B680, LEN(B680)-SEARCH(" ", B680, 1))</f>
        <v>#VALUE!</v>
      </c>
    </row>
    <row r="681" spans="1:26" x14ac:dyDescent="0.25">
      <c r="A681" s="33">
        <f>A680+1</f>
        <v>14680</v>
      </c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 t="str">
        <f>CONCATENATE(LOWER(SUBSTITUTE(SUBSTITUTE(B681," ","_"), ".", "")), ".png")</f>
        <v>.png</v>
      </c>
      <c r="Y681" s="33"/>
      <c r="Z681" s="33" t="e">
        <f>RIGHT(B681, LEN(B681)-SEARCH(" ", B681, 1))</f>
        <v>#VALUE!</v>
      </c>
    </row>
    <row r="682" spans="1:26" x14ac:dyDescent="0.25">
      <c r="A682" s="33">
        <f>A681+1</f>
        <v>14681</v>
      </c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 t="str">
        <f>CONCATENATE(LOWER(SUBSTITUTE(SUBSTITUTE(B682," ","_"), ".", "")), ".png")</f>
        <v>.png</v>
      </c>
      <c r="Y682" s="33"/>
      <c r="Z682" s="33" t="e">
        <f>RIGHT(B682, LEN(B682)-SEARCH(" ", B682, 1))</f>
        <v>#VALUE!</v>
      </c>
    </row>
    <row r="683" spans="1:26" x14ac:dyDescent="0.25">
      <c r="A683" s="33">
        <f>A682+1</f>
        <v>14682</v>
      </c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 t="str">
        <f>CONCATENATE(LOWER(SUBSTITUTE(SUBSTITUTE(B683," ","_"), ".", "")), ".png")</f>
        <v>.png</v>
      </c>
      <c r="Y683" s="33"/>
      <c r="Z683" s="33" t="e">
        <f>RIGHT(B683, LEN(B683)-SEARCH(" ", B683, 1))</f>
        <v>#VALUE!</v>
      </c>
    </row>
    <row r="684" spans="1:26" x14ac:dyDescent="0.25">
      <c r="A684" s="33">
        <f>A683+1</f>
        <v>14683</v>
      </c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 t="str">
        <f>CONCATENATE(LOWER(SUBSTITUTE(SUBSTITUTE(B684," ","_"), ".", "")), ".png")</f>
        <v>.png</v>
      </c>
      <c r="Y684" s="33"/>
      <c r="Z684" s="33" t="e">
        <f>RIGHT(B684, LEN(B684)-SEARCH(" ", B684, 1))</f>
        <v>#VALUE!</v>
      </c>
    </row>
    <row r="685" spans="1:26" x14ac:dyDescent="0.25">
      <c r="A685" s="33">
        <f>A684+1</f>
        <v>14684</v>
      </c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 t="str">
        <f>CONCATENATE(LOWER(SUBSTITUTE(SUBSTITUTE(B685," ","_"), ".", "")), ".png")</f>
        <v>.png</v>
      </c>
      <c r="Y685" s="33"/>
      <c r="Z685" s="33" t="e">
        <f>RIGHT(B685, LEN(B685)-SEARCH(" ", B685, 1))</f>
        <v>#VALUE!</v>
      </c>
    </row>
    <row r="686" spans="1:26" x14ac:dyDescent="0.25">
      <c r="A686" s="33">
        <f>A685+1</f>
        <v>14685</v>
      </c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 t="str">
        <f>CONCATENATE(LOWER(SUBSTITUTE(SUBSTITUTE(B686," ","_"), ".", "")), ".png")</f>
        <v>.png</v>
      </c>
      <c r="Y686" s="33"/>
      <c r="Z686" s="33" t="e">
        <f>RIGHT(B686, LEN(B686)-SEARCH(" ", B686, 1))</f>
        <v>#VALUE!</v>
      </c>
    </row>
    <row r="687" spans="1:26" x14ac:dyDescent="0.25">
      <c r="A687" s="33">
        <f>A686+1</f>
        <v>14686</v>
      </c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 t="str">
        <f>CONCATENATE(LOWER(SUBSTITUTE(SUBSTITUTE(B687," ","_"), ".", "")), ".png")</f>
        <v>.png</v>
      </c>
      <c r="Y687" s="33"/>
      <c r="Z687" s="33" t="e">
        <f>RIGHT(B687, LEN(B687)-SEARCH(" ", B687, 1))</f>
        <v>#VALUE!</v>
      </c>
    </row>
    <row r="688" spans="1:26" x14ac:dyDescent="0.25">
      <c r="A688" s="33">
        <f>A687+1</f>
        <v>14687</v>
      </c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 t="str">
        <f>CONCATENATE(LOWER(SUBSTITUTE(SUBSTITUTE(B688," ","_"), ".", "")), ".png")</f>
        <v>.png</v>
      </c>
      <c r="Y688" s="33"/>
      <c r="Z688" s="33" t="e">
        <f>RIGHT(B688, LEN(B688)-SEARCH(" ", B688, 1))</f>
        <v>#VALUE!</v>
      </c>
    </row>
    <row r="689" spans="1:26" x14ac:dyDescent="0.25">
      <c r="A689" s="33">
        <f>A688+1</f>
        <v>14688</v>
      </c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 t="str">
        <f>CONCATENATE(LOWER(SUBSTITUTE(SUBSTITUTE(B689," ","_"), ".", "")), ".png")</f>
        <v>.png</v>
      </c>
      <c r="Y689" s="33"/>
      <c r="Z689" s="33" t="e">
        <f>RIGHT(B689, LEN(B689)-SEARCH(" ", B689, 1))</f>
        <v>#VALUE!</v>
      </c>
    </row>
    <row r="690" spans="1:26" x14ac:dyDescent="0.25">
      <c r="A690" s="33">
        <f>A689+1</f>
        <v>14689</v>
      </c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 t="str">
        <f>CONCATENATE(LOWER(SUBSTITUTE(SUBSTITUTE(B690," ","_"), ".", "")), ".png")</f>
        <v>.png</v>
      </c>
      <c r="Y690" s="33"/>
      <c r="Z690" s="33" t="e">
        <f>RIGHT(B690, LEN(B690)-SEARCH(" ", B690, 1))</f>
        <v>#VALUE!</v>
      </c>
    </row>
    <row r="691" spans="1:26" x14ac:dyDescent="0.25">
      <c r="A691" s="33">
        <f>A690+1</f>
        <v>14690</v>
      </c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 t="str">
        <f>CONCATENATE(LOWER(SUBSTITUTE(SUBSTITUTE(B691," ","_"), ".", "")), ".png")</f>
        <v>.png</v>
      </c>
      <c r="Y691" s="33"/>
      <c r="Z691" s="33" t="e">
        <f>RIGHT(B691, LEN(B691)-SEARCH(" ", B691, 1))</f>
        <v>#VALUE!</v>
      </c>
    </row>
    <row r="692" spans="1:26" x14ac:dyDescent="0.25">
      <c r="A692" s="33">
        <f>A691+1</f>
        <v>14691</v>
      </c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 t="str">
        <f>CONCATENATE(LOWER(SUBSTITUTE(SUBSTITUTE(B692," ","_"), ".", "")), ".png")</f>
        <v>.png</v>
      </c>
      <c r="Y692" s="33"/>
      <c r="Z692" s="33" t="e">
        <f>RIGHT(B692, LEN(B692)-SEARCH(" ", B692, 1))</f>
        <v>#VALUE!</v>
      </c>
    </row>
    <row r="693" spans="1:26" x14ac:dyDescent="0.25">
      <c r="A693" s="33">
        <f>A692+1</f>
        <v>14692</v>
      </c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 t="str">
        <f>CONCATENATE(LOWER(SUBSTITUTE(SUBSTITUTE(B693," ","_"), ".", "")), ".png")</f>
        <v>.png</v>
      </c>
      <c r="Y693" s="33"/>
      <c r="Z693" s="33" t="e">
        <f>RIGHT(B693, LEN(B693)-SEARCH(" ", B693, 1))</f>
        <v>#VALUE!</v>
      </c>
    </row>
    <row r="694" spans="1:26" x14ac:dyDescent="0.25">
      <c r="A694" s="33">
        <f>A693+1</f>
        <v>14693</v>
      </c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 t="str">
        <f>CONCATENATE(LOWER(SUBSTITUTE(SUBSTITUTE(B694," ","_"), ".", "")), ".png")</f>
        <v>.png</v>
      </c>
      <c r="Y694" s="33"/>
      <c r="Z694" s="33" t="e">
        <f>RIGHT(B694, LEN(B694)-SEARCH(" ", B694, 1))</f>
        <v>#VALUE!</v>
      </c>
    </row>
    <row r="695" spans="1:26" x14ac:dyDescent="0.25">
      <c r="A695" s="33">
        <f>A694+1</f>
        <v>14694</v>
      </c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 t="str">
        <f>CONCATENATE(LOWER(SUBSTITUTE(SUBSTITUTE(B695," ","_"), ".", "")), ".png")</f>
        <v>.png</v>
      </c>
      <c r="Y695" s="33"/>
      <c r="Z695" s="33" t="e">
        <f>RIGHT(B695, LEN(B695)-SEARCH(" ", B695, 1))</f>
        <v>#VALUE!</v>
      </c>
    </row>
    <row r="696" spans="1:26" x14ac:dyDescent="0.25">
      <c r="A696" s="33">
        <f>A695+1</f>
        <v>14695</v>
      </c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 t="str">
        <f>CONCATENATE(LOWER(SUBSTITUTE(SUBSTITUTE(B696," ","_"), ".", "")), ".png")</f>
        <v>.png</v>
      </c>
      <c r="Y696" s="33"/>
      <c r="Z696" s="33" t="e">
        <f>RIGHT(B696, LEN(B696)-SEARCH(" ", B696, 1))</f>
        <v>#VALUE!</v>
      </c>
    </row>
    <row r="697" spans="1:26" x14ac:dyDescent="0.25">
      <c r="A697" s="33">
        <f>A696+1</f>
        <v>14696</v>
      </c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 t="str">
        <f>CONCATENATE(LOWER(SUBSTITUTE(SUBSTITUTE(B697," ","_"), ".", "")), ".png")</f>
        <v>.png</v>
      </c>
      <c r="Y697" s="33"/>
      <c r="Z697" s="33" t="e">
        <f>RIGHT(B697, LEN(B697)-SEARCH(" ", B697, 1))</f>
        <v>#VALUE!</v>
      </c>
    </row>
    <row r="698" spans="1:26" x14ac:dyDescent="0.25">
      <c r="A698" s="33">
        <f>A697+1</f>
        <v>14697</v>
      </c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 t="str">
        <f>CONCATENATE(LOWER(SUBSTITUTE(SUBSTITUTE(B698," ","_"), ".", "")), ".png")</f>
        <v>.png</v>
      </c>
      <c r="Y698" s="33"/>
      <c r="Z698" s="33" t="e">
        <f>RIGHT(B698, LEN(B698)-SEARCH(" ", B698, 1))</f>
        <v>#VALUE!</v>
      </c>
    </row>
    <row r="699" spans="1:26" x14ac:dyDescent="0.25">
      <c r="A699" s="33">
        <f>A698+1</f>
        <v>14698</v>
      </c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 t="str">
        <f>CONCATENATE(LOWER(SUBSTITUTE(SUBSTITUTE(B699," ","_"), ".", "")), ".png")</f>
        <v>.png</v>
      </c>
      <c r="Y699" s="33"/>
      <c r="Z699" s="33" t="e">
        <f>RIGHT(B699, LEN(B699)-SEARCH(" ", B699, 1))</f>
        <v>#VALUE!</v>
      </c>
    </row>
    <row r="700" spans="1:26" x14ac:dyDescent="0.25">
      <c r="A700" s="33">
        <f>A699+1</f>
        <v>14699</v>
      </c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 t="str">
        <f>CONCATENATE(LOWER(SUBSTITUTE(SUBSTITUTE(B700," ","_"), ".", "")), ".png")</f>
        <v>.png</v>
      </c>
      <c r="Y700" s="33"/>
      <c r="Z700" s="33" t="e">
        <f>RIGHT(B700, LEN(B700)-SEARCH(" ", B700, 1))</f>
        <v>#VALUE!</v>
      </c>
    </row>
    <row r="701" spans="1:26" x14ac:dyDescent="0.25">
      <c r="A701" s="33">
        <f>A700+1</f>
        <v>14700</v>
      </c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 t="str">
        <f>CONCATENATE(LOWER(SUBSTITUTE(SUBSTITUTE(B701," ","_"), ".", "")), ".png")</f>
        <v>.png</v>
      </c>
      <c r="Y701" s="33"/>
      <c r="Z701" s="33" t="e">
        <f>RIGHT(B701, LEN(B701)-SEARCH(" ", B701, 1))</f>
        <v>#VALUE!</v>
      </c>
    </row>
    <row r="702" spans="1:26" x14ac:dyDescent="0.25">
      <c r="A702" s="33">
        <f>A701+1</f>
        <v>14701</v>
      </c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 t="str">
        <f>CONCATENATE(LOWER(SUBSTITUTE(SUBSTITUTE(B702," ","_"), ".", "")), ".png")</f>
        <v>.png</v>
      </c>
      <c r="Y702" s="33"/>
      <c r="Z702" s="33" t="e">
        <f>RIGHT(B702, LEN(B702)-SEARCH(" ", B702, 1))</f>
        <v>#VALUE!</v>
      </c>
    </row>
    <row r="703" spans="1:26" x14ac:dyDescent="0.25">
      <c r="A703" s="33">
        <f>A702+1</f>
        <v>14702</v>
      </c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 t="str">
        <f>CONCATENATE(LOWER(SUBSTITUTE(SUBSTITUTE(B703," ","_"), ".", "")), ".png")</f>
        <v>.png</v>
      </c>
      <c r="Y703" s="33"/>
      <c r="Z703" s="33" t="e">
        <f>RIGHT(B703, LEN(B703)-SEARCH(" ", B703, 1))</f>
        <v>#VALUE!</v>
      </c>
    </row>
    <row r="704" spans="1:26" x14ac:dyDescent="0.25">
      <c r="A704" s="33">
        <f>A703+1</f>
        <v>14703</v>
      </c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 t="str">
        <f>CONCATENATE(LOWER(SUBSTITUTE(SUBSTITUTE(B704," ","_"), ".", "")), ".png")</f>
        <v>.png</v>
      </c>
      <c r="Y704" s="33"/>
      <c r="Z704" s="33" t="e">
        <f>RIGHT(B704, LEN(B704)-SEARCH(" ", B704, 1))</f>
        <v>#VALUE!</v>
      </c>
    </row>
    <row r="705" spans="1:26" x14ac:dyDescent="0.25">
      <c r="A705" s="33">
        <f>A704+1</f>
        <v>14704</v>
      </c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 t="str">
        <f>CONCATENATE(LOWER(SUBSTITUTE(SUBSTITUTE(B705," ","_"), ".", "")), ".png")</f>
        <v>.png</v>
      </c>
      <c r="Y705" s="33"/>
      <c r="Z705" s="33" t="e">
        <f>RIGHT(B705, LEN(B705)-SEARCH(" ", B705, 1))</f>
        <v>#VALUE!</v>
      </c>
    </row>
    <row r="706" spans="1:26" x14ac:dyDescent="0.25">
      <c r="A706" s="33">
        <f>A705+1</f>
        <v>14705</v>
      </c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 t="str">
        <f>CONCATENATE(LOWER(SUBSTITUTE(SUBSTITUTE(B706," ","_"), ".", "")), ".png")</f>
        <v>.png</v>
      </c>
      <c r="Y706" s="33"/>
      <c r="Z706" s="33" t="e">
        <f>RIGHT(B706, LEN(B706)-SEARCH(" ", B706, 1))</f>
        <v>#VALUE!</v>
      </c>
    </row>
    <row r="707" spans="1:26" x14ac:dyDescent="0.25">
      <c r="A707" s="33">
        <f>A706+1</f>
        <v>14706</v>
      </c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 t="str">
        <f>CONCATENATE(LOWER(SUBSTITUTE(SUBSTITUTE(B707," ","_"), ".", "")), ".png")</f>
        <v>.png</v>
      </c>
      <c r="Y707" s="33"/>
      <c r="Z707" s="33" t="e">
        <f>RIGHT(B707, LEN(B707)-SEARCH(" ", B707, 1))</f>
        <v>#VALUE!</v>
      </c>
    </row>
    <row r="708" spans="1:26" x14ac:dyDescent="0.25">
      <c r="A708" s="33">
        <f>A707+1</f>
        <v>14707</v>
      </c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 t="str">
        <f>CONCATENATE(LOWER(SUBSTITUTE(SUBSTITUTE(B708," ","_"), ".", "")), ".png")</f>
        <v>.png</v>
      </c>
      <c r="Y708" s="33"/>
      <c r="Z708" s="33" t="e">
        <f>RIGHT(B708, LEN(B708)-SEARCH(" ", B708, 1))</f>
        <v>#VALUE!</v>
      </c>
    </row>
    <row r="709" spans="1:26" x14ac:dyDescent="0.25">
      <c r="A709" s="33">
        <f>A708+1</f>
        <v>14708</v>
      </c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 t="str">
        <f>CONCATENATE(LOWER(SUBSTITUTE(SUBSTITUTE(B709," ","_"), ".", "")), ".png")</f>
        <v>.png</v>
      </c>
      <c r="Y709" s="33"/>
      <c r="Z709" s="33" t="e">
        <f>RIGHT(B709, LEN(B709)-SEARCH(" ", B709, 1))</f>
        <v>#VALUE!</v>
      </c>
    </row>
    <row r="710" spans="1:26" x14ac:dyDescent="0.25">
      <c r="A710" s="33">
        <f>A709+1</f>
        <v>14709</v>
      </c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 t="str">
        <f>CONCATENATE(LOWER(SUBSTITUTE(SUBSTITUTE(B710," ","_"), ".", "")), ".png")</f>
        <v>.png</v>
      </c>
      <c r="Y710" s="33"/>
      <c r="Z710" s="33" t="e">
        <f>RIGHT(B710, LEN(B710)-SEARCH(" ", B710, 1))</f>
        <v>#VALUE!</v>
      </c>
    </row>
    <row r="711" spans="1:26" x14ac:dyDescent="0.25">
      <c r="A711" s="33">
        <f>A710+1</f>
        <v>14710</v>
      </c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 t="str">
        <f>CONCATENATE(LOWER(SUBSTITUTE(SUBSTITUTE(B711," ","_"), ".", "")), ".png")</f>
        <v>.png</v>
      </c>
      <c r="Y711" s="33"/>
      <c r="Z711" s="33" t="e">
        <f>RIGHT(B711, LEN(B711)-SEARCH(" ", B711, 1))</f>
        <v>#VALUE!</v>
      </c>
    </row>
    <row r="712" spans="1:26" x14ac:dyDescent="0.25">
      <c r="A712" s="33">
        <f>A711+1</f>
        <v>14711</v>
      </c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 t="str">
        <f>CONCATENATE(LOWER(SUBSTITUTE(SUBSTITUTE(B712," ","_"), ".", "")), ".png")</f>
        <v>.png</v>
      </c>
      <c r="Y712" s="33"/>
      <c r="Z712" s="33" t="e">
        <f>RIGHT(B712, LEN(B712)-SEARCH(" ", B712, 1))</f>
        <v>#VALUE!</v>
      </c>
    </row>
    <row r="713" spans="1:26" x14ac:dyDescent="0.25">
      <c r="A713" s="33">
        <f>A712+1</f>
        <v>14712</v>
      </c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 t="str">
        <f>CONCATENATE(LOWER(SUBSTITUTE(SUBSTITUTE(B713," ","_"), ".", "")), ".png")</f>
        <v>.png</v>
      </c>
      <c r="Y713" s="33"/>
      <c r="Z713" s="33" t="e">
        <f>RIGHT(B713, LEN(B713)-SEARCH(" ", B713, 1))</f>
        <v>#VALUE!</v>
      </c>
    </row>
    <row r="714" spans="1:26" x14ac:dyDescent="0.25">
      <c r="A714" s="33">
        <f>A713+1</f>
        <v>14713</v>
      </c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 t="str">
        <f>CONCATENATE(LOWER(SUBSTITUTE(SUBSTITUTE(B714," ","_"), ".", "")), ".png")</f>
        <v>.png</v>
      </c>
      <c r="Y714" s="33"/>
      <c r="Z714" s="33" t="e">
        <f>RIGHT(B714, LEN(B714)-SEARCH(" ", B714, 1))</f>
        <v>#VALUE!</v>
      </c>
    </row>
    <row r="715" spans="1:26" x14ac:dyDescent="0.25">
      <c r="A715" s="33">
        <f>A714+1</f>
        <v>14714</v>
      </c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 t="str">
        <f>CONCATENATE(LOWER(SUBSTITUTE(SUBSTITUTE(B715," ","_"), ".", "")), ".png")</f>
        <v>.png</v>
      </c>
      <c r="Y715" s="33"/>
      <c r="Z715" s="33" t="e">
        <f>RIGHT(B715, LEN(B715)-SEARCH(" ", B715, 1))</f>
        <v>#VALUE!</v>
      </c>
    </row>
    <row r="716" spans="1:26" x14ac:dyDescent="0.25">
      <c r="A716" s="33">
        <f>A715+1</f>
        <v>14715</v>
      </c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 t="str">
        <f>CONCATENATE(LOWER(SUBSTITUTE(SUBSTITUTE(B716," ","_"), ".", "")), ".png")</f>
        <v>.png</v>
      </c>
      <c r="Y716" s="33"/>
      <c r="Z716" s="33" t="e">
        <f>RIGHT(B716, LEN(B716)-SEARCH(" ", B716, 1))</f>
        <v>#VALUE!</v>
      </c>
    </row>
    <row r="717" spans="1:26" x14ac:dyDescent="0.25">
      <c r="A717" s="33">
        <f>A716+1</f>
        <v>14716</v>
      </c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 t="str">
        <f>CONCATENATE(LOWER(SUBSTITUTE(SUBSTITUTE(B717," ","_"), ".", "")), ".png")</f>
        <v>.png</v>
      </c>
      <c r="Y717" s="33"/>
      <c r="Z717" s="33" t="e">
        <f>RIGHT(B717, LEN(B717)-SEARCH(" ", B717, 1))</f>
        <v>#VALUE!</v>
      </c>
    </row>
    <row r="718" spans="1:26" x14ac:dyDescent="0.25">
      <c r="A718" s="33">
        <f>A717+1</f>
        <v>14717</v>
      </c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 t="str">
        <f>CONCATENATE(LOWER(SUBSTITUTE(SUBSTITUTE(B718," ","_"), ".", "")), ".png")</f>
        <v>.png</v>
      </c>
      <c r="Y718" s="33"/>
      <c r="Z718" s="33" t="e">
        <f>RIGHT(B718, LEN(B718)-SEARCH(" ", B718, 1))</f>
        <v>#VALUE!</v>
      </c>
    </row>
    <row r="719" spans="1:26" x14ac:dyDescent="0.25">
      <c r="A719" s="33">
        <f>A718+1</f>
        <v>14718</v>
      </c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 t="str">
        <f>CONCATENATE(LOWER(SUBSTITUTE(SUBSTITUTE(B719," ","_"), ".", "")), ".png")</f>
        <v>.png</v>
      </c>
      <c r="Y719" s="33"/>
      <c r="Z719" s="33" t="e">
        <f>RIGHT(B719, LEN(B719)-SEARCH(" ", B719, 1))</f>
        <v>#VALUE!</v>
      </c>
    </row>
    <row r="720" spans="1:26" x14ac:dyDescent="0.25">
      <c r="A720" s="33">
        <f>A719+1</f>
        <v>14719</v>
      </c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 t="str">
        <f>CONCATENATE(LOWER(SUBSTITUTE(SUBSTITUTE(B720," ","_"), ".", "")), ".png")</f>
        <v>.png</v>
      </c>
      <c r="Y720" s="33"/>
      <c r="Z720" s="33" t="e">
        <f>RIGHT(B720, LEN(B720)-SEARCH(" ", B720, 1))</f>
        <v>#VALUE!</v>
      </c>
    </row>
    <row r="721" spans="1:26" x14ac:dyDescent="0.25">
      <c r="A721" s="33">
        <f>A720+1</f>
        <v>14720</v>
      </c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 t="str">
        <f>CONCATENATE(LOWER(SUBSTITUTE(SUBSTITUTE(B721," ","_"), ".", "")), ".png")</f>
        <v>.png</v>
      </c>
      <c r="Y721" s="33"/>
      <c r="Z721" s="33" t="e">
        <f>RIGHT(B721, LEN(B721)-SEARCH(" ", B721, 1))</f>
        <v>#VALUE!</v>
      </c>
    </row>
    <row r="722" spans="1:26" x14ac:dyDescent="0.25">
      <c r="A722" s="33">
        <f>A721+1</f>
        <v>14721</v>
      </c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 t="str">
        <f>CONCATENATE(LOWER(SUBSTITUTE(SUBSTITUTE(B722," ","_"), ".", "")), ".png")</f>
        <v>.png</v>
      </c>
      <c r="Y722" s="33"/>
      <c r="Z722" s="33" t="e">
        <f>RIGHT(B722, LEN(B722)-SEARCH(" ", B722, 1))</f>
        <v>#VALUE!</v>
      </c>
    </row>
    <row r="723" spans="1:26" x14ac:dyDescent="0.25">
      <c r="A723" s="33">
        <f>A722+1</f>
        <v>14722</v>
      </c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 t="str">
        <f>CONCATENATE(LOWER(SUBSTITUTE(SUBSTITUTE(B723," ","_"), ".", "")), ".png")</f>
        <v>.png</v>
      </c>
      <c r="Y723" s="33"/>
      <c r="Z723" s="33" t="e">
        <f>RIGHT(B723, LEN(B723)-SEARCH(" ", B723, 1))</f>
        <v>#VALUE!</v>
      </c>
    </row>
    <row r="724" spans="1:26" x14ac:dyDescent="0.25">
      <c r="A724" s="33">
        <f>A723+1</f>
        <v>14723</v>
      </c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 t="str">
        <f>CONCATENATE(LOWER(SUBSTITUTE(SUBSTITUTE(B724," ","_"), ".", "")), ".png")</f>
        <v>.png</v>
      </c>
      <c r="Y724" s="33"/>
      <c r="Z724" s="33" t="e">
        <f>RIGHT(B724, LEN(B724)-SEARCH(" ", B724, 1))</f>
        <v>#VALUE!</v>
      </c>
    </row>
    <row r="725" spans="1:26" x14ac:dyDescent="0.25">
      <c r="A725" s="33">
        <f>A724+1</f>
        <v>14724</v>
      </c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 t="str">
        <f>CONCATENATE(LOWER(SUBSTITUTE(SUBSTITUTE(B725," ","_"), ".", "")), ".png")</f>
        <v>.png</v>
      </c>
      <c r="Y725" s="33"/>
      <c r="Z725" s="33" t="e">
        <f>RIGHT(B725, LEN(B725)-SEARCH(" ", B725, 1))</f>
        <v>#VALUE!</v>
      </c>
    </row>
    <row r="726" spans="1:26" x14ac:dyDescent="0.25">
      <c r="A726" s="33">
        <f>A725+1</f>
        <v>14725</v>
      </c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 t="str">
        <f>CONCATENATE(LOWER(SUBSTITUTE(SUBSTITUTE(B726," ","_"), ".", "")), ".png")</f>
        <v>.png</v>
      </c>
      <c r="Y726" s="33"/>
      <c r="Z726" s="33" t="e">
        <f>RIGHT(B726, LEN(B726)-SEARCH(" ", B726, 1))</f>
        <v>#VALUE!</v>
      </c>
    </row>
    <row r="727" spans="1:26" x14ac:dyDescent="0.25">
      <c r="A727" s="33">
        <f>A726+1</f>
        <v>14726</v>
      </c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 t="str">
        <f>CONCATENATE(LOWER(SUBSTITUTE(SUBSTITUTE(B727," ","_"), ".", "")), ".png")</f>
        <v>.png</v>
      </c>
      <c r="Y727" s="33"/>
      <c r="Z727" s="33" t="e">
        <f>RIGHT(B727, LEN(B727)-SEARCH(" ", B727, 1))</f>
        <v>#VALUE!</v>
      </c>
    </row>
    <row r="728" spans="1:26" x14ac:dyDescent="0.25">
      <c r="A728" s="33">
        <f>A727+1</f>
        <v>14727</v>
      </c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 t="str">
        <f>CONCATENATE(LOWER(SUBSTITUTE(SUBSTITUTE(B728," ","_"), ".", "")), ".png")</f>
        <v>.png</v>
      </c>
      <c r="Y728" s="33"/>
      <c r="Z728" s="33" t="e">
        <f>RIGHT(B728, LEN(B728)-SEARCH(" ", B728, 1))</f>
        <v>#VALUE!</v>
      </c>
    </row>
    <row r="729" spans="1:26" x14ac:dyDescent="0.25">
      <c r="A729" s="33">
        <f>A728+1</f>
        <v>14728</v>
      </c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 t="str">
        <f>CONCATENATE(LOWER(SUBSTITUTE(SUBSTITUTE(B729," ","_"), ".", "")), ".png")</f>
        <v>.png</v>
      </c>
      <c r="Y729" s="33"/>
      <c r="Z729" s="33" t="e">
        <f>RIGHT(B729, LEN(B729)-SEARCH(" ", B729, 1))</f>
        <v>#VALUE!</v>
      </c>
    </row>
    <row r="730" spans="1:26" x14ac:dyDescent="0.25">
      <c r="A730" s="33">
        <f>A729+1</f>
        <v>14729</v>
      </c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 t="str">
        <f>CONCATENATE(LOWER(SUBSTITUTE(SUBSTITUTE(B730," ","_"), ".", "")), ".png")</f>
        <v>.png</v>
      </c>
      <c r="Y730" s="33"/>
      <c r="Z730" s="33" t="e">
        <f>RIGHT(B730, LEN(B730)-SEARCH(" ", B730, 1))</f>
        <v>#VALUE!</v>
      </c>
    </row>
    <row r="731" spans="1:26" x14ac:dyDescent="0.25">
      <c r="A731" s="33">
        <f>A730+1</f>
        <v>14730</v>
      </c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 t="str">
        <f>CONCATENATE(LOWER(SUBSTITUTE(SUBSTITUTE(B731," ","_"), ".", "")), ".png")</f>
        <v>.png</v>
      </c>
      <c r="Y731" s="33"/>
      <c r="Z731" s="33" t="e">
        <f>RIGHT(B731, LEN(B731)-SEARCH(" ", B731, 1))</f>
        <v>#VALUE!</v>
      </c>
    </row>
    <row r="732" spans="1:26" x14ac:dyDescent="0.25">
      <c r="A732" s="33">
        <f>A731+1</f>
        <v>14731</v>
      </c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 t="str">
        <f>CONCATENATE(LOWER(SUBSTITUTE(SUBSTITUTE(B732," ","_"), ".", "")), ".png")</f>
        <v>.png</v>
      </c>
      <c r="Y732" s="33"/>
      <c r="Z732" s="33" t="e">
        <f>RIGHT(B732, LEN(B732)-SEARCH(" ", B732, 1))</f>
        <v>#VALUE!</v>
      </c>
    </row>
    <row r="733" spans="1:26" x14ac:dyDescent="0.25">
      <c r="A733" s="33">
        <f>A732+1</f>
        <v>14732</v>
      </c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 t="str">
        <f>CONCATENATE(LOWER(SUBSTITUTE(SUBSTITUTE(B733," ","_"), ".", "")), ".png")</f>
        <v>.png</v>
      </c>
      <c r="Y733" s="33"/>
      <c r="Z733" s="33" t="e">
        <f>RIGHT(B733, LEN(B733)-SEARCH(" ", B733, 1))</f>
        <v>#VALUE!</v>
      </c>
    </row>
    <row r="734" spans="1:26" x14ac:dyDescent="0.25">
      <c r="A734" s="33">
        <f>A733+1</f>
        <v>14733</v>
      </c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 t="str">
        <f>CONCATENATE(LOWER(SUBSTITUTE(SUBSTITUTE(B734," ","_"), ".", "")), ".png")</f>
        <v>.png</v>
      </c>
      <c r="Y734" s="33"/>
      <c r="Z734" s="33" t="e">
        <f>RIGHT(B734, LEN(B734)-SEARCH(" ", B734, 1))</f>
        <v>#VALUE!</v>
      </c>
    </row>
    <row r="735" spans="1:26" x14ac:dyDescent="0.25">
      <c r="A735" s="33">
        <f>A734+1</f>
        <v>14734</v>
      </c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 t="str">
        <f>CONCATENATE(LOWER(SUBSTITUTE(SUBSTITUTE(B735," ","_"), ".", "")), ".png")</f>
        <v>.png</v>
      </c>
      <c r="Y735" s="33"/>
      <c r="Z735" s="33" t="e">
        <f>RIGHT(B735, LEN(B735)-SEARCH(" ", B735, 1))</f>
        <v>#VALUE!</v>
      </c>
    </row>
    <row r="736" spans="1:26" x14ac:dyDescent="0.25">
      <c r="A736" s="33">
        <f>A735+1</f>
        <v>14735</v>
      </c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 t="str">
        <f>CONCATENATE(LOWER(SUBSTITUTE(SUBSTITUTE(B736," ","_"), ".", "")), ".png")</f>
        <v>.png</v>
      </c>
      <c r="Y736" s="33"/>
      <c r="Z736" s="33" t="e">
        <f>RIGHT(B736, LEN(B736)-SEARCH(" ", B736, 1))</f>
        <v>#VALUE!</v>
      </c>
    </row>
    <row r="737" spans="1:26" x14ac:dyDescent="0.25">
      <c r="A737" s="33">
        <f>A736+1</f>
        <v>14736</v>
      </c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 t="str">
        <f>CONCATENATE(LOWER(SUBSTITUTE(SUBSTITUTE(B737," ","_"), ".", "")), ".png")</f>
        <v>.png</v>
      </c>
      <c r="Y737" s="33"/>
      <c r="Z737" s="33" t="e">
        <f>RIGHT(B737, LEN(B737)-SEARCH(" ", B737, 1))</f>
        <v>#VALUE!</v>
      </c>
    </row>
    <row r="738" spans="1:26" x14ac:dyDescent="0.25">
      <c r="A738" s="33">
        <f>A737+1</f>
        <v>14737</v>
      </c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 t="str">
        <f>CONCATENATE(LOWER(SUBSTITUTE(SUBSTITUTE(B738," ","_"), ".", "")), ".png")</f>
        <v>.png</v>
      </c>
      <c r="Y738" s="33"/>
      <c r="Z738" s="33" t="e">
        <f>RIGHT(B738, LEN(B738)-SEARCH(" ", B738, 1))</f>
        <v>#VALUE!</v>
      </c>
    </row>
    <row r="739" spans="1:26" x14ac:dyDescent="0.25">
      <c r="A739" s="33">
        <f>A738+1</f>
        <v>14738</v>
      </c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 t="str">
        <f>CONCATENATE(LOWER(SUBSTITUTE(SUBSTITUTE(B739," ","_"), ".", "")), ".png")</f>
        <v>.png</v>
      </c>
      <c r="Y739" s="33"/>
      <c r="Z739" s="33" t="e">
        <f>RIGHT(B739, LEN(B739)-SEARCH(" ", B739, 1))</f>
        <v>#VALUE!</v>
      </c>
    </row>
    <row r="740" spans="1:26" x14ac:dyDescent="0.25">
      <c r="A740" s="33">
        <f>A739+1</f>
        <v>14739</v>
      </c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 t="str">
        <f>CONCATENATE(LOWER(SUBSTITUTE(SUBSTITUTE(B740," ","_"), ".", "")), ".png")</f>
        <v>.png</v>
      </c>
      <c r="Y740" s="33"/>
      <c r="Z740" s="33" t="e">
        <f>RIGHT(B740, LEN(B740)-SEARCH(" ", B740, 1))</f>
        <v>#VALUE!</v>
      </c>
    </row>
    <row r="741" spans="1:26" x14ac:dyDescent="0.25">
      <c r="A741" s="33">
        <f>A740+1</f>
        <v>14740</v>
      </c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 t="str">
        <f>CONCATENATE(LOWER(SUBSTITUTE(SUBSTITUTE(B741," ","_"), ".", "")), ".png")</f>
        <v>.png</v>
      </c>
      <c r="Y741" s="33"/>
      <c r="Z741" s="33" t="e">
        <f>RIGHT(B741, LEN(B741)-SEARCH(" ", B741, 1))</f>
        <v>#VALUE!</v>
      </c>
    </row>
    <row r="742" spans="1:26" x14ac:dyDescent="0.25">
      <c r="A742" s="33">
        <f>A741+1</f>
        <v>14741</v>
      </c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 t="str">
        <f>CONCATENATE(LOWER(SUBSTITUTE(SUBSTITUTE(B742," ","_"), ".", "")), ".png")</f>
        <v>.png</v>
      </c>
      <c r="Y742" s="33"/>
      <c r="Z742" s="33" t="e">
        <f>RIGHT(B742, LEN(B742)-SEARCH(" ", B742, 1))</f>
        <v>#VALUE!</v>
      </c>
    </row>
    <row r="743" spans="1:26" x14ac:dyDescent="0.25">
      <c r="A743" s="33">
        <f>A742+1</f>
        <v>14742</v>
      </c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 t="str">
        <f>CONCATENATE(LOWER(SUBSTITUTE(SUBSTITUTE(B743," ","_"), ".", "")), ".png")</f>
        <v>.png</v>
      </c>
      <c r="Y743" s="33"/>
      <c r="Z743" s="33" t="e">
        <f>RIGHT(B743, LEN(B743)-SEARCH(" ", B743, 1))</f>
        <v>#VALUE!</v>
      </c>
    </row>
    <row r="744" spans="1:26" x14ac:dyDescent="0.25">
      <c r="A744" s="33">
        <f>A743+1</f>
        <v>14743</v>
      </c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 t="str">
        <f>CONCATENATE(LOWER(SUBSTITUTE(SUBSTITUTE(B744," ","_"), ".", "")), ".png")</f>
        <v>.png</v>
      </c>
      <c r="Y744" s="33"/>
      <c r="Z744" s="33" t="e">
        <f>RIGHT(B744, LEN(B744)-SEARCH(" ", B744, 1))</f>
        <v>#VALUE!</v>
      </c>
    </row>
    <row r="745" spans="1:26" x14ac:dyDescent="0.25">
      <c r="A745" s="33">
        <f>A744+1</f>
        <v>14744</v>
      </c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 t="str">
        <f>CONCATENATE(LOWER(SUBSTITUTE(SUBSTITUTE(B745," ","_"), ".", "")), ".png")</f>
        <v>.png</v>
      </c>
      <c r="Y745" s="33"/>
      <c r="Z745" s="33" t="e">
        <f>RIGHT(B745, LEN(B745)-SEARCH(" ", B745, 1))</f>
        <v>#VALUE!</v>
      </c>
    </row>
    <row r="746" spans="1:26" x14ac:dyDescent="0.25">
      <c r="A746" s="33">
        <f>A745+1</f>
        <v>14745</v>
      </c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 t="str">
        <f>CONCATENATE(LOWER(SUBSTITUTE(SUBSTITUTE(B746," ","_"), ".", "")), ".png")</f>
        <v>.png</v>
      </c>
      <c r="Y746" s="33"/>
      <c r="Z746" s="33" t="e">
        <f>RIGHT(B746, LEN(B746)-SEARCH(" ", B746, 1))</f>
        <v>#VALUE!</v>
      </c>
    </row>
    <row r="747" spans="1:26" x14ac:dyDescent="0.25">
      <c r="A747" s="33">
        <f>A746+1</f>
        <v>14746</v>
      </c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 t="str">
        <f>CONCATENATE(LOWER(SUBSTITUTE(SUBSTITUTE(B747," ","_"), ".", "")), ".png")</f>
        <v>.png</v>
      </c>
      <c r="Y747" s="33"/>
      <c r="Z747" s="33" t="e">
        <f>RIGHT(B747, LEN(B747)-SEARCH(" ", B747, 1))</f>
        <v>#VALUE!</v>
      </c>
    </row>
    <row r="748" spans="1:26" x14ac:dyDescent="0.25">
      <c r="A748" s="33">
        <f>A747+1</f>
        <v>14747</v>
      </c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 t="str">
        <f>CONCATENATE(LOWER(SUBSTITUTE(SUBSTITUTE(B748," ","_"), ".", "")), ".png")</f>
        <v>.png</v>
      </c>
      <c r="Y748" s="33"/>
      <c r="Z748" s="33" t="e">
        <f>RIGHT(B748, LEN(B748)-SEARCH(" ", B748, 1))</f>
        <v>#VALUE!</v>
      </c>
    </row>
    <row r="749" spans="1:26" x14ac:dyDescent="0.25">
      <c r="A749" s="33">
        <f>A748+1</f>
        <v>14748</v>
      </c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 t="str">
        <f>CONCATENATE(LOWER(SUBSTITUTE(SUBSTITUTE(B749," ","_"), ".", "")), ".png")</f>
        <v>.png</v>
      </c>
      <c r="Y749" s="33"/>
      <c r="Z749" s="33" t="e">
        <f>RIGHT(B749, LEN(B749)-SEARCH(" ", B749, 1))</f>
        <v>#VALUE!</v>
      </c>
    </row>
    <row r="750" spans="1:26" x14ac:dyDescent="0.25">
      <c r="A750" s="33">
        <f>A749+1</f>
        <v>14749</v>
      </c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 t="str">
        <f>CONCATENATE(LOWER(SUBSTITUTE(SUBSTITUTE(B750," ","_"), ".", "")), ".png")</f>
        <v>.png</v>
      </c>
      <c r="Y750" s="33"/>
      <c r="Z750" s="33" t="e">
        <f>RIGHT(B750, LEN(B750)-SEARCH(" ", B750, 1))</f>
        <v>#VALUE!</v>
      </c>
    </row>
    <row r="751" spans="1:26" x14ac:dyDescent="0.25">
      <c r="A751" s="33">
        <f>A750+1</f>
        <v>14750</v>
      </c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 t="str">
        <f>CONCATENATE(LOWER(SUBSTITUTE(SUBSTITUTE(B751," ","_"), ".", "")), ".png")</f>
        <v>.png</v>
      </c>
      <c r="Y751" s="33"/>
      <c r="Z751" s="33" t="e">
        <f>RIGHT(B751, LEN(B751)-SEARCH(" ", B751, 1))</f>
        <v>#VALUE!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1"/>
  <sheetViews>
    <sheetView zoomScale="85" zoomScaleNormal="85" workbookViewId="0">
      <selection activeCell="A7" sqref="A2:M7"/>
    </sheetView>
  </sheetViews>
  <sheetFormatPr defaultRowHeight="15" x14ac:dyDescent="0.25"/>
  <cols>
    <col min="2" max="2" width="19.5703125" style="32" bestFit="1" customWidth="1"/>
    <col min="3" max="3" width="11.42578125" style="32" bestFit="1" customWidth="1"/>
    <col min="4" max="4" width="12.42578125" style="32" bestFit="1" customWidth="1"/>
    <col min="5" max="5" width="15.140625" style="32" customWidth="1"/>
    <col min="6" max="6" width="18.28515625" style="32" customWidth="1"/>
    <col min="7" max="7" width="13.5703125" style="32" customWidth="1"/>
    <col min="8" max="8" width="12.7109375" style="32" customWidth="1"/>
    <col min="9" max="9" width="9.140625" style="32"/>
    <col min="10" max="10" width="10" style="32" customWidth="1"/>
  </cols>
  <sheetData>
    <row r="1" spans="1:17" x14ac:dyDescent="0.25">
      <c r="A1" t="s">
        <v>210</v>
      </c>
      <c r="B1" s="32" t="s">
        <v>232</v>
      </c>
      <c r="C1" s="32" t="s">
        <v>233</v>
      </c>
      <c r="D1" s="32" t="s">
        <v>234</v>
      </c>
      <c r="E1" s="32" t="s">
        <v>235</v>
      </c>
      <c r="F1" s="32" t="s">
        <v>236</v>
      </c>
      <c r="G1" s="32" t="s">
        <v>237</v>
      </c>
      <c r="H1" s="32" t="s">
        <v>238</v>
      </c>
      <c r="I1" s="32" t="s">
        <v>239</v>
      </c>
      <c r="J1" s="32" t="s">
        <v>240</v>
      </c>
      <c r="K1" t="s">
        <v>241</v>
      </c>
      <c r="L1" t="s">
        <v>242</v>
      </c>
      <c r="M1" t="s">
        <v>243</v>
      </c>
    </row>
    <row r="2" spans="1:17" x14ac:dyDescent="0.25">
      <c r="A2">
        <v>1</v>
      </c>
      <c r="B2" s="32" t="str">
        <f t="shared" ref="B2:B7" si="0">CONCATENATE(C2, " ", D2)</f>
        <v>Los Angeles Angels</v>
      </c>
      <c r="C2" s="32" t="s">
        <v>244</v>
      </c>
      <c r="D2" s="32" t="s">
        <v>31</v>
      </c>
      <c r="E2" s="32" t="s">
        <v>252</v>
      </c>
      <c r="F2" t="s">
        <v>253</v>
      </c>
      <c r="G2" t="s">
        <v>258</v>
      </c>
      <c r="H2" t="s">
        <v>275</v>
      </c>
      <c r="I2" t="s">
        <v>260</v>
      </c>
      <c r="J2" s="32" t="s">
        <v>262</v>
      </c>
      <c r="K2">
        <v>0</v>
      </c>
      <c r="L2" t="s">
        <v>248</v>
      </c>
      <c r="M2">
        <v>14</v>
      </c>
    </row>
    <row r="3" spans="1:17" x14ac:dyDescent="0.25">
      <c r="A3">
        <f>A2+1</f>
        <v>2</v>
      </c>
      <c r="B3" s="32" t="str">
        <f t="shared" si="0"/>
        <v>Houston Astros</v>
      </c>
      <c r="C3" s="32" t="s">
        <v>245</v>
      </c>
      <c r="D3" s="32" t="s">
        <v>117</v>
      </c>
      <c r="E3" s="32" t="s">
        <v>254</v>
      </c>
      <c r="F3" t="s">
        <v>257</v>
      </c>
      <c r="G3" t="s">
        <v>259</v>
      </c>
      <c r="H3" t="s">
        <v>276</v>
      </c>
      <c r="I3" t="s">
        <v>261</v>
      </c>
      <c r="J3" s="32" t="s">
        <v>263</v>
      </c>
      <c r="K3">
        <v>0</v>
      </c>
      <c r="L3" t="s">
        <v>249</v>
      </c>
      <c r="M3">
        <v>14</v>
      </c>
    </row>
    <row r="4" spans="1:17" x14ac:dyDescent="0.25">
      <c r="A4">
        <f t="shared" ref="A4:A31" si="1">A3+1</f>
        <v>3</v>
      </c>
      <c r="B4" s="32" t="str">
        <f t="shared" si="0"/>
        <v>Oakland Athletics</v>
      </c>
      <c r="C4" s="32" t="s">
        <v>246</v>
      </c>
      <c r="D4" s="32" t="s">
        <v>129</v>
      </c>
      <c r="E4" s="32" t="s">
        <v>255</v>
      </c>
      <c r="F4" t="s">
        <v>274</v>
      </c>
      <c r="G4" t="s">
        <v>265</v>
      </c>
      <c r="H4" t="s">
        <v>270</v>
      </c>
      <c r="I4" t="s">
        <v>267</v>
      </c>
      <c r="J4" t="s">
        <v>268</v>
      </c>
      <c r="K4">
        <v>0</v>
      </c>
      <c r="L4" t="s">
        <v>250</v>
      </c>
      <c r="M4">
        <v>14</v>
      </c>
    </row>
    <row r="5" spans="1:17" x14ac:dyDescent="0.25">
      <c r="A5">
        <f t="shared" si="1"/>
        <v>4</v>
      </c>
      <c r="B5" s="32" t="str">
        <f t="shared" si="0"/>
        <v>Toronto Blue Jays</v>
      </c>
      <c r="C5" s="32" t="s">
        <v>247</v>
      </c>
      <c r="D5" s="32" t="s">
        <v>150</v>
      </c>
      <c r="E5" s="32" t="s">
        <v>256</v>
      </c>
      <c r="F5" t="s">
        <v>264</v>
      </c>
      <c r="G5" t="s">
        <v>266</v>
      </c>
      <c r="H5" t="s">
        <v>271</v>
      </c>
      <c r="I5" t="s">
        <v>272</v>
      </c>
      <c r="J5" t="s">
        <v>269</v>
      </c>
      <c r="K5">
        <v>0</v>
      </c>
      <c r="L5" t="s">
        <v>251</v>
      </c>
      <c r="M5">
        <v>14</v>
      </c>
    </row>
    <row r="6" spans="1:17" x14ac:dyDescent="0.25">
      <c r="A6">
        <f t="shared" si="1"/>
        <v>5</v>
      </c>
      <c r="B6" s="32" t="str">
        <f t="shared" si="0"/>
        <v>Atlanta Braves</v>
      </c>
      <c r="C6" s="32" t="s">
        <v>304</v>
      </c>
      <c r="D6" s="32" t="s">
        <v>151</v>
      </c>
      <c r="E6" s="32" t="s">
        <v>306</v>
      </c>
      <c r="F6" s="32" t="s">
        <v>307</v>
      </c>
      <c r="G6" t="s">
        <v>308</v>
      </c>
      <c r="H6" t="s">
        <v>309</v>
      </c>
      <c r="I6" t="s">
        <v>310</v>
      </c>
      <c r="J6" t="s">
        <v>311</v>
      </c>
      <c r="K6">
        <v>1</v>
      </c>
      <c r="L6" t="s">
        <v>305</v>
      </c>
      <c r="M6">
        <v>14</v>
      </c>
      <c r="Q6" t="str">
        <f>CONCATENATE("141", SUBSTITUTE(Table7[[#This Row],[Bullpen]], ";", ";141"))</f>
        <v>14114110;14114101;14114124;14114102;14114123;14114106</v>
      </c>
    </row>
    <row r="7" spans="1:17" x14ac:dyDescent="0.25">
      <c r="A7">
        <f t="shared" si="1"/>
        <v>6</v>
      </c>
      <c r="B7" s="32" t="str">
        <f t="shared" si="0"/>
        <v>Milwaukee Brewers</v>
      </c>
      <c r="C7" s="32" t="s">
        <v>337</v>
      </c>
      <c r="D7" s="32" t="s">
        <v>152</v>
      </c>
      <c r="E7" t="s">
        <v>339</v>
      </c>
      <c r="F7" t="s">
        <v>340</v>
      </c>
      <c r="G7" t="s">
        <v>341</v>
      </c>
      <c r="H7" t="s">
        <v>342</v>
      </c>
      <c r="I7" t="s">
        <v>343</v>
      </c>
      <c r="J7" t="s">
        <v>344</v>
      </c>
      <c r="K7">
        <v>1</v>
      </c>
      <c r="L7" t="s">
        <v>338</v>
      </c>
      <c r="M7">
        <v>14</v>
      </c>
      <c r="P7" t="s">
        <v>344</v>
      </c>
      <c r="Q7" t="str">
        <f>CONCATENATE("141", SUBSTITUTE(Table7[[#This Row],[Bullpen]], ";", ";141"))</f>
        <v>14114144;14114136;14114129;14114147;14114148;14114150</v>
      </c>
    </row>
    <row r="8" spans="1:17" x14ac:dyDescent="0.25">
      <c r="A8">
        <f t="shared" si="1"/>
        <v>7</v>
      </c>
      <c r="B8" s="32" t="str">
        <f t="shared" ref="B8:B31" si="2">CONCATENATE(C8, " ", D8)</f>
        <v xml:space="preserve"> </v>
      </c>
      <c r="E8" s="32" t="str">
        <f t="shared" ref="E7:E31" si="3" xml:space="preserve"> CONCATENATE("")</f>
        <v/>
      </c>
      <c r="M8">
        <v>14</v>
      </c>
    </row>
    <row r="9" spans="1:17" x14ac:dyDescent="0.25">
      <c r="A9">
        <f t="shared" si="1"/>
        <v>8</v>
      </c>
      <c r="B9" s="32" t="str">
        <f t="shared" si="2"/>
        <v xml:space="preserve"> </v>
      </c>
      <c r="E9" s="32" t="str">
        <f t="shared" si="3"/>
        <v/>
      </c>
      <c r="M9">
        <v>14</v>
      </c>
    </row>
    <row r="10" spans="1:17" x14ac:dyDescent="0.25">
      <c r="A10">
        <f t="shared" si="1"/>
        <v>9</v>
      </c>
      <c r="B10" s="32" t="str">
        <f t="shared" si="2"/>
        <v xml:space="preserve"> </v>
      </c>
      <c r="E10" s="32" t="str">
        <f t="shared" si="3"/>
        <v/>
      </c>
      <c r="M10">
        <v>14</v>
      </c>
    </row>
    <row r="11" spans="1:17" x14ac:dyDescent="0.25">
      <c r="A11">
        <f t="shared" si="1"/>
        <v>10</v>
      </c>
      <c r="B11" s="32" t="str">
        <f t="shared" si="2"/>
        <v xml:space="preserve"> </v>
      </c>
      <c r="E11" s="32" t="str">
        <f t="shared" si="3"/>
        <v/>
      </c>
      <c r="M11">
        <v>14</v>
      </c>
    </row>
    <row r="12" spans="1:17" x14ac:dyDescent="0.25">
      <c r="A12">
        <f t="shared" si="1"/>
        <v>11</v>
      </c>
      <c r="B12" s="32" t="str">
        <f t="shared" si="2"/>
        <v xml:space="preserve"> </v>
      </c>
      <c r="E12" s="32" t="str">
        <f t="shared" si="3"/>
        <v/>
      </c>
      <c r="M12">
        <v>14</v>
      </c>
    </row>
    <row r="13" spans="1:17" x14ac:dyDescent="0.25">
      <c r="A13">
        <f t="shared" si="1"/>
        <v>12</v>
      </c>
      <c r="B13" s="32" t="str">
        <f t="shared" si="2"/>
        <v xml:space="preserve"> </v>
      </c>
      <c r="E13" s="32" t="str">
        <f t="shared" si="3"/>
        <v/>
      </c>
      <c r="M13">
        <v>14</v>
      </c>
    </row>
    <row r="14" spans="1:17" x14ac:dyDescent="0.25">
      <c r="A14">
        <f t="shared" si="1"/>
        <v>13</v>
      </c>
      <c r="B14" s="32" t="str">
        <f t="shared" si="2"/>
        <v xml:space="preserve"> </v>
      </c>
      <c r="E14" s="32" t="str">
        <f t="shared" si="3"/>
        <v/>
      </c>
      <c r="M14">
        <v>14</v>
      </c>
    </row>
    <row r="15" spans="1:17" x14ac:dyDescent="0.25">
      <c r="A15">
        <f t="shared" si="1"/>
        <v>14</v>
      </c>
      <c r="B15" s="32" t="str">
        <f t="shared" si="2"/>
        <v xml:space="preserve"> </v>
      </c>
      <c r="E15" s="32" t="str">
        <f t="shared" si="3"/>
        <v/>
      </c>
      <c r="M15">
        <v>14</v>
      </c>
    </row>
    <row r="16" spans="1:17" x14ac:dyDescent="0.25">
      <c r="A16">
        <f t="shared" si="1"/>
        <v>15</v>
      </c>
      <c r="B16" s="32" t="str">
        <f t="shared" si="2"/>
        <v xml:space="preserve"> </v>
      </c>
      <c r="E16" s="32" t="str">
        <f t="shared" si="3"/>
        <v/>
      </c>
      <c r="M16">
        <v>14</v>
      </c>
    </row>
    <row r="17" spans="1:13" x14ac:dyDescent="0.25">
      <c r="A17">
        <f t="shared" si="1"/>
        <v>16</v>
      </c>
      <c r="B17" s="32" t="str">
        <f t="shared" si="2"/>
        <v xml:space="preserve"> </v>
      </c>
      <c r="E17" s="32" t="str">
        <f t="shared" si="3"/>
        <v/>
      </c>
      <c r="M17">
        <v>14</v>
      </c>
    </row>
    <row r="18" spans="1:13" x14ac:dyDescent="0.25">
      <c r="A18">
        <f t="shared" si="1"/>
        <v>17</v>
      </c>
      <c r="B18" s="32" t="str">
        <f t="shared" si="2"/>
        <v xml:space="preserve"> </v>
      </c>
      <c r="E18" s="32" t="str">
        <f t="shared" si="3"/>
        <v/>
      </c>
      <c r="M18">
        <v>14</v>
      </c>
    </row>
    <row r="19" spans="1:13" x14ac:dyDescent="0.25">
      <c r="A19">
        <f t="shared" si="1"/>
        <v>18</v>
      </c>
      <c r="B19" s="32" t="str">
        <f t="shared" si="2"/>
        <v xml:space="preserve"> </v>
      </c>
      <c r="E19" s="32" t="str">
        <f t="shared" si="3"/>
        <v/>
      </c>
      <c r="M19">
        <v>14</v>
      </c>
    </row>
    <row r="20" spans="1:13" x14ac:dyDescent="0.25">
      <c r="A20">
        <f t="shared" si="1"/>
        <v>19</v>
      </c>
      <c r="B20" s="32" t="str">
        <f t="shared" si="2"/>
        <v xml:space="preserve"> </v>
      </c>
      <c r="E20" s="32" t="str">
        <f t="shared" si="3"/>
        <v/>
      </c>
      <c r="M20">
        <v>14</v>
      </c>
    </row>
    <row r="21" spans="1:13" x14ac:dyDescent="0.25">
      <c r="A21">
        <f t="shared" si="1"/>
        <v>20</v>
      </c>
      <c r="B21" s="32" t="str">
        <f t="shared" si="2"/>
        <v xml:space="preserve"> </v>
      </c>
      <c r="E21" s="32" t="str">
        <f t="shared" si="3"/>
        <v/>
      </c>
      <c r="M21">
        <v>14</v>
      </c>
    </row>
    <row r="22" spans="1:13" x14ac:dyDescent="0.25">
      <c r="A22">
        <f t="shared" si="1"/>
        <v>21</v>
      </c>
      <c r="B22" s="32" t="str">
        <f t="shared" si="2"/>
        <v xml:space="preserve"> </v>
      </c>
      <c r="E22" s="32" t="str">
        <f t="shared" si="3"/>
        <v/>
      </c>
      <c r="M22">
        <v>14</v>
      </c>
    </row>
    <row r="23" spans="1:13" x14ac:dyDescent="0.25">
      <c r="A23">
        <f t="shared" si="1"/>
        <v>22</v>
      </c>
      <c r="B23" s="32" t="str">
        <f t="shared" si="2"/>
        <v xml:space="preserve"> </v>
      </c>
      <c r="E23" s="32" t="str">
        <f t="shared" si="3"/>
        <v/>
      </c>
      <c r="M23">
        <v>14</v>
      </c>
    </row>
    <row r="24" spans="1:13" x14ac:dyDescent="0.25">
      <c r="A24">
        <f t="shared" si="1"/>
        <v>23</v>
      </c>
      <c r="B24" s="32" t="str">
        <f t="shared" si="2"/>
        <v xml:space="preserve"> </v>
      </c>
      <c r="E24" s="32" t="str">
        <f t="shared" si="3"/>
        <v/>
      </c>
      <c r="M24">
        <v>14</v>
      </c>
    </row>
    <row r="25" spans="1:13" x14ac:dyDescent="0.25">
      <c r="A25">
        <f t="shared" si="1"/>
        <v>24</v>
      </c>
      <c r="B25" s="32" t="str">
        <f t="shared" si="2"/>
        <v xml:space="preserve"> </v>
      </c>
      <c r="E25" s="32" t="str">
        <f t="shared" si="3"/>
        <v/>
      </c>
      <c r="M25">
        <v>14</v>
      </c>
    </row>
    <row r="26" spans="1:13" x14ac:dyDescent="0.25">
      <c r="A26">
        <f t="shared" si="1"/>
        <v>25</v>
      </c>
      <c r="B26" s="32" t="str">
        <f t="shared" si="2"/>
        <v xml:space="preserve"> </v>
      </c>
      <c r="E26" s="32" t="str">
        <f t="shared" si="3"/>
        <v/>
      </c>
      <c r="M26">
        <v>14</v>
      </c>
    </row>
    <row r="27" spans="1:13" x14ac:dyDescent="0.25">
      <c r="A27">
        <f t="shared" si="1"/>
        <v>26</v>
      </c>
      <c r="B27" s="32" t="str">
        <f t="shared" si="2"/>
        <v xml:space="preserve"> </v>
      </c>
      <c r="E27" s="32" t="str">
        <f t="shared" si="3"/>
        <v/>
      </c>
      <c r="M27">
        <v>14</v>
      </c>
    </row>
    <row r="28" spans="1:13" x14ac:dyDescent="0.25">
      <c r="A28">
        <f t="shared" si="1"/>
        <v>27</v>
      </c>
      <c r="B28" s="32" t="str">
        <f t="shared" si="2"/>
        <v xml:space="preserve"> </v>
      </c>
      <c r="E28" s="32" t="str">
        <f t="shared" si="3"/>
        <v/>
      </c>
      <c r="M28">
        <v>14</v>
      </c>
    </row>
    <row r="29" spans="1:13" x14ac:dyDescent="0.25">
      <c r="A29">
        <f t="shared" si="1"/>
        <v>28</v>
      </c>
      <c r="B29" s="32" t="str">
        <f t="shared" si="2"/>
        <v xml:space="preserve"> </v>
      </c>
      <c r="E29" s="32" t="str">
        <f t="shared" si="3"/>
        <v/>
      </c>
      <c r="M29">
        <v>14</v>
      </c>
    </row>
    <row r="30" spans="1:13" x14ac:dyDescent="0.25">
      <c r="A30">
        <f t="shared" si="1"/>
        <v>29</v>
      </c>
      <c r="B30" s="32" t="str">
        <f t="shared" si="2"/>
        <v xml:space="preserve"> </v>
      </c>
      <c r="E30" s="32" t="str">
        <f t="shared" si="3"/>
        <v/>
      </c>
      <c r="M30">
        <v>14</v>
      </c>
    </row>
    <row r="31" spans="1:13" x14ac:dyDescent="0.25">
      <c r="A31">
        <f t="shared" si="1"/>
        <v>30</v>
      </c>
      <c r="B31" s="32" t="str">
        <f t="shared" si="2"/>
        <v xml:space="preserve"> </v>
      </c>
      <c r="E31" s="32" t="str">
        <f t="shared" si="3"/>
        <v/>
      </c>
      <c r="M31">
        <v>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Batters</vt:lpstr>
      <vt:lpstr>Pitchers</vt:lpstr>
      <vt:lpstr>Strategy</vt:lpstr>
      <vt:lpstr>Cards</vt:lpstr>
      <vt:lpstr>Teams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Andrews</dc:creator>
  <cp:lastModifiedBy>Tyler Andrews</cp:lastModifiedBy>
  <dcterms:created xsi:type="dcterms:W3CDTF">2014-05-15T03:40:54Z</dcterms:created>
  <dcterms:modified xsi:type="dcterms:W3CDTF">2014-08-03T03:12:22Z</dcterms:modified>
</cp:coreProperties>
</file>